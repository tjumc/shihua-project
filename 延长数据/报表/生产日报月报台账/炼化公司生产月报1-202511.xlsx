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766"/>
  </bookViews>
  <sheets>
    <sheet name="炼化公司月报表" sheetId="1" r:id="rId2"/>
    <sheet name="取值" sheetId="2" state="hidden" r:id="rId3"/>
    <sheet name="延炼月报表" sheetId="3" r:id="rId4"/>
    <sheet name="延炼取值 " sheetId="4" state="hidden" r:id="rId5"/>
    <sheet name="永炼月报表" sheetId="5" r:id="rId6"/>
    <sheet name="永炼取值" sheetId="6" state="hidden" r:id="rId7"/>
    <sheet name="榆炼月报表" sheetId="7" r:id="rId8"/>
    <sheet name="榆炼取值" sheetId="8" state="hidden" r:id="rId9"/>
    <sheet name="石化厂月报表" sheetId="9" r:id="rId10"/>
    <sheet name="取值说明" sheetId="10" r:id="rId11"/>
    <sheet name="石化取值" sheetId="11" state="hidden" r:id="rId12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sz val="9"/>
            <color indexed="81"/>
            <rFont val="宋体"/>
            <family val="2"/>
          </rPr>
          <t>#Input("炼化公司_原料油（气）加工量_月计划",":key{{dw}}")</t>
        </r>
      </text>
    </comment>
    <comment ref="G6" authorId="0">
      <text>
        <r>
          <rPr>
            <sz val="9"/>
            <color indexed="81"/>
            <rFont val="宋体"/>
            <family val="2"/>
          </rPr>
          <t>#Input("炼化公司_原料油（气）加工量_年计划",":key{{dw}}")</t>
        </r>
      </text>
    </comment>
    <comment ref="J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#Input("炼化公司生产月报1_去年同期_本月_1、原料油（气）加工量",":key{{dw}}")</t>
        </r>
      </text>
    </comment>
    <comment ref="K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#Input("炼化公司生产月报1_去年同期_本年_1、原料油（气）加工量",":key{{dw}}")</t>
        </r>
      </text>
    </comment>
    <comment ref="M6" authorId="0">
      <text>
        <r>
          <rPr>
            <sz val="9"/>
            <color indexed="81"/>
            <rFont val="宋体"/>
            <family val="2"/>
          </rPr>
          <t>#Input("炼化公司生产月报1_装置加工量_原料加工量_月完成",":key{{dw}}",":read")</t>
        </r>
      </text>
    </comment>
    <comment ref="N6" authorId="0">
      <text>
        <r>
          <rPr>
            <sz val="9"/>
            <color indexed="81"/>
            <rFont val="宋体"/>
            <family val="2"/>
          </rPr>
          <t>#Input("炼化公司生产月报1_装置加工量_原料加工量_年完成",":key{{dw}}",":read")</t>
        </r>
      </text>
    </comment>
    <comment ref="D7" authorId="0">
      <text>
        <r>
          <rPr>
            <sz val="9"/>
            <color indexed="81"/>
            <rFont val="宋体"/>
            <family val="2"/>
          </rPr>
          <t>#Input("炼化公司_原油_月计划",":key{{dw}}")</t>
        </r>
      </text>
    </comment>
    <comment ref="G7" authorId="0">
      <text>
        <r>
          <rPr>
            <sz val="9"/>
            <color indexed="81"/>
            <rFont val="宋体"/>
            <family val="2"/>
          </rPr>
          <t>#Input("炼化公司_原油_年计划",":key{{dw}}")</t>
        </r>
      </text>
    </comment>
    <comment ref="J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#Input("炼化公司生产月报1_去年同期_本月_其中：原油",":key{{dw}}")</t>
        </r>
      </text>
    </comment>
    <comment ref="K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#Input("炼化公司生产月报1_去年同期_本年_其中：原油",":key{{dw}}")</t>
        </r>
      </text>
    </comment>
    <comment ref="M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#Input("炼化公司生产月报1_装置加工量_原油_月完成",":key{{dw}}",":read")
</t>
        </r>
      </text>
    </comment>
    <comment ref="N7" authorId="0">
      <text>
        <r>
          <rPr>
            <sz val="9"/>
            <color indexed="81"/>
            <rFont val="宋体"/>
            <family val="2"/>
          </rPr>
          <t>#Input("炼化公司生产月报1_装置加工量_原油_年完成",":key{{dw}}",":read")</t>
        </r>
      </text>
    </comment>
    <comment ref="D8" authorId="0">
      <text>
        <r>
          <rPr>
            <sz val="9"/>
            <color indexed="81"/>
            <rFont val="宋体"/>
            <family val="2"/>
          </rPr>
          <t>#Input("炼化公司_甲醇_月计划",":key{{dw}}")</t>
        </r>
      </text>
    </comment>
    <comment ref="G8" authorId="0">
      <text>
        <r>
          <rPr>
            <sz val="9"/>
            <color indexed="81"/>
            <rFont val="宋体"/>
            <family val="2"/>
          </rPr>
          <t>#Input("炼化公司_甲醇_年计划",":key{{dw}}")</t>
        </r>
      </text>
    </comment>
    <comment ref="J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#Input("炼化公司生产月报1_去年同期_本月_甲醇",":key{{dw}}")</t>
        </r>
      </text>
    </comment>
    <comment ref="K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#Input("炼化公司生产月报1_去年同期_本年_甲醇",":key{{dw}}")</t>
        </r>
      </text>
    </comment>
    <comment ref="M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#Input("炼化公司生产月报1_装置加工量_甲醇_月完成",":key{{dw}}",":read")
</t>
        </r>
      </text>
    </comment>
    <comment ref="N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#Input("炼化公司生产月报1_装置加工量_甲醇_年完成",":key{{dw}}",":read")
</t>
        </r>
      </text>
    </comment>
    <comment ref="D9" authorId="0">
      <text>
        <r>
          <rPr>
            <sz val="9"/>
            <color indexed="81"/>
            <rFont val="宋体"/>
            <family val="2"/>
          </rPr>
          <t>#Input("炼化公司_MTBE_月计划",":key{{dw}}")</t>
        </r>
      </text>
    </comment>
    <comment ref="G9" authorId="0">
      <text>
        <r>
          <rPr>
            <sz val="9"/>
            <color indexed="81"/>
            <rFont val="宋体"/>
            <family val="2"/>
          </rPr>
          <t>#Input("炼化公司_MTBE_年计划",":key{{dw}}")</t>
        </r>
      </text>
    </comment>
    <comment ref="J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#Input("炼化公司生产月报1_去年同期_本月_MTBE",":key{{dw}}")</t>
        </r>
      </text>
    </comment>
    <comment ref="K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#Input("炼化公司生产月报1_去年同期_本年_MTBE",":key{{dw}}")</t>
        </r>
      </text>
    </comment>
    <comment ref="M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#Input("炼化公司生产月报1_装置加工量_MTBE_月完成",":key{{dw}}",":read")
</t>
        </r>
      </text>
    </comment>
    <comment ref="N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#Input("炼化公司生产月报1_装置加工量_MTBE_年完成",":key{{dw}}",":read")
</t>
        </r>
      </text>
    </comment>
    <comment ref="D10" authorId="0">
      <text>
        <r>
          <rPr>
            <sz val="9"/>
            <color indexed="81"/>
            <rFont val="宋体"/>
            <family val="2"/>
          </rPr>
          <t>#Input("炼化公司_1#渣油_月计划",":key{{dw}}")</t>
        </r>
      </text>
    </comment>
    <comment ref="G10" authorId="0">
      <text>
        <r>
          <rPr>
            <sz val="9"/>
            <color indexed="81"/>
            <rFont val="宋体"/>
            <family val="2"/>
          </rPr>
          <t>#Input("炼化公司_1#渣油_年计划",":key{{dw}}")</t>
        </r>
      </text>
    </comment>
    <comment ref="J1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#Input("炼化公司生产月报1_去年同期_本月_1#渣油",":key{{dw}}")</t>
        </r>
      </text>
    </comment>
    <comment ref="K1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#Input("炼化公司生产月报1_去年同期_本年_1#渣油",":key{{dw}}")</t>
        </r>
      </text>
    </comment>
    <comment ref="M10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#Input("炼化公司生产月报1_装置加工量_1#渣油_月完成",":key{{dw}}",":read")
</t>
        </r>
      </text>
    </comment>
    <comment ref="N10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#Input("炼化公司生产月报1_装置加工量_1#渣油_年完成",":key{{dw}}",":read")
</t>
        </r>
      </text>
    </comment>
    <comment ref="D11" authorId="0">
      <text>
        <r>
          <rPr>
            <sz val="9"/>
            <color indexed="81"/>
            <rFont val="宋体"/>
            <family val="2"/>
          </rPr>
          <t>#Input("炼化公司_裂解石脑油_月计划",":key{{dw}}")</t>
        </r>
      </text>
    </comment>
    <comment ref="G11" authorId="0">
      <text>
        <r>
          <rPr>
            <sz val="9"/>
            <color indexed="81"/>
            <rFont val="宋体"/>
            <family val="2"/>
          </rPr>
          <t>#Input("炼化公司_裂解石脑油_年计划",":key{{dw}}")</t>
        </r>
      </text>
    </comment>
    <comment ref="J1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#Input("炼化公司生产月报1_去年同期_本月_裂解石脑油",":key{{dw}}")</t>
        </r>
      </text>
    </comment>
    <comment ref="K1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#Input("炼化公司生产月报1_去年同期_本年_裂解石脑油",":key{{dw}}")</t>
        </r>
      </text>
    </comment>
    <comment ref="M11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#Input("炼化公司生产月报1_装置加工量_裂解石脑油_月完成",":key{{dw}}",":read")
</t>
        </r>
      </text>
    </comment>
    <comment ref="N11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#Input("炼化公司生产月报1_装置加工量_裂解石脑油_年完成",":key{{dw}}",":read")
</t>
        </r>
      </text>
    </comment>
    <comment ref="D12" authorId="0">
      <text>
        <r>
          <rPr>
            <sz val="9"/>
            <color indexed="81"/>
            <rFont val="宋体"/>
            <family val="2"/>
          </rPr>
          <t>#Input("炼化公司_上古液化气_月计划",":key{{dw}}")</t>
        </r>
      </text>
    </comment>
    <comment ref="G12" authorId="0">
      <text>
        <r>
          <rPr>
            <sz val="9"/>
            <color indexed="81"/>
            <rFont val="宋体"/>
            <family val="2"/>
          </rPr>
          <t>#Input("炼化公司_上古液化气_年计划",":key{{dw}}")</t>
        </r>
      </text>
    </comment>
    <comment ref="J1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#Input("炼化公司生产月报1_去年同期_本月_上古液化气",":key{{dw}}")</t>
        </r>
      </text>
    </comment>
    <comment ref="K1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#Input("炼化公司生产月报1_去年同期_本年_上古液化气",":key{{dw}}")</t>
        </r>
      </text>
    </comment>
    <comment ref="M12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#Input("炼化公司生产月报1_装置加工量_上古液化气_月完成",":key{{dw}}",":read")
</t>
        </r>
      </text>
    </comment>
    <comment ref="N12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#Input("炼化公司生产月报1_装置加工量_上古液化气_年完成",":key{{dw}}",":read")
</t>
        </r>
      </text>
    </comment>
    <comment ref="D13" authorId="0">
      <text>
        <r>
          <rPr>
            <sz val="9"/>
            <color indexed="81"/>
            <rFont val="宋体"/>
            <family val="2"/>
          </rPr>
          <t>#Input("炼化公司_醋酸_月计划",":key{{dw}}")</t>
        </r>
      </text>
    </comment>
    <comment ref="G13" authorId="0">
      <text>
        <r>
          <rPr>
            <sz val="9"/>
            <color indexed="81"/>
            <rFont val="宋体"/>
            <family val="2"/>
          </rPr>
          <t>#Input("炼化公司_醋酸_年计划",":key{{dw}}")</t>
        </r>
      </text>
    </comment>
    <comment ref="J1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#Input("炼化公司生产月报1_去年同期_本月_醋酸",":key{{dw}}")</t>
        </r>
      </text>
    </comment>
    <comment ref="K1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#Input("炼化公司生产月报1_去年同期_本年_醋酸",":key{{dw}}")</t>
        </r>
      </text>
    </comment>
    <comment ref="M13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#Input("炼化公司生产月报1_装置加工量_醋酸_月完成",":key{{dw}}",":read")
</t>
        </r>
      </text>
    </comment>
    <comment ref="N13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#Input("炼化公司生产月报1_装置加工量_醋酸_年完成",":key{{dw}}",":read")
</t>
        </r>
      </text>
    </comment>
    <comment ref="D14" authorId="0">
      <text>
        <r>
          <rPr>
            <sz val="9"/>
            <color indexed="81"/>
            <rFont val="宋体"/>
            <family val="2"/>
          </rPr>
          <t>#Input("炼化公司_异辛烷组分_月计划",":key{{dw}}")</t>
        </r>
      </text>
    </comment>
    <comment ref="G14" authorId="0">
      <text>
        <r>
          <rPr>
            <sz val="9"/>
            <color indexed="81"/>
            <rFont val="宋体"/>
            <family val="2"/>
          </rPr>
          <t>#Input("炼化公司_异辛烷组分_年计划",":key{{dw}}")</t>
        </r>
      </text>
    </comment>
    <comment ref="J1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#Input("炼化公司生产月报1_去年同期_本月_异辛烷组分",":key{{dw}}")</t>
        </r>
      </text>
    </comment>
    <comment ref="K1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#Input("炼化公司生产月报1_去年同期_本年_异辛烷组分",":key{{dw}}")</t>
        </r>
      </text>
    </comment>
    <comment ref="M14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#Input("炼化公司生产月报1_装置加工量_异辛烷组分_月完成",":key{{dw}}",":read")
</t>
        </r>
      </text>
    </comment>
    <comment ref="N14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#Input("炼化公司生产月报1_装置加工量_异辛烷组分_年完成",":key{{dw}}",":read")
</t>
        </r>
      </text>
    </comment>
    <comment ref="D15" authorId="0">
      <text>
        <r>
          <rPr>
            <sz val="9"/>
            <color indexed="81"/>
            <rFont val="宋体"/>
            <family val="2"/>
          </rPr>
          <t>#Input("炼化公司_异丁烷_月计划",":key{{dw}}")</t>
        </r>
      </text>
    </comment>
    <comment ref="G15" authorId="0">
      <text>
        <r>
          <rPr>
            <sz val="9"/>
            <color indexed="81"/>
            <rFont val="宋体"/>
            <family val="2"/>
          </rPr>
          <t>#Input("炼化公司_异丁烷_年计划",":key{{dw}}")</t>
        </r>
      </text>
    </comment>
    <comment ref="J1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#Input("炼化公司生产月报1_去年同期_本月_异丁烷",":key{{dw}}")</t>
        </r>
      </text>
    </comment>
    <comment ref="K1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#Input("炼化公司生产月报1_去年同期_本年_异丁烷",":key{{dw}}")</t>
        </r>
      </text>
    </comment>
    <comment ref="M15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#Input("炼化公司生产月报1_装置加工量_异丁烷_月完成",":key{{dw}}",":read")
</t>
        </r>
      </text>
    </comment>
    <comment ref="N15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#Input("炼化公司生产月报1_装置加工量_异丁烷_年完成",":key{{dw}}",":read")
</t>
        </r>
      </text>
    </comment>
    <comment ref="D16" authorId="0">
      <text>
        <r>
          <rPr>
            <sz val="9"/>
            <color indexed="81"/>
            <rFont val="宋体"/>
            <family val="2"/>
          </rPr>
          <t>#Input("炼化公司_常压装置加工量_月计划",":key{{dw}}")</t>
        </r>
      </text>
    </comment>
    <comment ref="G16" authorId="0">
      <text>
        <r>
          <rPr>
            <sz val="9"/>
            <color indexed="81"/>
            <rFont val="宋体"/>
            <family val="2"/>
          </rPr>
          <t>#Input("炼化公司_常压装置加工量_年计划",":key{{dw}}")</t>
        </r>
      </text>
    </comment>
    <comment ref="J1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#Input("炼化公司生产月报1_去年同期_本月_常压装置加工量",":key{{dw}}")</t>
        </r>
      </text>
    </comment>
    <comment ref="K1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#Input("炼化公司生产月报1_去年同期_本年_常压装置加工量",":key{{dw}}")</t>
        </r>
      </text>
    </comment>
    <comment ref="M16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#Input("炼化公司生产月报1_装置加工量_常压加工量_月完成",":key{{dw}}",":read")
</t>
        </r>
      </text>
    </comment>
    <comment ref="N16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#Input("炼化公司生产月报1_装置加工量_常压加工量_年完成",":key{{dw}}",":read")
</t>
        </r>
      </text>
    </comment>
    <comment ref="D17" authorId="0">
      <text>
        <r>
          <rPr>
            <sz val="9"/>
            <color indexed="81"/>
            <rFont val="宋体"/>
            <family val="2"/>
          </rPr>
          <t>#Input("炼化公司_常压_原油加工量_月计划",":key{{dw}}")</t>
        </r>
      </text>
    </comment>
    <comment ref="G17" authorId="0">
      <text>
        <r>
          <rPr>
            <sz val="9"/>
            <color indexed="81"/>
            <rFont val="宋体"/>
            <family val="2"/>
          </rPr>
          <t>#Input("炼化公司_常压_原油加工量_年计划",":key{{dw}}")</t>
        </r>
      </text>
    </comment>
    <comment ref="J1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#Input("炼化公司生产月报1_去年同期_本月_原油加工量",":key{{dw}}")</t>
        </r>
      </text>
    </comment>
    <comment ref="K1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#Input("炼化公司生产月报1_去年同期_本年_原油加工量",":key{{dw}}")</t>
        </r>
      </text>
    </comment>
    <comment ref="M1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#Input("炼化公司生产月报1_装置加工量_原油加工量_月完成",":key{{dw}}",":read")
</t>
        </r>
      </text>
    </comment>
    <comment ref="N1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#Input("炼化公司生产月报1_装置加工量_原油加工量_年完成",":key{{dw}}",":read")
</t>
        </r>
      </text>
    </comment>
    <comment ref="D18" authorId="0">
      <text>
        <r>
          <rPr>
            <sz val="9"/>
            <color indexed="81"/>
            <rFont val="宋体"/>
            <family val="2"/>
          </rPr>
          <t>#Input("炼化公司_常压_进口原油加工量_月计划",":key{{dw}}")</t>
        </r>
      </text>
    </comment>
    <comment ref="E18" authorId="0">
      <text>
        <r>
          <rPr>
            <sz val="9"/>
            <color indexed="81"/>
            <rFont val="宋体"/>
            <family val="2"/>
          </rPr>
          <t>#Input("炼化公司生产月报1_装置加工量_进口原油加工量_月完成",":key{{dw}}")</t>
        </r>
      </text>
    </comment>
    <comment ref="G18" authorId="0">
      <text>
        <r>
          <rPr>
            <sz val="9"/>
            <color indexed="81"/>
            <rFont val="宋体"/>
            <family val="2"/>
          </rPr>
          <t>#Input("炼化公司_常压_进口原油加工量_年计划",":key{{dw}}")</t>
        </r>
      </text>
    </comment>
    <comment ref="H18" authorId="0">
      <text>
        <r>
          <rPr>
            <sz val="9"/>
            <color indexed="81"/>
            <rFont val="宋体"/>
            <family val="2"/>
          </rPr>
          <t>#Input("炼化公司生产月报1_装置加工量_进口原油加工量_年完成",":key{{dw}}")</t>
        </r>
      </text>
    </comment>
    <comment ref="J1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#Input("炼化公司生产月报1_去年同期_本月_进口原油加工量",":key{{dw}}")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#Input("炼化公司生产月报1_去年同期_本年_进口原油加工量",":key{{dw}}")</t>
        </r>
      </text>
    </comment>
    <comment ref="D19" authorId="0">
      <text>
        <r>
          <rPr>
            <sz val="9"/>
            <color indexed="81"/>
            <rFont val="宋体"/>
            <family val="2"/>
          </rPr>
          <t>#Input("炼化公司_催化装置加工量_月计划",":key{{dw}}")</t>
        </r>
      </text>
    </comment>
    <comment ref="G19" authorId="0">
      <text>
        <r>
          <rPr>
            <sz val="9"/>
            <color indexed="81"/>
            <rFont val="宋体"/>
            <family val="2"/>
          </rPr>
          <t>#Input("炼化公司_催化装置加工量_年计划",":key{{dw}}")</t>
        </r>
      </text>
    </comment>
    <comment ref="J1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#Input("炼化公司生产月报1_去年同期_本月_催化装置加工量",":key{{dw}}")</t>
        </r>
      </text>
    </comment>
    <comment ref="K1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#Input("炼化公司生产月报1_去年同期_本年_催化装置加工量",":key{{dw}}")</t>
        </r>
      </text>
    </comment>
    <comment ref="M1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#Input("炼化公司生产月报1_装置加工量_催化装置加工量_月完成",":key{{dw}}",":read")
</t>
        </r>
      </text>
    </comment>
    <comment ref="N1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#Input("炼化公司生产月报1_装置加工量_催化装置加工量_年完成",":key{{dw}}",":read")
</t>
        </r>
      </text>
    </comment>
    <comment ref="D20" authorId="0">
      <text>
        <r>
          <rPr>
            <sz val="9"/>
            <color indexed="81"/>
            <rFont val="宋体"/>
            <family val="2"/>
          </rPr>
          <t>#Input("炼化公司_催化_1#渣油_月计划",":key{{dw}}")</t>
        </r>
      </text>
    </comment>
    <comment ref="G20" authorId="0">
      <text>
        <r>
          <rPr>
            <sz val="9"/>
            <color indexed="81"/>
            <rFont val="宋体"/>
            <family val="2"/>
          </rPr>
          <t>#Input("炼化公司_催化_1#渣油_年计划",":key{{dw}}")</t>
        </r>
      </text>
    </comment>
    <comment ref="J2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#Input("炼化公司生产月报1_去年同期_本月_1#渣油加工量",":key{{dw}}")</t>
        </r>
      </text>
    </comment>
    <comment ref="K2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#Input("炼化公司生产月报1_去年同期_本年_1#渣油加工量",":key{{dw}}")</t>
        </r>
      </text>
    </comment>
    <comment ref="M20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#Input("炼化公司生产月报1_装置加工量_1#渣油加工量_月完成",":key{{dw}}",":read")
</t>
        </r>
      </text>
    </comment>
    <comment ref="N20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#Input("炼化公司生产月报1_装置加工量_1#渣油加工量_年完成",":key{{dw}}",":read")
</t>
        </r>
      </text>
    </comment>
    <comment ref="D21" authorId="0">
      <text>
        <r>
          <rPr>
            <sz val="9"/>
            <color indexed="81"/>
            <rFont val="宋体"/>
            <family val="2"/>
          </rPr>
          <t>#Input("炼化公司_重整装置处理量_月计划",":key{{dw}}")</t>
        </r>
      </text>
    </comment>
    <comment ref="G21" authorId="0">
      <text>
        <r>
          <rPr>
            <sz val="9"/>
            <color indexed="81"/>
            <rFont val="宋体"/>
            <family val="2"/>
          </rPr>
          <t>#Input("炼化公司_重整装置处理量_年计划",":key{{dw}}")</t>
        </r>
      </text>
    </comment>
    <comment ref="J2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#Input("炼化公司生产月报1_去年同期_本月_重整装置处理量",":key{{dw}}")</t>
        </r>
      </text>
    </comment>
    <comment ref="K2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#Input("炼化公司生产月报1_去年同期_本年_重整装置处理量",":key{{dw}}")</t>
        </r>
      </text>
    </comment>
    <comment ref="M21" authorId="0">
      <text>
        <r>
          <rPr>
            <sz val="9"/>
            <color indexed="81"/>
            <rFont val="宋体"/>
            <family val="2"/>
          </rPr>
          <t>#Input("炼化公司生产月报1_装置加工量_重整装置处理量_月完成",":key{{dw}}",":read")</t>
        </r>
      </text>
    </comment>
    <comment ref="N21" authorId="0">
      <text>
        <r>
          <rPr>
            <sz val="9"/>
            <color indexed="81"/>
            <rFont val="宋体"/>
            <family val="2"/>
          </rPr>
          <t>#Input("炼化公司生产月报1_装置加工量_重整装置处理量_年完成",":key{{dw}}",":read")</t>
        </r>
      </text>
    </comment>
    <comment ref="D22" authorId="0">
      <text>
        <r>
          <rPr>
            <sz val="9"/>
            <color indexed="81"/>
            <rFont val="宋体"/>
            <family val="2"/>
          </rPr>
          <t>#Input("炼化公司_DCC石脑油加氢处理量_月计划",":key{{dw}}")</t>
        </r>
      </text>
    </comment>
    <comment ref="G22" authorId="0">
      <text>
        <r>
          <rPr>
            <sz val="9"/>
            <color indexed="81"/>
            <rFont val="宋体"/>
            <family val="2"/>
          </rPr>
          <t>#Input("炼化公司_DCC石脑油加氢处理量_年计划",":key{{dw}}")</t>
        </r>
      </text>
    </comment>
    <comment ref="J2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#Input("炼化公司生产月报1_去年同期_本月_DCC石脑油加氢处理量",":key{{dw}}")</t>
        </r>
      </text>
    </comment>
    <comment ref="K2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#Input("炼化公司生产月报1_去年同期_本年_DCC石脑油加氢处理量",":key{{dw}}")</t>
        </r>
      </text>
    </comment>
    <comment ref="M22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#Input("炼化公司生产月报1_装置加工量_DCC石脑油加氢处理量_月完成",":key{{dw}}",":read")
</t>
        </r>
      </text>
    </comment>
    <comment ref="N22" authorId="0">
      <text>
        <r>
          <rPr>
            <sz val="9"/>
            <color indexed="81"/>
            <rFont val="宋体"/>
            <family val="2"/>
          </rPr>
          <t>#Input("炼化公司生产月报1_装置加工量_DCC石脑油加氢处理量_年完成",":key{{dw}}",":read")</t>
        </r>
      </text>
    </comment>
    <comment ref="D23" authorId="0">
      <text>
        <r>
          <rPr>
            <sz val="9"/>
            <color indexed="81"/>
            <rFont val="宋体"/>
            <family val="2"/>
          </rPr>
          <t>#Input("炼化公司_DCC裂解轻油精制处理量_月计划",":key{{dw}}")</t>
        </r>
      </text>
    </comment>
    <comment ref="G23" authorId="0">
      <text>
        <r>
          <rPr>
            <sz val="9"/>
            <color indexed="81"/>
            <rFont val="宋体"/>
            <family val="2"/>
          </rPr>
          <t>#Input("炼化公司_DCC裂解轻油精制处理量_年计划",":key{{dw}}")</t>
        </r>
      </text>
    </comment>
    <comment ref="J2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#Input("炼化公司生产月报1_去年同期_本月_DCC裂解轻油加氢处理量",":key{{dw}}")</t>
        </r>
      </text>
    </comment>
    <comment ref="K2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#Input("炼化公司生产月报1_去年同期_本年_DCC裂解轻油加氢处理量",":key{{dw}}")</t>
        </r>
      </text>
    </comment>
    <comment ref="M23" authorId="0">
      <text>
        <r>
          <rPr>
            <sz val="9"/>
            <color indexed="81"/>
            <rFont val="宋体"/>
            <family val="2"/>
          </rPr>
          <t>#Input("炼化公司生产月报1_装置加工量_DCC裂解轻油加氢处理量_月完成",":key{{dw}}",":read")</t>
        </r>
      </text>
    </comment>
    <comment ref="N23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#Input("炼化公司生产月报1_装置加工量_DCC裂解轻油加氢处理量_年完成",":key{{dw}}",":read")
</t>
        </r>
      </text>
    </comment>
    <comment ref="D24" authorId="0">
      <text>
        <r>
          <rPr>
            <sz val="9"/>
            <color indexed="81"/>
            <rFont val="宋体"/>
            <family val="2"/>
          </rPr>
          <t>#Input("炼化公司_汽油加氢精制处理量_月计划",":key{{dw}}")</t>
        </r>
      </text>
    </comment>
    <comment ref="G24" authorId="0">
      <text>
        <r>
          <rPr>
            <sz val="9"/>
            <color indexed="81"/>
            <rFont val="宋体"/>
            <family val="2"/>
          </rPr>
          <t>#Input("炼化公司_汽油加氢精制处理量_年计划",":key{{dw}}")</t>
        </r>
      </text>
    </comment>
    <comment ref="J2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#Input("炼化公司生产月报1_去年同期_本月_汽油加氢精制处理量",":key{{dw}}")</t>
        </r>
      </text>
    </comment>
    <comment ref="K2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#Input("炼化公司生产月报1_去年同期_本年_汽油加氢精制处理量",":key{{dw}}")</t>
        </r>
      </text>
    </comment>
    <comment ref="M24" authorId="0">
      <text>
        <r>
          <rPr>
            <sz val="9"/>
            <color indexed="81"/>
            <rFont val="宋体"/>
            <family val="2"/>
          </rPr>
          <t>#Input("炼化公司生产月报1_装置加工量_汽油加氢处理量_月完成",":key{{dw}}",":read")</t>
        </r>
      </text>
    </comment>
    <comment ref="N24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#Input("炼化公司生产月报1_装置加工量_汽油加氢处理量_年完成",":key{{dw}}",":read")
</t>
        </r>
      </text>
    </comment>
    <comment ref="D25" authorId="0">
      <text>
        <r>
          <rPr>
            <sz val="9"/>
            <color indexed="81"/>
            <rFont val="宋体"/>
            <family val="2"/>
          </rPr>
          <t>#Input("炼化公司_柴油加氢精制处理量_月计划",":key{{dw}}")</t>
        </r>
      </text>
    </comment>
    <comment ref="G25" authorId="0">
      <text>
        <r>
          <rPr>
            <sz val="9"/>
            <color indexed="81"/>
            <rFont val="宋体"/>
            <family val="2"/>
          </rPr>
          <t>#Input("炼化公司_柴油加氢精制处理量_年计划",":key{{dw}}")</t>
        </r>
      </text>
    </comment>
    <comment ref="J2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#Input("炼化公司生产月报1_去年同期_本月_柴油加氢精制处理量",":key{{dw}}")</t>
        </r>
      </text>
    </comment>
    <comment ref="K2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#Input("炼化公司生产月报1_去年同期_本年_柴油加氢精制处理量",":key{{dw}}")</t>
        </r>
      </text>
    </comment>
    <comment ref="M25" authorId="0">
      <text>
        <r>
          <rPr>
            <sz val="9"/>
            <color indexed="81"/>
            <rFont val="宋体"/>
            <family val="2"/>
          </rPr>
          <t>#Input("炼化公司生产月报1_装置加工量_柴油加氢处理量_月完成",":key{{dw}}",":read")</t>
        </r>
      </text>
    </comment>
    <comment ref="N25" authorId="0">
      <text>
        <r>
          <rPr>
            <sz val="9"/>
            <color indexed="81"/>
            <rFont val="宋体"/>
            <family val="2"/>
          </rPr>
          <t>#Input("炼化公司生产月报1_装置加工量_柴油加氢处理量_年完成",":key{{dw}}",":read")</t>
        </r>
      </text>
    </comment>
    <comment ref="D26" authorId="0">
      <text>
        <r>
          <rPr>
            <sz val="9"/>
            <color indexed="81"/>
            <rFont val="宋体"/>
            <family val="2"/>
          </rPr>
          <t>#Input("炼化公司_气分装置加工量_月计划",":key{{dw}}")</t>
        </r>
      </text>
    </comment>
    <comment ref="G26" authorId="0">
      <text>
        <r>
          <rPr>
            <sz val="9"/>
            <color indexed="81"/>
            <rFont val="宋体"/>
            <family val="2"/>
          </rPr>
          <t>#Input("炼化公司_气分装置加工量_年计划",":key{{dw}}")</t>
        </r>
      </text>
    </comment>
    <comment ref="J2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#Input("炼化公司生产月报1_去年同期_本月_气分装置加工量",":key{{dw}}")</t>
        </r>
      </text>
    </comment>
    <comment ref="K2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#Input("炼化公司生产月报1_去年同期_本年_气分装置加工量",":key{{dw}}")</t>
        </r>
      </text>
    </comment>
    <comment ref="M26" authorId="0">
      <text>
        <r>
          <rPr>
            <sz val="9"/>
            <color indexed="81"/>
            <rFont val="宋体"/>
            <family val="2"/>
          </rPr>
          <t>#Input("炼化公司生产月报1_装置加工量_气分装置加工量_月完成",":key{{dw}}",":read")</t>
        </r>
      </text>
    </comment>
    <comment ref="N26" authorId="0">
      <text>
        <r>
          <rPr>
            <sz val="9"/>
            <color indexed="81"/>
            <rFont val="宋体"/>
            <family val="2"/>
          </rPr>
          <t>#Input("炼化公司生产月报1_装置加工量_气分装置加工量_年完成",":key{{dw}}",":read")</t>
        </r>
      </text>
    </comment>
    <comment ref="D27" authorId="0">
      <text>
        <r>
          <rPr>
            <sz val="9"/>
            <color indexed="81"/>
            <rFont val="宋体"/>
            <family val="2"/>
          </rPr>
          <t>#Input("炼化公司_航煤装置处理量_月计划",":key{{dw}}")</t>
        </r>
      </text>
    </comment>
    <comment ref="G27" authorId="0">
      <text>
        <r>
          <rPr>
            <sz val="9"/>
            <color indexed="81"/>
            <rFont val="宋体"/>
            <family val="2"/>
          </rPr>
          <t>#Input("炼化公司_航煤装置处理量_年计划",":key{{dw}}")</t>
        </r>
      </text>
    </comment>
    <comment ref="J2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#Input("炼化公司生产月报1_去年同期_本月_航煤装置处理量",":key{{dw}}")</t>
        </r>
      </text>
    </comment>
    <comment ref="K2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#Input("炼化公司生产月报1_去年同期_本年_航煤装置处理量",":key{{dw}}")</t>
        </r>
      </text>
    </comment>
    <comment ref="M27" authorId="0">
      <text>
        <r>
          <rPr>
            <sz val="9"/>
            <color indexed="81"/>
            <rFont val="宋体"/>
            <family val="2"/>
          </rPr>
          <t>#Input("炼化公司生产月报1_装置加工量_航煤装置处理量_月完成",":key{{dw}}",":read")</t>
        </r>
      </text>
    </comment>
    <comment ref="N27" authorId="0">
      <text>
        <r>
          <rPr>
            <sz val="9"/>
            <color indexed="81"/>
            <rFont val="宋体"/>
            <family val="2"/>
          </rPr>
          <t>#Input("炼化公司生产月报1_装置加工量_航煤装置处理量_年完成",":key{{dw}}",":read")</t>
        </r>
      </text>
    </comment>
    <comment ref="D28" authorId="0">
      <text>
        <r>
          <rPr>
            <sz val="9"/>
            <color indexed="81"/>
            <rFont val="宋体"/>
            <family val="2"/>
          </rPr>
          <t>#Input("炼化公司_烷基化装置处理量_月计划",":key{{dw}}")</t>
        </r>
      </text>
    </comment>
    <comment ref="G28" authorId="0">
      <text>
        <r>
          <rPr>
            <sz val="9"/>
            <color indexed="81"/>
            <rFont val="宋体"/>
            <family val="2"/>
          </rPr>
          <t>#Input("炼化公司_烷基化装置处理量_年计划",":key{{dw}}")</t>
        </r>
      </text>
    </comment>
    <comment ref="J2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#Input("炼化公司生产月报1_去年同期_本月_烷基化装置处理量",":key{{dw}}")</t>
        </r>
      </text>
    </comment>
    <comment ref="K2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#Input("炼化公司生产月报1_去年同期_本年_烷基化装置处理量",":key{{dw}}")</t>
        </r>
      </text>
    </comment>
    <comment ref="M28" authorId="0">
      <text>
        <r>
          <rPr>
            <sz val="9"/>
            <color indexed="81"/>
            <rFont val="宋体"/>
            <family val="2"/>
          </rPr>
          <t>#Input("炼化公司生产月报1_装置加工量_烷基化装置处理量_月完成",":key{{dw}}",":read")</t>
        </r>
      </text>
    </comment>
    <comment ref="N28" authorId="0">
      <text>
        <r>
          <rPr>
            <sz val="9"/>
            <color indexed="81"/>
            <rFont val="宋体"/>
            <family val="2"/>
          </rPr>
          <t>#Input("炼化公司生产月报1_装置加工量_烷基化装置处理量_年完成",":key{{dw}}",":read")</t>
        </r>
      </text>
    </comment>
    <comment ref="D29" authorId="0">
      <text>
        <r>
          <rPr>
            <sz val="9"/>
            <color indexed="81"/>
            <rFont val="宋体"/>
            <family val="2"/>
          </rPr>
          <t>#Input("炼化公司_混合脱氢装置处理量_月计划",":key{{dw}}")</t>
        </r>
      </text>
    </comment>
    <comment ref="G29" authorId="0">
      <text>
        <r>
          <rPr>
            <sz val="9"/>
            <color indexed="81"/>
            <rFont val="宋体"/>
            <family val="2"/>
          </rPr>
          <t>#Input("炼化公司_混合脱氢装置处理量_年计划",":key{{dw}}")</t>
        </r>
      </text>
    </comment>
    <comment ref="J2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#Input("炼化公司生产月报1_去年同期_本月_混合脱氢装置处理量",":key{{dw}}")</t>
        </r>
      </text>
    </comment>
    <comment ref="K2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#Input("炼化公司生产月报1_去年同期_本年_混合脱氢装置处理量",":key{{dw}}")</t>
        </r>
      </text>
    </comment>
    <comment ref="M2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#Input("炼化公司生产月报1_装置加工量_混合脱氢处理量_月完成",":key{{dw}}",":read")
</t>
        </r>
      </text>
    </comment>
    <comment ref="N29" authorId="0">
      <text>
        <r>
          <rPr>
            <sz val="9"/>
            <color indexed="81"/>
            <rFont val="宋体"/>
            <family val="2"/>
          </rPr>
          <t>#Input("炼化公司生产月报1_装置加工量_混合脱氢处理量_年完成",":key{{dw}}",":read")</t>
        </r>
      </text>
    </comment>
    <comment ref="D31" authorId="0">
      <text>
        <r>
          <rPr>
            <sz val="9"/>
            <color indexed="81"/>
            <rFont val="宋体"/>
            <family val="2"/>
          </rPr>
          <t>#Input("炼化公司_汽油产量_月计划",":key{{dw}}")</t>
        </r>
      </text>
    </comment>
    <comment ref="G31" authorId="0">
      <text>
        <r>
          <rPr>
            <sz val="9"/>
            <color indexed="81"/>
            <rFont val="宋体"/>
            <family val="2"/>
          </rPr>
          <t>#Input("炼化公司_汽油产量_年计划",":key{{dw}}")</t>
        </r>
      </text>
    </comment>
    <comment ref="J3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#Input("炼化公司生产月报1_去年同期_本月_汽油产量",":key{{dw}}")</t>
        </r>
      </text>
    </comment>
    <comment ref="K3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#Input("炼化公司生产月报1_去年同期_本年_汽油产量",":key{{dw}}")</t>
        </r>
      </text>
    </comment>
    <comment ref="M31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#Input("炼化公司生产月报1_油气产品产销量_汽油产量_月完成",":key{{dw}}",":read")</t>
        </r>
      </text>
    </comment>
    <comment ref="N31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#Input("炼化公司生产月报1_油气产品产销量_汽油产量_年完成",":key{{dw}}",":read")</t>
        </r>
      </text>
    </comment>
    <comment ref="D32" authorId="0">
      <text>
        <r>
          <rPr>
            <sz val="9"/>
            <color indexed="81"/>
            <rFont val="宋体"/>
            <family val="2"/>
          </rPr>
          <t>#Input("炼化公司_92#_月计划",":key{{dw}}")</t>
        </r>
      </text>
    </comment>
    <comment ref="G32" authorId="0">
      <text>
        <r>
          <rPr>
            <sz val="9"/>
            <color indexed="81"/>
            <rFont val="宋体"/>
            <family val="2"/>
          </rPr>
          <t>#Input("炼化公司_92#_年计划",":key{{dw}}")</t>
        </r>
      </text>
    </comment>
    <comment ref="J3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#Input("炼化公司生产月报1_去年同期_本月_92#VI",":key{{dw}}")</t>
        </r>
      </text>
    </comment>
    <comment ref="K3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#Input("炼化公司生产月报1_去年同期_本年_92#VI",":key{{dw}}")</t>
        </r>
      </text>
    </comment>
    <comment ref="M32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#Input("炼化公司生产月报1_油气产品产销量_汽油产量_92#VI_月完成",":key{{dw}}",":read")</t>
        </r>
      </text>
    </comment>
    <comment ref="N32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#Input("炼化公司生产月报1_油气产品产销量_汽油产量_92#VI_年完成",":key{{dw}}",":read")</t>
        </r>
      </text>
    </comment>
    <comment ref="D33" authorId="0">
      <text>
        <r>
          <rPr>
            <sz val="9"/>
            <color indexed="81"/>
            <rFont val="宋体"/>
            <family val="2"/>
          </rPr>
          <t>#Input("炼化公司_95#_月计划",":key{{dw}}")</t>
        </r>
      </text>
    </comment>
    <comment ref="G33" authorId="0">
      <text>
        <r>
          <rPr>
            <sz val="9"/>
            <color indexed="81"/>
            <rFont val="宋体"/>
            <family val="2"/>
          </rPr>
          <t>#Input("炼化公司_95#_年计划",":key{{dw}}")</t>
        </r>
      </text>
    </comment>
    <comment ref="J3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#Input("炼化公司生产月报1_去年同期_本月_95#VI",":key{{dw}}")</t>
        </r>
      </text>
    </comment>
    <comment ref="K3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#Input("炼化公司生产月报1_去年同期_本年_95#VI",":key{{dw}}")</t>
        </r>
      </text>
    </comment>
    <comment ref="M33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#Input("炼化公司生产月报1_油气产品产销量_汽油产量_95#VI_月完成",":key{{dw}}",":read")</t>
        </r>
      </text>
    </comment>
    <comment ref="N33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#Input("炼化公司生产月报1_油气产品产销量_汽油产量_95#VI_年完成",":key{{dw}}",":read")
</t>
        </r>
      </text>
    </comment>
    <comment ref="D34" authorId="0">
      <text>
        <r>
          <rPr>
            <sz val="9"/>
            <color indexed="81"/>
            <rFont val="宋体"/>
            <family val="2"/>
          </rPr>
          <t>#Input("炼化公司_98#_月计划",":key{{dw}}")</t>
        </r>
      </text>
    </comment>
    <comment ref="G34" authorId="0">
      <text>
        <r>
          <rPr>
            <sz val="9"/>
            <color indexed="81"/>
            <rFont val="宋体"/>
            <family val="2"/>
          </rPr>
          <t>#Input("炼化公司_98#_年计划",":key{{dw}}")</t>
        </r>
      </text>
    </comment>
    <comment ref="J3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#Input("炼化公司生产月报1_去年同期_本月_98#Ⅵ",":key{{dw}}")</t>
        </r>
      </text>
    </comment>
    <comment ref="K3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#Input("炼化公司生产月报1_去年同期_本年_98#Ⅵ",":key{{dw}}")</t>
        </r>
      </text>
    </comment>
    <comment ref="M34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#Input("炼化公司生产月报1_油气产品产销量_汽油产量_98#VI_月完成",":key{{dw}}",":read")</t>
        </r>
      </text>
    </comment>
    <comment ref="N34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#Input("炼化公司生产月报1_油气产品产销量_汽油产量_98#VI_年完成",":key{{dw}}",":read")</t>
        </r>
      </text>
    </comment>
    <comment ref="D35" authorId="0">
      <text>
        <r>
          <rPr>
            <sz val="9"/>
            <color indexed="81"/>
            <rFont val="宋体"/>
            <family val="2"/>
          </rPr>
          <t>#Input("炼化公司_柴油产量_月计划",":key{{dw}}")</t>
        </r>
      </text>
    </comment>
    <comment ref="G35" authorId="0">
      <text>
        <r>
          <rPr>
            <sz val="9"/>
            <color indexed="81"/>
            <rFont val="宋体"/>
            <family val="2"/>
          </rPr>
          <t>#Input("炼化公司_柴油产量_年计划",":key{{dw}}")</t>
        </r>
      </text>
    </comment>
    <comment ref="J3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#Input("炼化公司生产月报1_去年同期_本月_柴油产量",":key{{dw}}")</t>
        </r>
      </text>
    </comment>
    <comment ref="K3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#Input("炼化公司生产月报1_去年同期_本年_柴油产量",":key{{dw}}")</t>
        </r>
      </text>
    </comment>
    <comment ref="M35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#Input("炼化公司生产月报1_油气产品产销量_柴油产量_月完成",":key{{dw}}",":read")</t>
        </r>
      </text>
    </comment>
    <comment ref="N35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#Input("炼化公司生产月报1_油气产品产销量_柴油产量_年完成",":key{{dw}}",":read")</t>
        </r>
      </text>
    </comment>
    <comment ref="D36" authorId="0">
      <text>
        <r>
          <rPr>
            <sz val="9"/>
            <color indexed="81"/>
            <rFont val="宋体"/>
            <family val="2"/>
          </rPr>
          <t>#Input("炼化公司_军用柴油量_月计划",":key{{dw}}")</t>
        </r>
      </text>
    </comment>
    <comment ref="G36" authorId="0">
      <text>
        <r>
          <rPr>
            <sz val="9"/>
            <color indexed="81"/>
            <rFont val="宋体"/>
            <family val="2"/>
          </rPr>
          <t>#Input("炼化公司_军用柴油量_年计划",":key{{dw}}")</t>
        </r>
      </text>
    </comment>
    <comment ref="J3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#Input("炼化公司生产月报1_去年同期_本月_军用柴油",":key{{dw}}")</t>
        </r>
      </text>
    </comment>
    <comment ref="K3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#Input("炼化公司生产月报1_去年同期_本年_军用柴油",":key{{dw}}")</t>
        </r>
      </text>
    </comment>
    <comment ref="M36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#Input("炼化公司生产月报1_油气产品产销量_柴油产量_军用柴油_月完成",":key{{dw}}",":read")</t>
        </r>
      </text>
    </comment>
    <comment ref="N36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#Input("炼化公司生产月报1_油气产品产销量_柴油产量_军用柴油_年完成",":key{{dw}}",":read")</t>
        </r>
      </text>
    </comment>
    <comment ref="D37" authorId="0">
      <text>
        <r>
          <rPr>
            <sz val="9"/>
            <color indexed="81"/>
            <rFont val="宋体"/>
            <family val="2"/>
          </rPr>
          <t>#Input("炼化公司_0#_月计划",":key{{dw}}")</t>
        </r>
      </text>
    </comment>
    <comment ref="G37" authorId="0">
      <text>
        <r>
          <rPr>
            <sz val="9"/>
            <color indexed="81"/>
            <rFont val="宋体"/>
            <family val="2"/>
          </rPr>
          <t>#Input("炼化公司_0#_年计划",":key{{dw}}")</t>
        </r>
      </text>
    </comment>
    <comment ref="J3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#Input("炼化公司生产月报1_去年同期_本月_0#VI",":key{{dw}}")</t>
        </r>
      </text>
    </comment>
    <comment ref="K3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#Input("炼化公司生产月报1_去年同期_本年_0#VI",":key{{dw}}")</t>
        </r>
      </text>
    </comment>
    <comment ref="M37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#Input("炼化公司生产月报1_油气产品产销量_柴油产量_0#VI_月完成",":key{{dw}}",":read")</t>
        </r>
      </text>
    </comment>
    <comment ref="N37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#Input("炼化公司生产月报1_油气产品产销量_柴油产量_0#VI_年完成",":key{{dw}}",":read")</t>
        </r>
      </text>
    </comment>
    <comment ref="D38" authorId="0">
      <text>
        <r>
          <rPr>
            <sz val="9"/>
            <color indexed="81"/>
            <rFont val="宋体"/>
            <family val="2"/>
          </rPr>
          <t>#Input("炼化公司_-10#_月计划",":key{{dw}}")</t>
        </r>
      </text>
    </comment>
    <comment ref="G38" authorId="0">
      <text>
        <r>
          <rPr>
            <sz val="9"/>
            <color indexed="81"/>
            <rFont val="宋体"/>
            <family val="2"/>
          </rPr>
          <t>#Input("炼化公司_-10#_年计划",":key{{dw}}")</t>
        </r>
      </text>
    </comment>
    <comment ref="J3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#Input("炼化公司生产月报1_去年同期_本月_-10#VI",":key{{dw}}")</t>
        </r>
      </text>
    </comment>
    <comment ref="K3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#Input("炼化公司生产月报1_去年同期_本年_-10#VI",":key{{dw}}")</t>
        </r>
      </text>
    </comment>
    <comment ref="M38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#Input("炼化公司生产月报1_油气产品产销量_柴油产量_10#VI_月完成",":key{{dw}}",":read")</t>
        </r>
      </text>
    </comment>
    <comment ref="N38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#Input("炼化公司生产月报1_油气产品产销量_柴油产量_10#VI_年完成",":key{{dw}}",":read")</t>
        </r>
      </text>
    </comment>
    <comment ref="D39" authorId="0">
      <text>
        <r>
          <rPr>
            <sz val="9"/>
            <color indexed="81"/>
            <rFont val="宋体"/>
            <family val="2"/>
          </rPr>
          <t>#Input("炼化公司_-20#_月计划",":key{{dw}}")</t>
        </r>
      </text>
    </comment>
    <comment ref="G39" authorId="0">
      <text>
        <r>
          <rPr>
            <sz val="9"/>
            <color indexed="81"/>
            <rFont val="宋体"/>
            <family val="2"/>
          </rPr>
          <t>#Input("炼化公司_-20#_年计划",":key{{dw}}")</t>
        </r>
      </text>
    </comment>
    <comment ref="J3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#Input("炼化公司生产月报1_去年同期_本月_-20#VI",":key{{dw}}")</t>
        </r>
      </text>
    </comment>
    <comment ref="K3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#Input("炼化公司生产月报1_去年同期_本年_-20#VI",":key{{dw}}")</t>
        </r>
      </text>
    </comment>
    <comment ref="M39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#Input("炼化公司生产月报1_油气产品产销量_柴油产量_20#VI_月完成",":key{{dw}}",":read")</t>
        </r>
      </text>
    </comment>
    <comment ref="N39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#Input("炼化公司生产月报1_油气产品产销量_柴油产量_20#VI_年完成",":key{{dw}}",":read")</t>
        </r>
      </text>
    </comment>
    <comment ref="D40" authorId="0">
      <text>
        <r>
          <rPr>
            <sz val="9"/>
            <color indexed="81"/>
            <rFont val="宋体"/>
            <family val="2"/>
          </rPr>
          <t>#Input("炼化公司_-35#_月计划",":key{{dw}}")</t>
        </r>
      </text>
    </comment>
    <comment ref="G40" authorId="0">
      <text>
        <r>
          <rPr>
            <sz val="9"/>
            <color indexed="81"/>
            <rFont val="宋体"/>
            <family val="2"/>
          </rPr>
          <t>#Input("炼化公司_-35#_年计划",":key{{dw}}")</t>
        </r>
      </text>
    </comment>
    <comment ref="J4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#Input("炼化公司生产月报1_去年同期_本月_-35#VI",":key{{dw}}")</t>
        </r>
      </text>
    </comment>
    <comment ref="K4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#Input("炼化公司生产月报1_去年同期_本年_-35#VI",":key{{dw}}")</t>
        </r>
      </text>
    </comment>
    <comment ref="M40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#Input("炼化公司生产月报1_油气产品产销量_柴油产量_35#VI_月完成",":key{{dw}}",":read")</t>
        </r>
      </text>
    </comment>
    <comment ref="N40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#Input("炼化公司生产月报1_油气产品产销量_柴油产量_35#VI_年完成",":key{{dw}}",":read")</t>
        </r>
      </text>
    </comment>
    <comment ref="D41" authorId="0">
      <text>
        <r>
          <rPr>
            <sz val="9"/>
            <color indexed="81"/>
            <rFont val="宋体"/>
            <family val="2"/>
          </rPr>
          <t>#Input("炼化公司_3#喷气燃料销量_月计划",":key{{dw}}")</t>
        </r>
      </text>
    </comment>
    <comment ref="G41" authorId="0">
      <text>
        <r>
          <rPr>
            <sz val="9"/>
            <color indexed="81"/>
            <rFont val="宋体"/>
            <family val="2"/>
          </rPr>
          <t>#Input("炼化公司_3#喷气燃料销量_年计划",":key{{dw}}")</t>
        </r>
      </text>
    </comment>
    <comment ref="J4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#Input("炼化公司生产月报1_去年同期_本月_3#喷气燃料销量（航煤）",":key{{dw}}")</t>
        </r>
      </text>
    </comment>
    <comment ref="K4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#Input("炼化公司生产月报1_去年同期_本年_3#喷气燃料销量（航煤）",":key{{dw}}")</t>
        </r>
      </text>
    </comment>
    <comment ref="M41" authorId="0">
      <text>
        <r>
          <rPr>
            <sz val="9"/>
            <color indexed="81"/>
            <rFont val="宋体"/>
            <family val="2"/>
          </rPr>
          <t>#Input("炼化公司生产月报1_油气产品产销量_3#喷气燃料销量（航煤)_月完成",":key{{dw}}",":read")</t>
        </r>
      </text>
    </comment>
    <comment ref="N41" authorId="0">
      <text>
        <r>
          <rPr>
            <sz val="9"/>
            <color indexed="81"/>
            <rFont val="宋体"/>
            <family val="2"/>
          </rPr>
          <t>#Input("炼化公司生产月报1_油气产品产销量_3#喷气燃料销量（航煤)_年完成",":key{{dw}}",":read")</t>
        </r>
      </text>
    </comment>
    <comment ref="D42" authorId="0">
      <text>
        <r>
          <rPr>
            <sz val="9"/>
            <color indexed="81"/>
            <rFont val="宋体"/>
            <family val="2"/>
          </rPr>
          <t>#Input("炼化公司_石脑油销售量_月计划",":key{{dw}}")</t>
        </r>
      </text>
    </comment>
    <comment ref="G42" authorId="0">
      <text>
        <r>
          <rPr>
            <sz val="9"/>
            <color indexed="81"/>
            <rFont val="宋体"/>
            <family val="2"/>
          </rPr>
          <t>#Input("炼化公司_石脑油销售量_年计划",":key{{dw}}")</t>
        </r>
      </text>
    </comment>
    <comment ref="J4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#Input("炼化公司生产月报1_去年同期_本月_石脑油销售量",":key{{dw}}")</t>
        </r>
      </text>
    </comment>
    <comment ref="K4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#Input("炼化公司生产月报1_去年同期_本年_石脑油销售量",":key{{dw}}")</t>
        </r>
      </text>
    </comment>
    <comment ref="M42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#Input("炼化公司生产月报1_油气产品产销量_石脑油销售量_月完成",":key{{dw}}",":read")</t>
        </r>
      </text>
    </comment>
    <comment ref="N42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#Input("炼化公司生产月报1_油气产品产销量_石脑油销售量_年完成",":key{{dw}}",":read")</t>
        </r>
      </text>
    </comment>
    <comment ref="D43" authorId="0">
      <text>
        <r>
          <rPr>
            <sz val="9"/>
            <color indexed="81"/>
            <rFont val="宋体"/>
            <family val="2"/>
          </rPr>
          <t>#Input("炼化公司_石脑油Ⅰ_月计划",":key{{dw}}")</t>
        </r>
      </text>
    </comment>
    <comment ref="G43" authorId="0">
      <text>
        <r>
          <rPr>
            <sz val="9"/>
            <color indexed="81"/>
            <rFont val="宋体"/>
            <family val="2"/>
          </rPr>
          <t>#Input("炼化公司_石脑油Ⅰ_年计划",":key{{dw}}")</t>
        </r>
      </text>
    </comment>
    <comment ref="J4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#Input("炼化公司生产月报1_去年同期_本月_石脑油Ⅰ",":key{{dw}}")</t>
        </r>
      </text>
    </comment>
    <comment ref="K4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#Input("炼化公司生产月报1_去年同期_本年_石脑油Ⅰ",":key{{dw}}")</t>
        </r>
      </text>
    </comment>
    <comment ref="M43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#Input("炼化公司生产月报1_油气产品产销量_石脑油销售量_石脑油1_月完成",":key{{dw}}",":read")</t>
        </r>
      </text>
    </comment>
    <comment ref="N43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#Input("炼化公司生产月报1_油气产品产销量_石脑油销售量_石脑油1_年完成",":key{{dw}}",":read")</t>
        </r>
      </text>
    </comment>
    <comment ref="D44" authorId="0">
      <text>
        <r>
          <rPr>
            <sz val="9"/>
            <color indexed="81"/>
            <rFont val="宋体"/>
            <family val="2"/>
          </rPr>
          <t>#Input("炼化公司_石脑油Ⅱ_月计划",":key{{dw}}")</t>
        </r>
      </text>
    </comment>
    <comment ref="G44" authorId="0">
      <text>
        <r>
          <rPr>
            <sz val="9"/>
            <color indexed="81"/>
            <rFont val="宋体"/>
            <family val="2"/>
          </rPr>
          <t>#Input("炼化公司_石脑油Ⅱ_年计划",":key{{dw}}")</t>
        </r>
      </text>
    </comment>
    <comment ref="J4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#Input("炼化公司生产月报1_去年同期_本月_石脑油Ⅱ",":key{{dw}}")</t>
        </r>
      </text>
    </comment>
    <comment ref="K4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#Input("炼化公司生产月报1_去年同期_本年_石脑油Ⅱ",":key{{dw}}")</t>
        </r>
      </text>
    </comment>
    <comment ref="M44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#Input("炼化公司生产月报1_油气产品产销量_石脑油销售量_石脑油2_月完成",":key{{dw}}",":read")</t>
        </r>
      </text>
    </comment>
    <comment ref="N44" authorId="0">
      <text>
        <r>
          <rPr>
            <sz val="9"/>
            <color indexed="81"/>
            <rFont val="宋体"/>
            <family val="2"/>
          </rPr>
          <t>#Input:read("炼化公司生产月报1_油气产品产销量_石脑油销售量_石脑油2_年完成",":key{{dw}}")</t>
        </r>
      </text>
    </comment>
    <comment ref="D45" authorId="0">
      <text>
        <r>
          <rPr>
            <sz val="9"/>
            <color indexed="81"/>
            <rFont val="宋体"/>
            <family val="2"/>
          </rPr>
          <t>#Input("炼化公司_石脑油Ⅲ_月计划",":key{{dw}}")</t>
        </r>
      </text>
    </comment>
    <comment ref="G45" authorId="0">
      <text>
        <r>
          <rPr>
            <sz val="9"/>
            <color indexed="81"/>
            <rFont val="宋体"/>
            <family val="2"/>
          </rPr>
          <t>#Input("炼化公司_石脑油Ⅲ_年计划",":key{{dw}}")</t>
        </r>
      </text>
    </comment>
    <comment ref="J4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#Input("炼化公司生产月报1_去年同期_本月_石脑油Ⅲ",":key{{dw}}")</t>
        </r>
      </text>
    </comment>
    <comment ref="K4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#Input("炼化公司生产月报1_去年同期_本年_石脑油Ⅲ",":key{{dw}}")</t>
        </r>
      </text>
    </comment>
    <comment ref="M45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#Input("炼化公司生产月报1_油气产品产销量_石脑油销售量_石脑油3_月完成",":key{{dw}}",":read")</t>
        </r>
      </text>
    </comment>
    <comment ref="N45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#Input("炼化公司生产月报1_油气产品产销量_石脑油销售量_石脑油3_年完成",":key{{dw}}",":read")</t>
        </r>
      </text>
    </comment>
    <comment ref="D46" authorId="0">
      <text>
        <r>
          <rPr>
            <sz val="9"/>
            <color indexed="81"/>
            <rFont val="宋体"/>
            <family val="2"/>
          </rPr>
          <t>#Input("炼化公司_液化气销量_月计划",":key{{dw}}")</t>
        </r>
      </text>
    </comment>
    <comment ref="G46" authorId="0">
      <text>
        <r>
          <rPr>
            <sz val="9"/>
            <color indexed="81"/>
            <rFont val="宋体"/>
            <family val="2"/>
          </rPr>
          <t>#Input("炼化公司_液化气销量_年计划",":key{{dw}}")</t>
        </r>
      </text>
    </comment>
    <comment ref="J4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#Input("炼化公司生产月报1_去年同期_本月_液化气销量",":key{{dw}}")</t>
        </r>
      </text>
    </comment>
    <comment ref="K4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#Input("炼化公司生产月报1_去年同期_本年_液化气销量",":key{{dw}}")</t>
        </r>
      </text>
    </comment>
    <comment ref="M46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#Input("炼化公司生产月报1_油气产品产销量_液化气销量_月完成",":key{{dw}}",":read")</t>
        </r>
      </text>
    </comment>
    <comment ref="N46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#Input("炼化公司生产月报1_油气产品产销量_液化气销量_年完成",":key{{dw}}",":read")</t>
        </r>
      </text>
    </comment>
    <comment ref="D47" authorId="0">
      <text>
        <r>
          <rPr>
            <sz val="9"/>
            <color indexed="81"/>
            <rFont val="宋体"/>
            <family val="2"/>
          </rPr>
          <t>#Input("炼化公司_催化液化气_月计划",":key{{dw}}")</t>
        </r>
      </text>
    </comment>
    <comment ref="G47" authorId="0">
      <text>
        <r>
          <rPr>
            <sz val="9"/>
            <color indexed="81"/>
            <rFont val="宋体"/>
            <family val="2"/>
          </rPr>
          <t>#Input("炼化公司_催化液化气_年计划",":key{{dw}}")</t>
        </r>
      </text>
    </comment>
    <comment ref="J4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#Input("炼化公司生产月报1_去年同期_本月_催化液化气",":key{{dw}}")</t>
        </r>
      </text>
    </comment>
    <comment ref="K4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#Input("炼化公司生产月报1_去年同期_本年_催化液化气",":key{{dw}}")</t>
        </r>
      </text>
    </comment>
    <comment ref="M47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#Input("炼化公司生产月报1_油气产品产销量_液化气销量_催化液化气_月完成",":key{{dw}}",":read")</t>
        </r>
      </text>
    </comment>
    <comment ref="N47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#Input("炼化公司生产月报1_油气产品产销量_液化气销量_催化液化气_年完成",":key{{dw}}",":read")</t>
        </r>
      </text>
    </comment>
    <comment ref="D48" authorId="0">
      <text>
        <r>
          <rPr>
            <sz val="9"/>
            <color indexed="81"/>
            <rFont val="宋体"/>
            <family val="2"/>
          </rPr>
          <t>#Input("炼化公司_醚后碳四_月计划",":key{{dw}}")</t>
        </r>
      </text>
    </comment>
    <comment ref="G48" authorId="0">
      <text>
        <r>
          <rPr>
            <sz val="9"/>
            <color indexed="81"/>
            <rFont val="宋体"/>
            <family val="2"/>
          </rPr>
          <t>#Input("炼化公司_醚后碳四_年计划",":key{{dw}}")</t>
        </r>
      </text>
    </comment>
    <comment ref="J4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#Input("炼化公司生产月报1_去年同期_本月_醚后碳四",":key{{dw}}")</t>
        </r>
      </text>
    </comment>
    <comment ref="K4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#Input("炼化公司生产月报1_去年同期_本年_醚后碳四",":key{{dw}}")</t>
        </r>
      </text>
    </comment>
    <comment ref="M48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#Input("炼化公司生产月报1_油气产品产销量_液化气销量_醚后碳四_月完成",":key{{dw}}",":read")</t>
        </r>
      </text>
    </comment>
    <comment ref="N48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#Input("炼化公司生产月报1_油气产品产销量_液化气销量_醚后碳四_年完成",":key{{dw}}",":read")</t>
        </r>
      </text>
    </comment>
    <comment ref="D49" authorId="0">
      <text>
        <r>
          <rPr>
            <sz val="9"/>
            <color indexed="81"/>
            <rFont val="宋体"/>
            <family val="2"/>
          </rPr>
          <t>#Input("炼化公司_民用液化气_月计划",":key{{dw}}")</t>
        </r>
      </text>
    </comment>
    <comment ref="G49" authorId="0">
      <text>
        <r>
          <rPr>
            <sz val="9"/>
            <color indexed="81"/>
            <rFont val="宋体"/>
            <family val="2"/>
          </rPr>
          <t>#Input("炼化公司_民用液化气_年计划",":key{{dw}}")</t>
        </r>
      </text>
    </comment>
    <comment ref="J4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#Input("炼化公司生产月报1_去年同期_本月_民用液化气",":key{{dw}}")</t>
        </r>
      </text>
    </comment>
    <comment ref="K4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#Input("炼化公司生产月报1_去年同期_本年_民用液化气",":key{{dw}}")</t>
        </r>
      </text>
    </comment>
    <comment ref="M49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#Input("炼化公司生产月报1_油气产品产销量_液化气销量_民用液化气_月完成",":key{{dw}}",":read")</t>
        </r>
      </text>
    </comment>
    <comment ref="N49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#Input("炼化公司生产月报1_油气产品产销量_液化气销量_民用液化气_年完成",":key{{dw}}",":read")</t>
        </r>
      </text>
    </comment>
    <comment ref="D50" authorId="0">
      <text>
        <r>
          <rPr>
            <sz val="9"/>
            <color indexed="81"/>
            <rFont val="宋体"/>
            <family val="2"/>
          </rPr>
          <t>#Input("炼化公司_正丁烷_月计划",":key{{dw}}")</t>
        </r>
      </text>
    </comment>
    <comment ref="G50" authorId="0">
      <text>
        <r>
          <rPr>
            <sz val="9"/>
            <color indexed="81"/>
            <rFont val="宋体"/>
            <family val="2"/>
          </rPr>
          <t>#Input("炼化公司_正丁烷_年计划",":key{{dw}}")</t>
        </r>
      </text>
    </comment>
    <comment ref="J5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#Input("炼化公司生产月报1_去年同期_本月_正丁烷",":key{{dw}}")</t>
        </r>
      </text>
    </comment>
    <comment ref="K5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#Input("炼化公司生产月报1_去年同期_本年_正丁烷",":key{{dw}}")</t>
        </r>
      </text>
    </comment>
    <comment ref="M50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#Input("炼化公司生产月报1_油气产品产销量_液化气销量_正丁烷_月完成",":key{{dw}}",":read")</t>
        </r>
      </text>
    </comment>
    <comment ref="N50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#Input("炼化公司生产月报1_油气产品产销量_液化气销量_正丁烷_年完成",":key{{dw}}",":read")</t>
        </r>
      </text>
    </comment>
    <comment ref="D51" authorId="0">
      <text>
        <r>
          <rPr>
            <sz val="9"/>
            <color indexed="81"/>
            <rFont val="宋体"/>
            <family val="2"/>
          </rPr>
          <t>#Input("炼化公司_1#渣油销量_月计划",":key{{dw}}")</t>
        </r>
      </text>
    </comment>
    <comment ref="G51" authorId="0">
      <text>
        <r>
          <rPr>
            <sz val="9"/>
            <color indexed="81"/>
            <rFont val="宋体"/>
            <family val="2"/>
          </rPr>
          <t>#Input("炼化公司_1#渣油销量_年计划",":key{{dw}}")</t>
        </r>
      </text>
    </comment>
    <comment ref="J5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#Input("炼化公司生产月报1_去年同期_本月_1#渣油销量（供榆能化）",":key{{dw}}")</t>
        </r>
      </text>
    </comment>
    <comment ref="K5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#Input("炼化公司生产月报1_去年同期_本年_1#渣油销量（供榆能化）",":key{{dw}}")</t>
        </r>
      </text>
    </comment>
    <comment ref="M51" authorId="0">
      <text>
        <r>
          <rPr>
            <sz val="9"/>
            <color indexed="81"/>
            <rFont val="宋体"/>
            <family val="2"/>
          </rPr>
          <t>#Input("炼化公司生产月报1_油气产品产销量_1#渣油销量_月完成",":key{{dw}}",":read")</t>
        </r>
      </text>
    </comment>
    <comment ref="N51" authorId="0">
      <text>
        <r>
          <rPr>
            <sz val="9"/>
            <color indexed="81"/>
            <rFont val="宋体"/>
            <family val="2"/>
          </rPr>
          <t>#Input("炼化公司生产月报1_油气产品产销量_1#渣油销量_年完成",":key{{dw}}",":read")</t>
        </r>
      </text>
    </comment>
    <comment ref="D52" authorId="0">
      <text>
        <r>
          <rPr>
            <sz val="9"/>
            <color indexed="81"/>
            <rFont val="宋体"/>
            <family val="2"/>
          </rPr>
          <t>#Input("炼化公司_2#渣油销量_月计划",":key{{dw}}")</t>
        </r>
      </text>
    </comment>
    <comment ref="G52" authorId="0">
      <text>
        <r>
          <rPr>
            <sz val="9"/>
            <color indexed="81"/>
            <rFont val="宋体"/>
            <family val="2"/>
          </rPr>
          <t>#Input("炼化公司_2#渣油销量_年计划",":key{{dw}}")</t>
        </r>
      </text>
    </comment>
    <comment ref="J5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#Input("炼化公司生产月报1_去年同期_本月_2#渣油销量",":key{{dw}}")</t>
        </r>
      </text>
    </comment>
    <comment ref="K5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#Input("炼化公司生产月报1_去年同期_本年_2#渣油销量",":key{{dw}}")</t>
        </r>
      </text>
    </comment>
    <comment ref="M52" authorId="0">
      <text>
        <r>
          <rPr>
            <sz val="9"/>
            <color indexed="81"/>
            <rFont val="宋体"/>
            <family val="2"/>
          </rPr>
          <t>#Input:read("炼化公司生产月报1_油气产品产销量_2#渣油销量_月完成",":key{{dw}}")</t>
        </r>
      </text>
    </comment>
    <comment ref="N52" authorId="0">
      <text>
        <r>
          <rPr>
            <sz val="9"/>
            <color indexed="81"/>
            <rFont val="宋体"/>
            <family val="2"/>
          </rPr>
          <t>#Input("炼化公司生产月报1_油气产品产销量_2#渣油销量_年完成",":key{{dw}}",":read")</t>
        </r>
      </text>
    </comment>
    <comment ref="D53" authorId="0">
      <text>
        <r>
          <rPr>
            <sz val="9"/>
            <color indexed="81"/>
            <rFont val="宋体"/>
            <family val="2"/>
          </rPr>
          <t>#Input("炼化公司_聚丙烯产量_月计划",":key{{dw}}")</t>
        </r>
      </text>
    </comment>
    <comment ref="G53" authorId="0">
      <text>
        <r>
          <rPr>
            <sz val="9"/>
            <color indexed="81"/>
            <rFont val="宋体"/>
            <family val="2"/>
          </rPr>
          <t>#Input("炼化公司_聚丙烯产量_年计划",":key{{dw}}")</t>
        </r>
      </text>
    </comment>
    <comment ref="J5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#Input("炼化公司生产月报1_去年同期_本月_聚丙烯产量",":key{{dw}}")</t>
        </r>
      </text>
    </comment>
    <comment ref="K5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#Input("炼化公司生产月报1_去年同期_本年_聚丙烯产量",":key{{dw}}")</t>
        </r>
      </text>
    </comment>
    <comment ref="M53" authorId="0">
      <text>
        <r>
          <rPr>
            <sz val="9"/>
            <color indexed="81"/>
            <rFont val="宋体"/>
            <family val="2"/>
          </rPr>
          <t>#Input("炼化公司生产月报1_油气产品产销量_聚丙烯产量_月完成",":key{{dw}}",":read")</t>
        </r>
      </text>
    </comment>
    <comment ref="N53" authorId="0">
      <text>
        <r>
          <rPr>
            <sz val="9"/>
            <color indexed="81"/>
            <rFont val="宋体"/>
            <family val="2"/>
          </rPr>
          <t>#Input("炼化公司生产月报1_油气产品产销量_聚丙烯产量_年完成",":key{{dw}}",":read")</t>
        </r>
      </text>
    </comment>
    <comment ref="D54" authorId="0">
      <text>
        <r>
          <rPr>
            <sz val="9"/>
            <color indexed="81"/>
            <rFont val="宋体"/>
            <family val="2"/>
          </rPr>
          <t>#Input("炼化公司_苯乙烯产量_月计划",":key{{dw}}")</t>
        </r>
      </text>
    </comment>
    <comment ref="G54" authorId="0">
      <text>
        <r>
          <rPr>
            <sz val="9"/>
            <color indexed="81"/>
            <rFont val="宋体"/>
            <family val="2"/>
          </rPr>
          <t>#Input("炼化公司_苯乙烯产量_年计划",":key{{dw}}")</t>
        </r>
      </text>
    </comment>
    <comment ref="J5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#Input("炼化公司生产月报1_去年同期_本月_苯乙烯产量",":key{{dw}}")</t>
        </r>
      </text>
    </comment>
    <comment ref="K5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#Input("炼化公司生产月报1_去年同期_本年_苯乙烯产量",":key{{dw}}")</t>
        </r>
      </text>
    </comment>
    <comment ref="M54" authorId="0">
      <text>
        <r>
          <rPr>
            <sz val="9"/>
            <color indexed="81"/>
            <rFont val="宋体"/>
            <family val="2"/>
          </rPr>
          <t>#Input("炼化公司生产月报1_油气产品产销量_苯乙烯产量_月完成",":key{{dw}}",":read")</t>
        </r>
      </text>
    </comment>
    <comment ref="N54" authorId="0">
      <text>
        <r>
          <rPr>
            <sz val="9"/>
            <color indexed="81"/>
            <rFont val="宋体"/>
            <family val="2"/>
          </rPr>
          <t>#Input("炼化公司生产月报1_油气产品产销量_苯乙烯产量_年完成",":key{{dw}}",":read")</t>
        </r>
      </text>
    </comment>
    <comment ref="D55" authorId="0">
      <text>
        <r>
          <rPr>
            <sz val="9"/>
            <color indexed="81"/>
            <rFont val="宋体"/>
            <family val="2"/>
          </rPr>
          <t>#Input("炼化公司_苯销量_月计划",":key{{dw}}")</t>
        </r>
      </text>
    </comment>
    <comment ref="G55" authorId="0">
      <text>
        <r>
          <rPr>
            <sz val="9"/>
            <color indexed="81"/>
            <rFont val="宋体"/>
            <family val="2"/>
          </rPr>
          <t>#Input("炼化公司_苯销量_年计划",":key{{dw}}")</t>
        </r>
      </text>
    </comment>
    <comment ref="J5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#Input("炼化公司生产月报1_去年同期_本月_苯销量",":key{{dw}}")</t>
        </r>
      </text>
    </comment>
    <comment ref="K5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#Input("炼化公司生产月报1_去年同期_本年_苯销量",":key{{dw}}")</t>
        </r>
      </text>
    </comment>
    <comment ref="M55" authorId="0">
      <text>
        <r>
          <rPr>
            <sz val="9"/>
            <color indexed="81"/>
            <rFont val="宋体"/>
            <family val="2"/>
          </rPr>
          <t>#Input("炼化公司生产月报1_油气产品产销量_苯销量_月完成",":key{{dw}}",":read")</t>
        </r>
      </text>
    </comment>
    <comment ref="N55" authorId="0">
      <text>
        <r>
          <rPr>
            <sz val="9"/>
            <color indexed="81"/>
            <rFont val="宋体"/>
            <family val="2"/>
          </rPr>
          <t>#Input("炼化公司生产月报1_油气产品产销量_苯销量_年完成",":key{{dw}}",":read")</t>
        </r>
      </text>
    </comment>
    <comment ref="D56" authorId="0">
      <text>
        <r>
          <rPr>
            <sz val="9"/>
            <color indexed="81"/>
            <rFont val="宋体"/>
            <family val="2"/>
          </rPr>
          <t>#Input("炼化公司_二甲苯销量_月计划",":key{{dw}}")</t>
        </r>
      </text>
    </comment>
    <comment ref="G56" authorId="0">
      <text>
        <r>
          <rPr>
            <sz val="9"/>
            <color indexed="81"/>
            <rFont val="宋体"/>
            <family val="2"/>
          </rPr>
          <t>#Input("炼化公司_二甲苯销量_年计划",":key{{dw}}")</t>
        </r>
      </text>
    </comment>
    <comment ref="J5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#Input("炼化公司生产月报1_去年同期_本月_二甲苯销量",":key{{dw}}")</t>
        </r>
      </text>
    </comment>
    <comment ref="K5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#Input("炼化公司生产月报1_去年同期_本年_二甲苯销量",":key{{dw}}")</t>
        </r>
      </text>
    </comment>
    <comment ref="M56" authorId="0">
      <text>
        <r>
          <rPr>
            <sz val="9"/>
            <color indexed="81"/>
            <rFont val="宋体"/>
            <family val="2"/>
          </rPr>
          <t>#Input("炼化公司生产月报1_油气产品产销量_二甲苯销量_月完成",":key{{dw}}",":read")</t>
        </r>
      </text>
    </comment>
    <comment ref="N56" authorId="0">
      <text>
        <r>
          <rPr>
            <sz val="9"/>
            <color indexed="81"/>
            <rFont val="宋体"/>
            <family val="2"/>
          </rPr>
          <t>#Input("炼化公司生产月报1_油气产品产销量_二甲苯销量_年完成",":key{{dw}}",":read")</t>
        </r>
      </text>
    </comment>
    <comment ref="D57" authorId="0">
      <text>
        <r>
          <rPr>
            <sz val="9"/>
            <color indexed="81"/>
            <rFont val="宋体"/>
            <family val="2"/>
          </rPr>
          <t>#Input("炼化公司_醋酸仲丁酯产量_月计划",":key{{dw}}")</t>
        </r>
      </text>
    </comment>
    <comment ref="G57" authorId="0">
      <text>
        <r>
          <rPr>
            <sz val="9"/>
            <color indexed="81"/>
            <rFont val="宋体"/>
            <family val="2"/>
          </rPr>
          <t>#Input("炼化公司_醋酸仲丁酯产量_年计划",":key{{dw}}")</t>
        </r>
      </text>
    </comment>
    <comment ref="J5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#Input("炼化公司生产月报1_去年同期_本月_醋酸仲丁酯产量",":key{{dw}}")</t>
        </r>
      </text>
    </comment>
    <comment ref="K5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#Input("炼化公司生产月报1_去年同期_本年_醋酸仲丁酯产量",":key{{dw}}")</t>
        </r>
      </text>
    </comment>
    <comment ref="M57" authorId="0">
      <text>
        <r>
          <rPr>
            <sz val="9"/>
            <color indexed="81"/>
            <rFont val="宋体"/>
            <family val="2"/>
          </rPr>
          <t>#Input("炼化公司生产月报1_油气产品产销量_醋酸仲丁酯产量_月完成",":key{{dw}}",":read")</t>
        </r>
      </text>
    </comment>
    <comment ref="N57" authorId="0">
      <text>
        <r>
          <rPr>
            <sz val="9"/>
            <color indexed="81"/>
            <rFont val="宋体"/>
            <family val="2"/>
          </rPr>
          <t>#Input("炼化公司生产月报1_油气产品产销量_醋酸仲丁酯产量_年完成",":key{{dw}}",":read")</t>
        </r>
      </text>
    </comment>
    <comment ref="D58" authorId="0">
      <text>
        <r>
          <rPr>
            <sz val="9"/>
            <color indexed="81"/>
            <rFont val="宋体"/>
            <family val="2"/>
          </rPr>
          <t>#Input("炼化公司_精制硫磺销量_月计划",":key{{dw}}")</t>
        </r>
      </text>
    </comment>
    <comment ref="G58" authorId="0">
      <text>
        <r>
          <rPr>
            <sz val="9"/>
            <color indexed="81"/>
            <rFont val="宋体"/>
            <family val="2"/>
          </rPr>
          <t>#Input("炼化公司_精制硫磺销量_年计划",":key{{dw}}")</t>
        </r>
      </text>
    </comment>
    <comment ref="J5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#Input("炼化公司生产月报1_去年同期_本月_精制硫磺销量",":key{{dw}}")</t>
        </r>
      </text>
    </comment>
    <comment ref="K5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#Input("炼化公司生产月报1_去年同期_本年_精制硫磺销量",":key{{dw}}")</t>
        </r>
      </text>
    </comment>
    <comment ref="M58" authorId="0">
      <text>
        <r>
          <rPr>
            <sz val="9"/>
            <color indexed="81"/>
            <rFont val="宋体"/>
            <family val="2"/>
          </rPr>
          <t>#Input("炼化公司生产月报1_油气产品产销量_精制硫磺销量_月完成",":key{{dw}}",":read")</t>
        </r>
      </text>
    </comment>
    <comment ref="N58" authorId="0">
      <text>
        <r>
          <rPr>
            <sz val="9"/>
            <color indexed="81"/>
            <rFont val="宋体"/>
            <family val="2"/>
          </rPr>
          <t>#Input("炼化公司生产月报1_油气产品产销量_精制硫磺销量_年完成",":key{{dw}}",":read")</t>
        </r>
      </text>
    </comment>
    <comment ref="D59" authorId="0">
      <text>
        <r>
          <rPr>
            <sz val="9"/>
            <color indexed="81"/>
            <rFont val="宋体"/>
            <family val="2"/>
          </rPr>
          <t>#Input("炼化公司_粗硫磺销量_月计划",":key{{dw}}")</t>
        </r>
      </text>
    </comment>
    <comment ref="G59" authorId="0">
      <text>
        <r>
          <rPr>
            <sz val="9"/>
            <color indexed="81"/>
            <rFont val="宋体"/>
            <family val="2"/>
          </rPr>
          <t>#Input("炼化公司_粗硫磺销量_年计划",":key{{dw}}")</t>
        </r>
      </text>
    </comment>
    <comment ref="J5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#Input("炼化公司生产月报1_去年同期_本月_粗硫磺销量",":key{{dw}}")</t>
        </r>
      </text>
    </comment>
    <comment ref="K5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#Input("炼化公司生产月报1_去年同期_本年_粗硫磺销量",":key{{dw}}")</t>
        </r>
      </text>
    </comment>
    <comment ref="M59" authorId="0">
      <text>
        <r>
          <rPr>
            <sz val="9"/>
            <color indexed="81"/>
            <rFont val="宋体"/>
            <family val="2"/>
          </rPr>
          <t>#Input("炼化公司生产月报1_油气产品产销量_粗硫磺销量_月完成",":key{{dw}}",":read")</t>
        </r>
      </text>
    </comment>
    <comment ref="N59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#Input("炼化公司生产月报1_油气产品产销量_粗硫磺销量_年完成",":key{{dw}}",":read")
</t>
        </r>
      </text>
    </comment>
    <comment ref="D60" authorId="0">
      <text>
        <r>
          <rPr>
            <sz val="9"/>
            <color indexed="81"/>
            <rFont val="宋体"/>
            <family val="2"/>
          </rPr>
          <t>#Input("炼化公司_丙烯销量_月计划",":key{{dw}}")</t>
        </r>
      </text>
    </comment>
    <comment ref="G60" authorId="0">
      <text>
        <r>
          <rPr>
            <sz val="9"/>
            <color indexed="81"/>
            <rFont val="宋体"/>
            <family val="2"/>
          </rPr>
          <t>#Input("炼化公司_丙烯销量_年计划",":key{{dw}}")</t>
        </r>
      </text>
    </comment>
    <comment ref="J6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#Input("炼化公司生产月报1_去年同期_本月_丙烯销量",":key{{dw}}")</t>
        </r>
      </text>
    </comment>
    <comment ref="K6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#Input("炼化公司生产月报1_去年同期_本年_丙烯销量",":key{{dw}}")</t>
        </r>
      </text>
    </comment>
    <comment ref="M60" authorId="0">
      <text>
        <r>
          <rPr>
            <sz val="9"/>
            <color indexed="81"/>
            <rFont val="宋体"/>
            <family val="2"/>
          </rPr>
          <t>#Input("炼化公司生产月报1_油气产品产销量_丙烯销量_月完成",":key{{dw}}",":read")</t>
        </r>
      </text>
    </comment>
    <comment ref="N6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#Input("炼化公司生产月报1_油气产品产销量_丙烯销量_年完成",":key{{dw}}",":read")
</t>
        </r>
      </text>
    </comment>
    <comment ref="D61" authorId="0">
      <text>
        <r>
          <rPr>
            <sz val="9"/>
            <color indexed="81"/>
            <rFont val="宋体"/>
            <family val="2"/>
          </rPr>
          <t>#Input("炼化公司_硫酸铵销量_月计划",":key{{dw}}")</t>
        </r>
      </text>
    </comment>
    <comment ref="G61" authorId="0">
      <text>
        <r>
          <rPr>
            <sz val="9"/>
            <color indexed="81"/>
            <rFont val="宋体"/>
            <family val="2"/>
          </rPr>
          <t>#Input("炼化公司_硫酸铵销量_年计划",":key{{dw}}")</t>
        </r>
      </text>
    </comment>
    <comment ref="J6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#Input("炼化公司生产月报1_去年同期_本月_硫酸铵销量",":key{{dw}}")</t>
        </r>
      </text>
    </comment>
    <comment ref="K6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#Input("炼化公司生产月报1_去年同期_本年_硫酸铵销量",":key{{dw}}")</t>
        </r>
      </text>
    </comment>
    <comment ref="M61" authorId="0">
      <text>
        <r>
          <rPr>
            <sz val="9"/>
            <color indexed="81"/>
            <rFont val="宋体"/>
            <family val="2"/>
          </rPr>
          <t>#Input("炼化公司生产月报1_油气产品产销量_硫酸铵销量_月完成",":key{{dw}}",":read")</t>
        </r>
      </text>
    </comment>
    <comment ref="N6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#Input("炼化公司生产月报1_油气产品产销量_硫酸铵销量_年完成",":key{{dw}}",":read")
</t>
        </r>
      </text>
    </comment>
    <comment ref="D62" authorId="0">
      <text>
        <r>
          <rPr>
            <sz val="9"/>
            <color indexed="81"/>
            <rFont val="宋体"/>
            <family val="2"/>
          </rPr>
          <t>#Input("炼化公司_异辛烷组分产量_月计划",":key{{dw}}")</t>
        </r>
      </text>
    </comment>
    <comment ref="G62" authorId="0">
      <text>
        <r>
          <rPr>
            <sz val="9"/>
            <color indexed="81"/>
            <rFont val="宋体"/>
            <family val="2"/>
          </rPr>
          <t>#Input("炼化公司_异辛烷组分产量_年计划",":key{{dw}}")</t>
        </r>
      </text>
    </comment>
    <comment ref="J6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#Input("炼化公司生产月报1_去年同期_本月_异辛烷组分产量",":key{{dw}}")</t>
        </r>
      </text>
    </comment>
    <comment ref="K6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#Input("炼化公司生产月报1_去年同期_本年_异辛烷组分产量",":key{{dw}}")</t>
        </r>
      </text>
    </comment>
    <comment ref="M62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#Input("炼化公司生产月报1_油气产品产销量_异辛烷组分产量_月完成",":key{{dw}}",":read")</t>
        </r>
      </text>
    </comment>
    <comment ref="N62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#Input("炼化公司生产月报1_油气产品产销量_异辛烷组分产量_年完成",":key{{dw}}",":read")</t>
        </r>
      </text>
    </comment>
    <comment ref="D63" authorId="0">
      <text>
        <r>
          <rPr>
            <sz val="9"/>
            <color indexed="81"/>
            <rFont val="宋体"/>
            <family val="2"/>
          </rPr>
          <t>#Input("炼化公司_异辛烷组分销量_月计划",":key{{dw}}")</t>
        </r>
      </text>
    </comment>
    <comment ref="G63" authorId="0">
      <text>
        <r>
          <rPr>
            <sz val="9"/>
            <color indexed="81"/>
            <rFont val="宋体"/>
            <family val="2"/>
          </rPr>
          <t>#Input("炼化公司_异辛烷组分销量_年计划",":key{{dw}}")</t>
        </r>
      </text>
    </comment>
    <comment ref="J6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#Input("炼化公司生产月报1_去年同期_本月_异辛烷组分销量",":key{{dw}}")</t>
        </r>
      </text>
    </comment>
    <comment ref="K6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#Input("炼化公司生产月报1_去年同期_本年_异辛烷组分销量",":key{{dw}}")</t>
        </r>
      </text>
    </comment>
    <comment ref="M63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#Input("炼化公司生产月报1_油气产品产销量_异辛烷组分销量_月完成",":key{{dw}}",":read")</t>
        </r>
      </text>
    </comment>
    <comment ref="N63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#Input("炼化公司生产月报1_油气产品产销量_异辛烷组分销量_年完成",":key{{dw}}",":read")</t>
        </r>
      </text>
    </comment>
    <comment ref="D64" authorId="0">
      <text>
        <r>
          <rPr>
            <sz val="9"/>
            <color indexed="81"/>
            <rFont val="宋体"/>
            <family val="2"/>
          </rPr>
          <t>#Input("炼化公司_MTBE产量_月计划",":key{{dw}}")</t>
        </r>
      </text>
    </comment>
    <comment ref="G64" authorId="0">
      <text>
        <r>
          <rPr>
            <sz val="9"/>
            <color indexed="81"/>
            <rFont val="宋体"/>
            <family val="2"/>
          </rPr>
          <t>#Input("炼化公司_MTBE产量_年计划",":key{{dw}}")</t>
        </r>
      </text>
    </comment>
    <comment ref="J6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#Input("炼化公司生产月报1_去年同期_本月_MTBE产量",":key{{dw}}")</t>
        </r>
      </text>
    </comment>
    <comment ref="K6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#Input("炼化公司生产月报1_去年同期_本年_MTBE产量",":key{{dw}}")</t>
        </r>
      </text>
    </comment>
    <comment ref="M64" authorId="0">
      <text>
        <r>
          <rPr>
            <sz val="9"/>
            <color indexed="81"/>
            <rFont val="宋体"/>
            <family val="2"/>
          </rPr>
          <t>#Input("炼化公司生产月报1_油气产品产销量_MTBE产量_月完成",":key{{dw}}",":read")</t>
        </r>
      </text>
    </comment>
    <comment ref="N64" authorId="0">
      <text>
        <r>
          <rPr>
            <sz val="9"/>
            <color indexed="81"/>
            <rFont val="宋体"/>
            <family val="2"/>
          </rPr>
          <t>#Input("炼化公司生产月报1_油气产品产销量_MTBE产量_年完成",":key{{dw}}",":read")</t>
        </r>
      </text>
    </comment>
    <comment ref="D65" authorId="0">
      <text>
        <r>
          <rPr>
            <sz val="9"/>
            <color indexed="81"/>
            <rFont val="宋体"/>
            <family val="2"/>
          </rPr>
          <t>#Input("炼化公司_MTBE销量_月计划",":key{{dw}}")</t>
        </r>
      </text>
    </comment>
    <comment ref="G65" authorId="0">
      <text>
        <r>
          <rPr>
            <sz val="9"/>
            <color indexed="81"/>
            <rFont val="宋体"/>
            <family val="2"/>
          </rPr>
          <t>#Input("炼化公司_MTBE销量_年计划",":key{{dw}}")</t>
        </r>
      </text>
    </comment>
    <comment ref="J6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#Input("炼化公司生产月报1_去年同期_本月_MTBE销量",":key{{dw}}")</t>
        </r>
      </text>
    </comment>
    <comment ref="K6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#Input("炼化公司生产月报1_去年同期_本年_MTBE销量",":key{{dw}}")</t>
        </r>
      </text>
    </comment>
    <comment ref="M65" authorId="0">
      <text>
        <r>
          <rPr>
            <sz val="9"/>
            <color indexed="81"/>
            <rFont val="宋体"/>
            <family val="2"/>
          </rPr>
          <t>#Input("炼化公司生产月报1_油气产品产销量_MTBE销量_月完成",":key{{dw}}",":read")</t>
        </r>
      </text>
    </comment>
    <comment ref="N65" authorId="0">
      <text>
        <r>
          <rPr>
            <sz val="9"/>
            <color indexed="81"/>
            <rFont val="宋体"/>
            <family val="2"/>
          </rPr>
          <t>#Input("炼化公司生产月报1_油气产品产销量_MTBE销量_年完成",":key{{dw}}",":read")</t>
        </r>
      </text>
    </comment>
    <comment ref="D66" authorId="0">
      <text>
        <r>
          <rPr>
            <sz val="9"/>
            <color indexed="81"/>
            <rFont val="宋体"/>
            <family val="2"/>
          </rPr>
          <t>#Input("炼化公司_液氨销量_月计划",":key{{dw}}")</t>
        </r>
      </text>
    </comment>
    <comment ref="G66" authorId="0">
      <text>
        <r>
          <rPr>
            <sz val="9"/>
            <color indexed="81"/>
            <rFont val="宋体"/>
            <family val="2"/>
          </rPr>
          <t>#Input("炼化公司_液氨销量_年计划",":key{{dw}}")</t>
        </r>
      </text>
    </comment>
    <comment ref="J6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#Input("炼化公司生产月报1_去年同期_本月_液氨销量",":key{{dw}}")</t>
        </r>
      </text>
    </comment>
    <comment ref="K6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#Input("炼化公司生产月报1_去年同期_本年_液氨销量",":key{{dw}}")</t>
        </r>
      </text>
    </comment>
    <comment ref="M66" authorId="0">
      <text>
        <r>
          <rPr>
            <sz val="9"/>
            <color indexed="81"/>
            <rFont val="宋体"/>
            <family val="2"/>
          </rPr>
          <t>#Input("炼化公司生产月报1_油气产品产销量_液氨销量_月完成",":key{{dw}}",":read")</t>
        </r>
      </text>
    </comment>
    <comment ref="N66" authorId="0">
      <text>
        <r>
          <rPr>
            <sz val="9"/>
            <color indexed="81"/>
            <rFont val="宋体"/>
            <family val="2"/>
          </rPr>
          <t>#Input("炼化公司生产月报1_油气产品产销量_液氨销量_年完成",":key{{dw}}",":read")</t>
        </r>
      </text>
    </comment>
    <comment ref="D67" authorId="0">
      <text>
        <r>
          <rPr>
            <sz val="9"/>
            <color indexed="81"/>
            <rFont val="宋体"/>
            <family val="2"/>
          </rPr>
          <t>#Input("炼化公司_3#喷气燃料产量_月计划",":key{{dw}}")</t>
        </r>
      </text>
    </comment>
    <comment ref="E67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#Input("炼化公司生产月报1_油气产品产销量_3#喷气燃料产量_月完成",":key{{dw}}")
</t>
        </r>
      </text>
    </comment>
    <comment ref="G67" authorId="0">
      <text>
        <r>
          <rPr>
            <sz val="9"/>
            <color indexed="81"/>
            <rFont val="宋体"/>
            <family val="2"/>
          </rPr>
          <t>#Input("炼化公司_3#喷气燃料产量_年计划",":key{{dw}}")</t>
        </r>
      </text>
    </comment>
    <comment ref="H67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#Input("炼化公司生产月报1_油气产品产销量_3#喷气燃料产量_年完成",":key{{dw}}")
</t>
        </r>
      </text>
    </comment>
    <comment ref="J6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#Input("炼化公司生产月报1_去年同期_本月_3#喷气燃料产量",":key{{dw}}")</t>
        </r>
      </text>
    </comment>
    <comment ref="K6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#Input("炼化公司生产月报1_去年同期_本年_3#喷气燃料产量",":key{{dw}}")</t>
        </r>
      </text>
    </comment>
    <comment ref="D69" authorId="0">
      <text>
        <r>
          <rPr>
            <sz val="9"/>
            <color indexed="81"/>
            <rFont val="宋体"/>
            <family val="2"/>
          </rPr>
          <t>#Input("炼化公司_成品油产量_月计划",":key{{dw}}")</t>
        </r>
      </text>
    </comment>
    <comment ref="E69" authorId="0">
      <text>
        <r>
          <rPr>
            <sz val="9"/>
            <color indexed="81"/>
            <rFont val="宋体"/>
            <family val="2"/>
          </rPr>
          <t xml:space="preserve">#Input("炼化公司生产月报1_综合指标_成品油产量(汽油+柴油+航煤)_月完成",":key{{dw}}")
</t>
        </r>
      </text>
    </comment>
    <comment ref="G69" authorId="0">
      <text>
        <r>
          <rPr>
            <sz val="9"/>
            <color indexed="81"/>
            <rFont val="宋体"/>
            <family val="2"/>
          </rPr>
          <t>#Input("炼化公司_成品油产量_年计划",":key{{dw}}")</t>
        </r>
      </text>
    </comment>
    <comment ref="H69" authorId="0">
      <text>
        <r>
          <rPr>
            <sz val="9"/>
            <color indexed="81"/>
            <rFont val="宋体"/>
            <family val="2"/>
          </rPr>
          <t xml:space="preserve">#Input("炼化公司生产月报1_综合指标_成品油产量(汽油+柴油+航煤)_年完成",":key{{dw}}")
</t>
        </r>
      </text>
    </comment>
    <comment ref="J6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#Input("炼化公司生产月报1_去年同期_本月_成品油产量",":key{{dw}}")</t>
        </r>
      </text>
    </comment>
    <comment ref="K6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#Input("炼化公司生产月报1_去年同期_本年_成品油产量",":key{{dw}}")</t>
        </r>
      </text>
    </comment>
    <comment ref="D70" authorId="0">
      <text>
        <r>
          <rPr>
            <sz val="9"/>
            <color indexed="81"/>
            <rFont val="宋体"/>
            <family val="2"/>
          </rPr>
          <t>#Input("炼化公司_综合商品量_月计划",":key{{dw}}")</t>
        </r>
      </text>
    </comment>
    <comment ref="G70" authorId="0">
      <text>
        <r>
          <rPr>
            <sz val="9"/>
            <color indexed="81"/>
            <rFont val="宋体"/>
            <family val="2"/>
          </rPr>
          <t>#Input("炼化公司_综合商品量_年计划",":key{{dw}}")</t>
        </r>
      </text>
    </comment>
    <comment ref="J7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#Input("炼化公司生产月报1_去年同期_本月_综合商品量",":key{{dw}}")</t>
        </r>
      </text>
    </comment>
    <comment ref="K7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#Input("炼化公司生产月报1_去年同期_本年_综合商品量",":key{{dw}}")</t>
        </r>
      </text>
    </comment>
    <comment ref="M70" authorId="0">
      <text>
        <r>
          <rPr>
            <sz val="9"/>
            <color indexed="81"/>
            <rFont val="宋体"/>
            <family val="2"/>
          </rPr>
          <t>#Input("炼化公司生产月报1_综合指标_3#喷气燃料产量_月完成",":key{{dw}}",":read")</t>
        </r>
      </text>
    </comment>
    <comment ref="N70" authorId="0">
      <text>
        <r>
          <rPr>
            <sz val="9"/>
            <color indexed="81"/>
            <rFont val="宋体"/>
            <family val="2"/>
          </rPr>
          <t>#Input("炼化公司生产月报1_综合指标_3#喷气燃料产量_年完成",":key{{dw}}",":read")</t>
        </r>
      </text>
    </comment>
    <comment ref="D71" authorId="0">
      <text>
        <r>
          <rPr>
            <sz val="9"/>
            <color indexed="81"/>
            <rFont val="宋体"/>
            <family val="2"/>
          </rPr>
          <t>#Input("炼化公司_综合商品率_月计划",":key{{dw}}")</t>
        </r>
      </text>
    </comment>
    <comment ref="E71" authorId="0">
      <text>
        <r>
          <rPr>
            <sz val="9"/>
            <color indexed="81"/>
            <rFont val="宋体"/>
            <family val="2"/>
          </rPr>
          <t>#Input("炼化公司生产月报1_综合指标_综合商品率_月完成",":key{{dw}}")</t>
        </r>
      </text>
    </comment>
    <comment ref="G71" authorId="0">
      <text>
        <r>
          <rPr>
            <sz val="9"/>
            <color indexed="81"/>
            <rFont val="宋体"/>
            <family val="2"/>
          </rPr>
          <t>#Input("炼化公司_综合商品率_年计划",":key{{dw}}")</t>
        </r>
      </text>
    </comment>
    <comment ref="H71" authorId="0">
      <text>
        <r>
          <rPr>
            <sz val="9"/>
            <color indexed="81"/>
            <rFont val="宋体"/>
            <family val="2"/>
          </rPr>
          <t>#Input("炼化公司生产月报1_综合指标_综合商品率_年完成",":key{{dw}}")</t>
        </r>
      </text>
    </comment>
    <comment ref="J7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#Input("炼化公司生产月报1_去年同期_本月_综合商品率",":key{{dw}}")</t>
        </r>
      </text>
    </comment>
    <comment ref="K7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#Input("炼化公司生产月报1_去年同期_本年_综合商品率",":key{{dw}}")</t>
        </r>
      </text>
    </comment>
    <comment ref="D72" authorId="0">
      <text>
        <r>
          <rPr>
            <sz val="9"/>
            <color indexed="81"/>
            <rFont val="宋体"/>
            <family val="2"/>
          </rPr>
          <t>#Input("炼化公司_综合自用率_月计划",":key{{dw}}")</t>
        </r>
      </text>
    </comment>
    <comment ref="G72" authorId="0">
      <text>
        <r>
          <rPr>
            <sz val="9"/>
            <color indexed="81"/>
            <rFont val="宋体"/>
            <family val="2"/>
          </rPr>
          <t>#Input("炼化公司_综合自用率_年计划",":key{{dw}}")</t>
        </r>
      </text>
    </comment>
    <comment ref="J7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#Input("炼化公司生产月报1_去年同期_本月_综合自用率",":key{{dw}}")</t>
        </r>
      </text>
    </comment>
    <comment ref="K7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#Input("炼化公司生产月报1_去年同期_本年_综合自用率",":key{{dw}}")</t>
        </r>
      </text>
    </comment>
    <comment ref="M72" authorId="0">
      <text>
        <r>
          <rPr>
            <sz val="9"/>
            <color indexed="81"/>
            <rFont val="宋体"/>
            <family val="2"/>
          </rPr>
          <t>#Input("炼化公司生产月报1_综合指标_综合自用率_月完成",":key{{dw}}",":read")</t>
        </r>
      </text>
    </comment>
    <comment ref="N72" authorId="0">
      <text>
        <r>
          <rPr>
            <sz val="9"/>
            <color indexed="81"/>
            <rFont val="宋体"/>
            <family val="2"/>
          </rPr>
          <t>#Input("炼化公司生产月报1_综合指标_综合自用率_年完成",":key{{dw}}",":read")</t>
        </r>
      </text>
    </comment>
    <comment ref="D73" authorId="0">
      <text>
        <r>
          <rPr>
            <sz val="9"/>
            <color indexed="81"/>
            <rFont val="宋体"/>
            <family val="2"/>
          </rPr>
          <t>#Input("炼化公司_综合加工损失率_月计划",":key{{dw}}")</t>
        </r>
      </text>
    </comment>
    <comment ref="G73" authorId="0">
      <text>
        <r>
          <rPr>
            <sz val="9"/>
            <color indexed="81"/>
            <rFont val="宋体"/>
            <family val="2"/>
          </rPr>
          <t>#Input("炼化公司_综合加工损失率_年计划",":key{{dw}}")</t>
        </r>
      </text>
    </comment>
    <comment ref="J7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#Input("炼化公司生产月报1_去年同期_本月_综合加工损失率",":key{{dw}}")</t>
        </r>
      </text>
    </comment>
    <comment ref="K7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#Input("炼化公司生产月报1_去年同期_本年_综合加工损失率",":key{{dw}}")</t>
        </r>
      </text>
    </comment>
    <comment ref="M73" authorId="0">
      <text>
        <r>
          <rPr>
            <sz val="9"/>
            <color indexed="81"/>
            <rFont val="宋体"/>
            <family val="2"/>
          </rPr>
          <t>#Input("炼化公司生产月报1_综合指标_综合加工损失率_月完成",":key{{dw}}",":read")</t>
        </r>
      </text>
    </comment>
    <comment ref="N73" authorId="0">
      <text>
        <r>
          <rPr>
            <sz val="9"/>
            <color indexed="81"/>
            <rFont val="宋体"/>
            <family val="2"/>
          </rPr>
          <t>#Input("炼化公司生产月报1_综合指标_综合加工损失率_年完成",":key{{dw}}",":read")</t>
        </r>
      </text>
    </comment>
    <comment ref="D74" authorId="0">
      <text>
        <r>
          <rPr>
            <sz val="9"/>
            <color indexed="81"/>
            <rFont val="宋体"/>
            <family val="2"/>
          </rPr>
          <t>#Input("炼化公司_炼油综合能耗_月计划",":key{{dw}}")</t>
        </r>
      </text>
    </comment>
    <comment ref="G74" authorId="0">
      <text>
        <r>
          <rPr>
            <sz val="9"/>
            <color indexed="81"/>
            <rFont val="宋体"/>
            <family val="2"/>
          </rPr>
          <t>#Input("炼化公司_炼油综合能耗_年计划",":key{{dw}}")</t>
        </r>
      </text>
    </comment>
    <comment ref="J7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#Input("炼化公司生产月报1_去年同期_本月_炼油综合能耗",":key{{dw}}")</t>
        </r>
      </text>
    </comment>
    <comment ref="K7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#Input("炼化公司生产月报1_去年同期_本年_炼油综合能耗",":key{{dw}}")</t>
        </r>
      </text>
    </comment>
    <comment ref="M74" authorId="0">
      <text>
        <r>
          <rPr>
            <sz val="9"/>
            <color indexed="81"/>
            <rFont val="宋体"/>
            <family val="2"/>
          </rPr>
          <t>#Input("炼化公司生产月报1_综合指标_炼油综合能耗_月完成",":key{{dw}}",":read")</t>
        </r>
      </text>
    </comment>
    <comment ref="N74" authorId="0">
      <text>
        <r>
          <rPr>
            <sz val="9"/>
            <color indexed="81"/>
            <rFont val="宋体"/>
            <family val="2"/>
          </rPr>
          <t>#Input("炼化公司生产月报1_综合指标_炼油综合能耗_年完成",":key{{dw}}",":read")</t>
        </r>
      </text>
    </comment>
    <comment ref="D75" authorId="0">
      <text>
        <r>
          <rPr>
            <sz val="9"/>
            <color indexed="81"/>
            <rFont val="宋体"/>
            <family val="2"/>
          </rPr>
          <t>#Input("炼化公司_丙烯单耗_月计划",":key{{dw}}")</t>
        </r>
      </text>
    </comment>
    <comment ref="E75" authorId="0">
      <text>
        <r>
          <rPr>
            <sz val="9"/>
            <color indexed="81"/>
            <rFont val="宋体"/>
            <family val="2"/>
          </rPr>
          <t>#Input("炼化公司生产月报1_综合指标_丙烯单耗_月完成",":key{{dw}}")</t>
        </r>
      </text>
    </comment>
    <comment ref="G75" authorId="0">
      <text>
        <r>
          <rPr>
            <sz val="9"/>
            <color indexed="81"/>
            <rFont val="宋体"/>
            <family val="2"/>
          </rPr>
          <t>#Input("炼化公司_丙烯单耗_年计划",":key{{dw}}")</t>
        </r>
      </text>
    </comment>
    <comment ref="H75" authorId="0">
      <text>
        <r>
          <rPr>
            <sz val="9"/>
            <color indexed="81"/>
            <rFont val="宋体"/>
            <family val="2"/>
          </rPr>
          <t>#Input("炼化公司生产月报1_综合指标_丙烯单耗_年完成",":key{{dw}}")</t>
        </r>
      </text>
    </comment>
    <comment ref="J7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#Input("炼化公司生产月报1_去年同期_本月_丙烯单耗",":key{{dw}}")</t>
        </r>
      </text>
    </comment>
    <comment ref="K7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#Input("炼化公司生产月报1_去年同期_本年_丙烯单耗",":key{{dw}}")</t>
        </r>
      </text>
    </comment>
    <comment ref="D76" authorId="0">
      <text>
        <r>
          <rPr>
            <sz val="9"/>
            <color indexed="81"/>
            <rFont val="宋体"/>
            <family val="2"/>
          </rPr>
          <t>#Input("炼化公司_石油产品出厂合格率_月计划",":key{{dw}}")</t>
        </r>
      </text>
    </comment>
    <comment ref="E76" authorId="0">
      <text>
        <r>
          <rPr>
            <sz val="9"/>
            <color indexed="81"/>
            <rFont val="宋体"/>
            <family val="2"/>
          </rPr>
          <t>#Input("炼化公司生产月报1_综合指标_石油产品出厂合格率_月完成",":key{{dw}}")</t>
        </r>
      </text>
    </comment>
    <comment ref="G76" authorId="0">
      <text>
        <r>
          <rPr>
            <sz val="9"/>
            <color indexed="81"/>
            <rFont val="宋体"/>
            <family val="2"/>
          </rPr>
          <t>#Input("炼化公司_石油产品出厂合格率_年计划",":key{{dw}}")</t>
        </r>
      </text>
    </comment>
    <comment ref="H76" authorId="0">
      <text>
        <r>
          <rPr>
            <sz val="9"/>
            <color indexed="81"/>
            <rFont val="宋体"/>
            <family val="2"/>
          </rPr>
          <t>#Input("炼化公司生产月报1_综合指标_石油产品出厂合格率_年完成",":key{{dw}}")</t>
        </r>
      </text>
    </comment>
    <comment ref="J7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#Input("炼化公司生产月报1_去年同期_本月_石油产品出厂合格率",":key{{dw}}")</t>
        </r>
      </text>
    </comment>
    <comment ref="K7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#Input("炼化公司生产月报1_去年同期_本年_石油产品出厂合格率",":key{{dw}}")</t>
        </r>
      </text>
    </comment>
    <comment ref="D78" authorId="0">
      <text>
        <r>
          <rPr>
            <sz val="9"/>
            <color indexed="81"/>
            <rFont val="宋体"/>
            <family val="2"/>
          </rPr>
          <t>#Input("炼化公司_常压装置轻质油收率_月计划",":key{{dw}}")</t>
        </r>
      </text>
    </comment>
    <comment ref="E78" authorId="0">
      <text>
        <r>
          <rPr>
            <sz val="9"/>
            <color indexed="81"/>
            <rFont val="宋体"/>
            <family val="2"/>
          </rPr>
          <t>#Input("炼化公司生产月报1_装置收率_常压装置轻质油收率_月完成",":key{{dw}}")</t>
        </r>
      </text>
    </comment>
    <comment ref="G78" authorId="0">
      <text>
        <r>
          <rPr>
            <sz val="9"/>
            <color indexed="81"/>
            <rFont val="宋体"/>
            <family val="2"/>
          </rPr>
          <t>#Input("炼化公司_常压装置轻质油收率_年计划",":key{{dw}}")</t>
        </r>
      </text>
    </comment>
    <comment ref="H78" authorId="0">
      <text>
        <r>
          <rPr>
            <sz val="9"/>
            <color indexed="81"/>
            <rFont val="宋体"/>
            <family val="2"/>
          </rPr>
          <t>#Input("炼化公司生产月报1_装置收率_常压装置轻质油收率_年完成",":key{{dw}}")</t>
        </r>
      </text>
    </comment>
    <comment ref="J7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#Input("炼化公司生产月报1_去年同期_本月_常压装置轻质油收率",":key{{dw}}")</t>
        </r>
      </text>
    </comment>
    <comment ref="K7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#Input("炼化公司生产月报1_去年同期_本年_常压装置轻质油收率",":key{{dw}}")</t>
        </r>
      </text>
    </comment>
    <comment ref="D79" authorId="0">
      <text>
        <r>
          <rPr>
            <sz val="9"/>
            <color indexed="81"/>
            <rFont val="宋体"/>
            <family val="2"/>
          </rPr>
          <t>#Input("炼化公司_催化装置汽柴液总收率_月计划",":key{{dw}}")</t>
        </r>
      </text>
    </comment>
    <comment ref="E79" authorId="0">
      <text>
        <r>
          <rPr>
            <sz val="9"/>
            <color indexed="81"/>
            <rFont val="宋体"/>
            <family val="2"/>
          </rPr>
          <t>#Input("炼化公司生产月报1_装置收率_催化装置汽柴液总收率_月完成",":key{{dw}}")</t>
        </r>
      </text>
    </comment>
    <comment ref="G79" authorId="0">
      <text>
        <r>
          <rPr>
            <sz val="9"/>
            <color indexed="81"/>
            <rFont val="宋体"/>
            <family val="2"/>
          </rPr>
          <t>#Input("炼化公司_催化装置汽柴液总收率_年计划",":key{{dw}}")</t>
        </r>
      </text>
    </comment>
    <comment ref="H79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#Input("炼化公司生产月报1_装置收率_催化装置汽柴液总收率_年月完成",":key{{dw}}")
</t>
        </r>
      </text>
    </comment>
    <comment ref="J7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#Input("炼化公司生产月报1_去年同期_本月_催化装置汽柴液总收率",":key{{dw}}")</t>
        </r>
      </text>
    </comment>
    <comment ref="K7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#Input("炼化公司生产月报1_去年同期_本年_催化装置汽柴液总收率",":key{{dw}}")</t>
        </r>
      </text>
    </comment>
    <comment ref="D80" authorId="0">
      <text>
        <r>
          <rPr>
            <sz val="9"/>
            <color indexed="81"/>
            <rFont val="宋体"/>
            <family val="2"/>
          </rPr>
          <t>#Input("炼化公司_催化装置轻质油收率_月计划",":key{{dw}}")</t>
        </r>
      </text>
    </comment>
    <comment ref="E80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#Input("炼化公司生产月报1_装置收率_其中：催化装置轻质油收率_月完成",":key{{dw}}")
</t>
        </r>
      </text>
    </comment>
    <comment ref="G80" authorId="0">
      <text>
        <r>
          <rPr>
            <sz val="9"/>
            <color indexed="81"/>
            <rFont val="宋体"/>
            <family val="2"/>
          </rPr>
          <t>#Input("炼化公司_催化装置轻质油收率_年计划",":key{{dw}}")</t>
        </r>
      </text>
    </comment>
    <comment ref="H80" authorId="0">
      <text>
        <r>
          <rPr>
            <sz val="9"/>
            <color indexed="81"/>
            <rFont val="宋体"/>
            <family val="2"/>
          </rPr>
          <t xml:space="preserve">#Input("炼化公司_生产月报1_装置收率_催化装置轻质油收率_年完成",":key{{dw}}")
</t>
        </r>
      </text>
    </comment>
    <comment ref="J8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#Input("炼化公司生产月报1_去年同期_本月_催化装置轻质油收率",":key{{dw}}")</t>
        </r>
      </text>
    </comment>
    <comment ref="K8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#Input("炼化公司生产月报1_去年同期_本年_催化装置轻质油收率",":key{{dw}}")</t>
        </r>
      </text>
    </comment>
    <comment ref="D81" authorId="0">
      <text>
        <r>
          <rPr>
            <sz val="9"/>
            <color indexed="81"/>
            <rFont val="宋体"/>
            <family val="2"/>
          </rPr>
          <t>#Input("炼化公司_催化装置液化气收率_月计划",":key{{dw}}")</t>
        </r>
      </text>
    </comment>
    <comment ref="E81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#Input("炼化公司生产月报1_装置收率_催化装置液化气收率_月完成",":key{{dw}}")
</t>
        </r>
      </text>
    </comment>
    <comment ref="G81" authorId="0">
      <text>
        <r>
          <rPr>
            <sz val="9"/>
            <color indexed="81"/>
            <rFont val="宋体"/>
            <family val="2"/>
          </rPr>
          <t>#Input("炼化公司_催化装置液化气收率_年计划",":key{{dw}}")</t>
        </r>
      </text>
    </comment>
    <comment ref="H81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#Input("炼化公司生产月报1_装置收率_催化装置液化气收率_年完成",":key{{dw}}")
</t>
        </r>
      </text>
    </comment>
    <comment ref="J8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#Input("炼化公司生产月报1_去年同期_本月_催化装置液化气收率",":key{{dw}}")</t>
        </r>
      </text>
    </comment>
    <comment ref="K8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#Input("炼化公司生产月报1_去年同期_本年_催化装置液化气收率",":key{{dw}}")</t>
        </r>
      </text>
    </comment>
    <comment ref="D82" authorId="0">
      <text>
        <r>
          <rPr>
            <sz val="9"/>
            <color indexed="81"/>
            <rFont val="宋体"/>
            <family val="2"/>
          </rPr>
          <t>#Input("炼化公司_重整装置总收率_月计划",":key{{dw}}")</t>
        </r>
      </text>
    </comment>
    <comment ref="E82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#Input("炼化公司生产月报1_装置收率_重整装置总收率_月完成",":key{{dw}}")
</t>
        </r>
      </text>
    </comment>
    <comment ref="G82" authorId="0">
      <text>
        <r>
          <rPr>
            <sz val="9"/>
            <color indexed="81"/>
            <rFont val="宋体"/>
            <family val="2"/>
          </rPr>
          <t>#Input("炼化公司_重整装置总收率_年计划",":key{{dw}}")</t>
        </r>
      </text>
    </comment>
    <comment ref="H82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#Input("炼化公司生产月报1_装置收率_重整装置总收率_年完成",":key{{dw}}")
</t>
        </r>
      </text>
    </comment>
    <comment ref="J8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#Input("炼化公司生产月报1_去年同期_本月_重整装置总收率",":key{{dw}}")</t>
        </r>
      </text>
    </comment>
    <comment ref="K8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#Input("炼化公司生产月报1_去年同期_本年_重整装置总收率",":key{{dw}}")</t>
        </r>
      </text>
    </comment>
    <comment ref="D83" authorId="0">
      <text>
        <r>
          <rPr>
            <sz val="9"/>
            <color indexed="81"/>
            <rFont val="宋体"/>
            <family val="2"/>
          </rPr>
          <t>#Input("炼化公司_气体分馏装置丙烯收率_月计划",":key{{dw}}")</t>
        </r>
      </text>
    </comment>
    <comment ref="E83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#Input("炼化公司生产月报1_装置收率_气体分馏装置丙烯收率_月完成",":key{{dw}}")
</t>
        </r>
      </text>
    </comment>
    <comment ref="G83" authorId="0">
      <text>
        <r>
          <rPr>
            <sz val="9"/>
            <color indexed="81"/>
            <rFont val="宋体"/>
            <family val="2"/>
          </rPr>
          <t>#Input("炼化公司_气体分馏装置丙烯收率_年计划",":key{{dw}}")</t>
        </r>
      </text>
    </comment>
    <comment ref="H83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#Input("炼化公司生产月报1_装置收率_气体分馏装置丙烯收率_年完成",":key{{dw}}")
</t>
        </r>
      </text>
    </comment>
    <comment ref="J8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#Input("炼化公司生产月报1_去年同期_本月_气体分馏装置丙烯收率",":key{{dw}}")</t>
        </r>
      </text>
    </comment>
    <comment ref="K8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#Input("炼化公司生产月报1_去年同期_本年_气体分馏装置丙烯收率",":key{{dw}}")</t>
        </r>
      </text>
    </comment>
    <comment ref="D84" authorId="0">
      <text>
        <r>
          <rPr>
            <sz val="9"/>
            <color indexed="81"/>
            <rFont val="宋体"/>
            <family val="2"/>
          </rPr>
          <t>#Input("炼化公司_MTBE装置MTBE收率_月计划",":key{{dw}}")</t>
        </r>
      </text>
    </comment>
    <comment ref="G84" authorId="0">
      <text>
        <r>
          <rPr>
            <sz val="9"/>
            <color indexed="81"/>
            <rFont val="宋体"/>
            <family val="2"/>
          </rPr>
          <t>#Input("炼化公司_MTBE装置MTBE收率_年计划",":key{{dw}}")</t>
        </r>
      </text>
    </comment>
    <comment ref="J8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#Input("炼化公司生产月报1_去年同期_本月_MTBE装置MTBE收率",":key{{dw}}")</t>
        </r>
      </text>
    </comment>
    <comment ref="K8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#Input("炼化公司生产月报1_去年同期_本年_MTBE装置MTBE收率",":key{{dw}}")</t>
        </r>
      </text>
    </comment>
    <comment ref="M84" authorId="0">
      <text>
        <r>
          <rPr>
            <sz val="9"/>
            <color indexed="81"/>
            <rFont val="宋体"/>
            <family val="2"/>
          </rPr>
          <t>#Input("炼化公司生产月报1_装置收率_MTBE装置MTBE收率_月完成",":key{{dw}}",":read")</t>
        </r>
      </text>
    </comment>
    <comment ref="N84" authorId="0">
      <text>
        <r>
          <rPr>
            <sz val="9"/>
            <color indexed="81"/>
            <rFont val="宋体"/>
            <family val="2"/>
          </rPr>
          <t>#Input("炼化公司生产月报1_装置收率_MTBE装置MTBE收率_年完成",":key{{dw}}",":read")</t>
        </r>
      </text>
    </comment>
    <comment ref="D85" authorId="0">
      <text>
        <r>
          <rPr>
            <sz val="9"/>
            <color indexed="81"/>
            <rFont val="宋体"/>
            <family val="2"/>
          </rPr>
          <t>#Input("炼化公司_醋酸仲丁酯收率_月计划",":key{{dw}}")</t>
        </r>
      </text>
    </comment>
    <comment ref="E85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#Input("炼化公司生产月报1_装置收率_醋酸仲丁酯收率_月完成",":key{{dw}}")
</t>
        </r>
      </text>
    </comment>
    <comment ref="G85" authorId="0">
      <text>
        <r>
          <rPr>
            <sz val="9"/>
            <color indexed="81"/>
            <rFont val="宋体"/>
            <family val="2"/>
          </rPr>
          <t>#Input("炼化公司_醋酸仲丁酯收率_年计划",":key{{dw}}")</t>
        </r>
      </text>
    </comment>
    <comment ref="H85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#Input("炼化公司生产月报1_装置收率_醋酸仲丁酯收率_年完成",":key{{dw}}")
</t>
        </r>
      </text>
    </comment>
    <comment ref="J8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#Input("炼化公司生产月报1_去年同期_本月_醋酸仲丁酯收率",":key{{dw}}")</t>
        </r>
      </text>
    </comment>
    <comment ref="K8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#Input("炼化公司生产月报1_去年同期_本年_醋酸仲丁酯收率",":key{{dw}}")</t>
        </r>
      </text>
    </comment>
    <comment ref="D86" authorId="0">
      <text>
        <r>
          <rPr>
            <sz val="9"/>
            <color indexed="81"/>
            <rFont val="宋体"/>
            <family val="2"/>
          </rPr>
          <t>#Input("炼化公司_聚丙烯装置收率_月计划",":key{{dw}}")</t>
        </r>
      </text>
    </comment>
    <comment ref="E86" authorId="0">
      <text>
        <r>
          <rPr>
            <sz val="9"/>
            <color indexed="81"/>
            <rFont val="宋体"/>
            <family val="2"/>
          </rPr>
          <t xml:space="preserve">#Input("炼化公司生产月报1_装置收率_聚丙烯装置收率_月完成",":key{{dw}}")
</t>
        </r>
      </text>
    </comment>
    <comment ref="G86" authorId="0">
      <text>
        <r>
          <rPr>
            <sz val="9"/>
            <color indexed="81"/>
            <rFont val="宋体"/>
            <family val="2"/>
          </rPr>
          <t>#Input("炼化公司_聚丙烯装置收率_年计划",":key{{dw}}")</t>
        </r>
      </text>
    </comment>
    <comment ref="H86" authorId="0">
      <text>
        <r>
          <rPr>
            <sz val="9"/>
            <color indexed="81"/>
            <rFont val="宋体"/>
            <family val="2"/>
          </rPr>
          <t xml:space="preserve">#Input("炼化公司生产月报1_装置收率_聚丙烯装置收率_年完成",":key{{dw}}")
</t>
        </r>
      </text>
    </comment>
    <comment ref="J8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#Input("炼化公司生产月报1_去年同期_本月_聚丙烯装置收率",":key{{dw}}")</t>
        </r>
      </text>
    </comment>
    <comment ref="K8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#Input("炼化公司生产月报1_去年同期_本年_聚丙烯装置收率",":key{{dw}}")</t>
        </r>
      </text>
    </comment>
    <comment ref="D87" authorId="0">
      <text>
        <r>
          <rPr>
            <sz val="9"/>
            <color indexed="81"/>
            <rFont val="宋体"/>
            <family val="2"/>
          </rPr>
          <t>#Input("炼化公司_汽油加氢精制总收率_月计划",":key{{dw}}")</t>
        </r>
      </text>
    </comment>
    <comment ref="E87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#Input("炼化公司生产月报1_装置收率_汽油加氢精制总收率_月完成",":key{{dw}}")
</t>
        </r>
      </text>
    </comment>
    <comment ref="G87" authorId="0">
      <text>
        <r>
          <rPr>
            <sz val="9"/>
            <color indexed="81"/>
            <rFont val="宋体"/>
            <family val="2"/>
          </rPr>
          <t>#Input("炼化公司_汽油加氢精制总收率_年计划",":key{{dw}}")</t>
        </r>
      </text>
    </comment>
    <comment ref="H87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#Input("炼化公司生产月报1_装置收率_汽油加氢精制总收率_年完成",":key{{dw}}")
</t>
        </r>
      </text>
    </comment>
    <comment ref="J8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#Input("炼化公司生产月报1_去年同期_本月_汽油加氢精制总收率",":key{{dw}}")</t>
        </r>
      </text>
    </comment>
    <comment ref="K8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#Input("炼化公司生产月报1_去年同期_本年_汽油加氢精制总收率",":key{{dw}}")</t>
        </r>
      </text>
    </comment>
    <comment ref="D88" authorId="0">
      <text>
        <r>
          <rPr>
            <sz val="9"/>
            <color indexed="81"/>
            <rFont val="宋体"/>
            <family val="2"/>
          </rPr>
          <t>#Input("炼化公司_柴油加氢精制总收率_月计划",":key{{dw}}")</t>
        </r>
      </text>
    </comment>
    <comment ref="E88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#Input("炼化公司生产月报1_装置收率_柴油加氢精制总收率_月完成",":key{{dw}}")
</t>
        </r>
      </text>
    </comment>
    <comment ref="G88" authorId="0">
      <text>
        <r>
          <rPr>
            <sz val="9"/>
            <color indexed="81"/>
            <rFont val="宋体"/>
            <family val="2"/>
          </rPr>
          <t>#Input("炼化公司_柴油加氢精制总收率_年计划",":key{{dw}}")</t>
        </r>
      </text>
    </comment>
    <comment ref="H88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#Input("炼化公司生产月报1_装置收率_柴油加氢精制总收率_年完成",":key{{dw}}")
</t>
        </r>
      </text>
    </comment>
    <comment ref="J8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#Input("炼化公司生产月报1_去年同期_本月_柴油加氢精制总收率",":key{{dw}}")</t>
        </r>
      </text>
    </comment>
    <comment ref="K8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#Input("炼化公司生产月报1_去年同期_本年_柴油加氢精制总收率",":key{{dw}}")</t>
        </r>
      </text>
    </comment>
    <comment ref="D89" authorId="0">
      <text>
        <r>
          <rPr>
            <sz val="9"/>
            <color indexed="81"/>
            <rFont val="宋体"/>
            <family val="2"/>
          </rPr>
          <t>#Input("炼化公司_苯乙烯装置苯乙烯收率_月计划",":key{{dw}}")</t>
        </r>
      </text>
    </comment>
    <comment ref="E89" authorId="0">
      <text>
        <r>
          <rPr>
            <sz val="9"/>
            <color indexed="81"/>
            <rFont val="宋体"/>
            <family val="2"/>
          </rPr>
          <t xml:space="preserve">#Input("炼化公司生产月报1_装置收率_苯乙烯装置苯乙烯收率_月完成",":key{{dw}}")
</t>
        </r>
      </text>
    </comment>
    <comment ref="G89" authorId="0">
      <text>
        <r>
          <rPr>
            <sz val="9"/>
            <color indexed="81"/>
            <rFont val="宋体"/>
            <family val="2"/>
          </rPr>
          <t>#Input("炼化公司_苯乙烯装置苯乙烯收率_年计划",":key{{dw}}")</t>
        </r>
      </text>
    </comment>
    <comment ref="H89" authorId="0">
      <text>
        <r>
          <rPr>
            <sz val="9"/>
            <color indexed="81"/>
            <rFont val="宋体"/>
            <family val="2"/>
          </rPr>
          <t xml:space="preserve">#Input("炼化公司生产月报1_装置收率_苯乙烯装置苯乙烯收率_年完成",":key{{dw}}")
</t>
        </r>
      </text>
    </comment>
    <comment ref="J8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#Input("炼化公司生产月报1_去年同期_本月_苯乙烯装置苯乙烯收率",":key{{dw}}")</t>
        </r>
      </text>
    </comment>
    <comment ref="K8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#Input("炼化公司生产月报1_去年同期_本年_苯乙烯装置苯乙烯收率",":key{{dw}}")</t>
        </r>
      </text>
    </comment>
    <comment ref="C90" authorId="0">
      <text>
        <r>
          <rPr>
            <sz val="9"/>
            <color indexed="81"/>
            <rFont val="宋体"/>
            <family val="2"/>
          </rPr>
          <t>#Input("炼化公司生产月报1_炼化公司_备注",":key{{dw}}")</t>
        </r>
      </text>
    </comment>
    <comment ref="C94" authorId="0">
      <text>
        <r>
          <rPr>
            <sz val="9"/>
            <color indexed="81"/>
            <rFont val="宋体"/>
            <family val="2"/>
          </rPr>
          <t>#Input("炼化公司生产月报1_炼化公司_主管领导",":key{{dw}}")</t>
        </r>
      </text>
    </comment>
    <comment ref="F94" authorId="0">
      <text>
        <r>
          <rPr>
            <sz val="9"/>
            <color indexed="81"/>
            <rFont val="宋体"/>
            <family val="2"/>
          </rPr>
          <t>#Input("炼化公司生产月报1_部门负责人",":key{{dw}}")</t>
        </r>
      </text>
    </comment>
    <comment ref="H94" authorId="0">
      <text>
        <r>
          <rPr>
            <sz val="9"/>
            <color indexed="81"/>
            <rFont val="宋体"/>
            <family val="2"/>
          </rPr>
          <t xml:space="preserve">#Input("炼化公司生产月报1_审核人",":key{{dw}}")
</t>
        </r>
      </text>
    </comment>
    <comment ref="K94" authorId="0">
      <text>
        <r>
          <rPr>
            <sz val="9"/>
            <color indexed="81"/>
            <rFont val="宋体"/>
            <family val="2"/>
          </rPr>
          <t xml:space="preserve">#Input("炼化公司生产月报1_编制",":key{{dw}}")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sz val="9"/>
            <color indexed="81"/>
            <rFont val="宋体"/>
            <family val="2"/>
          </rPr>
          <t>#Input("炼化公司_原料油（气）加工量_月计划_延炼",":key{{dw}}")</t>
        </r>
      </text>
    </comment>
    <comment ref="G6" authorId="0">
      <text>
        <r>
          <rPr>
            <sz val="9"/>
            <color indexed="81"/>
            <rFont val="宋体"/>
            <family val="2"/>
          </rPr>
          <t>#Input("炼化公司_原料油（气）加工量_年计划_延炼",":key{{dw}}")</t>
        </r>
      </text>
    </comment>
    <comment ref="J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#Input("炼化公司生产月报1_去年同期_本月_1、原料油（气）加工量_延炼",":key{{dw}}")</t>
        </r>
      </text>
    </comment>
    <comment ref="K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#Input("炼化公司生产月报1_去年同期_本年_1、原料油（气）加工量_延炼",":key{{dw}}")</t>
        </r>
      </text>
    </comment>
    <comment ref="D7" authorId="0">
      <text>
        <r>
          <rPr>
            <sz val="9"/>
            <color indexed="81"/>
            <rFont val="宋体"/>
            <family val="2"/>
          </rPr>
          <t>#Input("炼化公司_原油_月计划_延炼",":key{{dw}}")</t>
        </r>
      </text>
    </comment>
    <comment ref="G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#Input("炼化公司生产月报1_装置加工量_原油_年计划_延炼",":key{{dw}}")
</t>
        </r>
      </text>
    </comment>
    <comment ref="J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#Input("炼化公司生产月报1_去年同期_本月_其中：原油_延炼",":key{{dw}}")</t>
        </r>
      </text>
    </comment>
    <comment ref="K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#Input("炼化公司生产月报1_去年同期_本年_其中：原油_延炼",":key{{dw}}")</t>
        </r>
      </text>
    </comment>
    <comment ref="D8" authorId="0">
      <text>
        <r>
          <rPr>
            <sz val="9"/>
            <color indexed="81"/>
            <rFont val="宋体"/>
            <family val="2"/>
          </rPr>
          <t>#Input("炼化公司_甲醇_月计划_延炼",":key{{dw}}")</t>
        </r>
      </text>
    </comment>
    <comment ref="G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#Input("炼化公司生产月报1_装置加工量_甲醇_年计划_延炼",":key{{dw}}")
</t>
        </r>
      </text>
    </comment>
    <comment ref="J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#Input("炼化公司生产月报1_去年同期_本月_甲醇_延炼",":key{{dw}}")</t>
        </r>
      </text>
    </comment>
    <comment ref="K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#Input("炼化公司生产月报1_去年同期_本年_甲醇_延炼",":key{{dw}}")</t>
        </r>
      </text>
    </comment>
    <comment ref="D9" authorId="0">
      <text>
        <r>
          <rPr>
            <sz val="9"/>
            <color indexed="81"/>
            <rFont val="宋体"/>
            <family val="2"/>
          </rPr>
          <t>#Input("炼化公司_MTBE_月计划_延炼",":key{{dw}}")</t>
        </r>
      </text>
    </comment>
    <comment ref="G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#Input("炼化公司生产月报1_装置加工量_MTBE_年计划_延炼",":key{{dw}}")
</t>
        </r>
      </text>
    </comment>
    <comment ref="J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#Input("炼化公司生产月报1_去年同期_本月_MTBE_延炼",":key{{dw}}")</t>
        </r>
      </text>
    </comment>
    <comment ref="K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#Input("炼化公司生产月报1_去年同期_本年_MTBE_延炼",":key{{dw}}")</t>
        </r>
      </text>
    </comment>
    <comment ref="D10" authorId="0">
      <text>
        <r>
          <rPr>
            <sz val="9"/>
            <color indexed="81"/>
            <rFont val="宋体"/>
            <family val="2"/>
          </rPr>
          <t>#Input("炼化公司_1#渣油_月计划_延炼",":key{{dw}}")</t>
        </r>
      </text>
    </comment>
    <comment ref="G10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#Input("炼化公司生产月报1_装置加工量_1#渣油_年计划_延炼",":key{{dw}}")
</t>
        </r>
      </text>
    </comment>
    <comment ref="J1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#Input("炼化公司生产月报1_去年同期_本月_1#渣油_延炼",":key{{dw}}")</t>
        </r>
      </text>
    </comment>
    <comment ref="K1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#Input("炼化公司生产月报1_去年同期_本年_1#渣油_延炼",":key{{dw}}")</t>
        </r>
      </text>
    </comment>
    <comment ref="D11" authorId="0">
      <text>
        <r>
          <rPr>
            <sz val="9"/>
            <color indexed="81"/>
            <rFont val="宋体"/>
            <family val="2"/>
          </rPr>
          <t>#Input("炼化公司_裂解石脑油_月计划_延炼",":key{{dw}}")</t>
        </r>
      </text>
    </comment>
    <comment ref="G11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#Input("炼化公司生产月报1_装置加工量_裂解石脑油_年计划_延炼",":key{{dw}}")
</t>
        </r>
      </text>
    </comment>
    <comment ref="J1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#Input("炼化公司生产月报1_去年同期_本月_裂解石脑油_延炼",":key{{dw}}")</t>
        </r>
      </text>
    </comment>
    <comment ref="K1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#Input("炼化公司生产月报1_去年同期_本年_裂解石脑油_延炼",":key{{dw}}")</t>
        </r>
      </text>
    </comment>
    <comment ref="D12" authorId="0">
      <text>
        <r>
          <rPr>
            <sz val="9"/>
            <color indexed="81"/>
            <rFont val="宋体"/>
            <family val="2"/>
          </rPr>
          <t>#Input("炼化公司_上古液化气_月计划_延炼",":key{{dw}}")</t>
        </r>
      </text>
    </comment>
    <comment ref="G12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#Input("炼化公司生产月报1_装置加工量_上古液化气_年计划_延炼",":key{{dw}}")
</t>
        </r>
      </text>
    </comment>
    <comment ref="J12" authorId="0">
      <text>
        <r>
          <rPr>
            <sz val="9"/>
            <color indexed="81"/>
            <rFont val="宋体"/>
            <family val="2"/>
          </rPr>
          <t>#Input("炼化公司生产月报1_去年同期_本月_上古液化气_延炼",":key{{dw}}")</t>
        </r>
      </text>
    </comment>
    <comment ref="K12" authorId="0">
      <text>
        <r>
          <rPr>
            <sz val="9"/>
            <color indexed="81"/>
            <rFont val="宋体"/>
            <family val="2"/>
          </rPr>
          <t>#Input("炼化公司生产月报1_去年同期_本年_上古液化气_延炼",":key{{dw}}")</t>
        </r>
      </text>
    </comment>
    <comment ref="D13" authorId="0">
      <text>
        <r>
          <rPr>
            <sz val="9"/>
            <color indexed="81"/>
            <rFont val="宋体"/>
            <family val="2"/>
          </rPr>
          <t>#Input("炼化公司_醋酸_月计划_延炼",":key{{dw}}")</t>
        </r>
      </text>
    </comment>
    <comment ref="G13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#Input("炼化公司生产月报1_装置加工量_醋酸_年计划_延炼",":key{{dw}}")
</t>
        </r>
      </text>
    </comment>
    <comment ref="J1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#Input("炼化公司生产月报1_去年同期_本月_醋酸_延炼",":key{{dw}}")</t>
        </r>
      </text>
    </comment>
    <comment ref="K1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#Input("炼化公司生产月报1_去年同期_本年_醋酸_延炼",":key{{dw}}")</t>
        </r>
      </text>
    </comment>
    <comment ref="D14" authorId="0">
      <text>
        <r>
          <rPr>
            <sz val="9"/>
            <color indexed="81"/>
            <rFont val="宋体"/>
            <family val="2"/>
          </rPr>
          <t>#Input("炼化公司_异辛烷组分_月计划_延炼",":key{{dw}}")</t>
        </r>
      </text>
    </comment>
    <comment ref="G14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#Input("炼化公司生产月报1_装置加工量_异辛烷组分_年计划_延炼",":key{{dw}}")
</t>
        </r>
      </text>
    </comment>
    <comment ref="J1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#Input("炼化公司生产月报1_去年同期_本月_异辛烷组分_延炼",":key{{dw}}")</t>
        </r>
      </text>
    </comment>
    <comment ref="K1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#Input("炼化公司生产月报1_去年同期_本年_异辛烷组分_延炼",":key{{dw}}")</t>
        </r>
      </text>
    </comment>
    <comment ref="D15" authorId="0">
      <text>
        <r>
          <rPr>
            <sz val="9"/>
            <color indexed="81"/>
            <rFont val="宋体"/>
            <family val="2"/>
          </rPr>
          <t>#Input("炼化公司_异丁烷_月计划_延炼",":key{{dw}}")</t>
        </r>
      </text>
    </comment>
    <comment ref="G15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#Input("炼化公司生产月报1_装置加工量_异丁烷_年计划_延炼",":key{{dw}}")
</t>
        </r>
      </text>
    </comment>
    <comment ref="J1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#Input("炼化公司生产月报1_去年同期_本月_异丁烷_延炼",":key{{dw}}")</t>
        </r>
      </text>
    </comment>
    <comment ref="K1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#Input("炼化公司生产月报1_去年同期_本年_异丁烷_延炼",":key{{dw}}")</t>
        </r>
      </text>
    </comment>
    <comment ref="D16" authorId="0">
      <text>
        <r>
          <rPr>
            <sz val="9"/>
            <color indexed="81"/>
            <rFont val="宋体"/>
            <family val="2"/>
          </rPr>
          <t>#Input("炼化公司_常压装置加工量_月计划_延炼",":key{{dw}}")</t>
        </r>
      </text>
    </comment>
    <comment ref="G16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#Input("炼化公司生产月报1_装置加工量_常压加工量_年计划_延炼",":key{{dw}}")
</t>
        </r>
      </text>
    </comment>
    <comment ref="J1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#Input("炼化公司生产月报1_去年同期_本月_常压装置加工量_延炼",":key{{dw}}")</t>
        </r>
      </text>
    </comment>
    <comment ref="K1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#Input("炼化公司生产月报1_去年同期_本年_常压装置加工量_延炼",":key{{dw}}")</t>
        </r>
      </text>
    </comment>
    <comment ref="D17" authorId="0">
      <text>
        <r>
          <rPr>
            <sz val="9"/>
            <color indexed="81"/>
            <rFont val="宋体"/>
            <family val="2"/>
          </rPr>
          <t>#Input("炼化公司_常压_原油加工量_月计划_延炼",":key{{dw}}")</t>
        </r>
      </text>
    </comment>
    <comment ref="G1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#Input("炼化公司生产月报1_装置加工量_原油加工量_年计划_延炼",":key{{dw}}")
</t>
        </r>
      </text>
    </comment>
    <comment ref="J1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#Input("炼化公司生产月报1_去年同期_本月_原油加工量_延炼",":key{{dw}}")</t>
        </r>
      </text>
    </comment>
    <comment ref="K1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#Input("炼化公司生产月报1_去年同期_本年_原油加工量_延炼",":key{{dw}}")</t>
        </r>
      </text>
    </comment>
    <comment ref="M17" authorId="0">
      <text>
        <r>
          <rPr>
            <b/>
            <sz val="9"/>
            <color indexed="81"/>
            <rFont val="宋体"/>
            <family val="2"/>
          </rPr>
          <t>#Input("炼化公司生产月报1_装置加工量_原油加工量_延炼_月完成",":key{{dw}}",":read")</t>
        </r>
      </text>
    </comment>
    <comment ref="N17" authorId="0">
      <text>
        <r>
          <rPr>
            <b/>
            <sz val="9"/>
            <color indexed="81"/>
            <rFont val="宋体"/>
            <family val="2"/>
          </rPr>
          <t>#Input("炼化公司生产月报1_装置加工量_原油加工量_延炼_年完成",":key{{dw}}",":read")</t>
        </r>
      </text>
    </comment>
    <comment ref="D18" authorId="0">
      <text>
        <r>
          <rPr>
            <sz val="9"/>
            <color indexed="81"/>
            <rFont val="宋体"/>
            <family val="2"/>
          </rPr>
          <t>#Input("炼化公司_常压_进口原油加工量_月计划_延炼",":key{{dw}}")</t>
        </r>
      </text>
    </comment>
    <comment ref="E18" authorId="0">
      <text>
        <r>
          <rPr>
            <sz val="9"/>
            <color indexed="81"/>
            <rFont val="宋体"/>
            <family val="2"/>
          </rPr>
          <t>#Input("炼化公司生产月报1_装置加工量_进口原油加工量_月完成_延炼",":key{{dw}}")</t>
        </r>
      </text>
    </comment>
    <comment ref="G1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#Input("炼化公司生产月报1_装置加工量_进口原油加工量_年计划_延炼",":key{{dw}}")
</t>
        </r>
      </text>
    </comment>
    <comment ref="H18" authorId="0">
      <text>
        <r>
          <rPr>
            <sz val="9"/>
            <color indexed="81"/>
            <rFont val="宋体"/>
            <family val="2"/>
          </rPr>
          <t>#Input("炼化公司生产月报1_装置加工量_进口原油加工量_年完成_延炼",":key{{dw}}")</t>
        </r>
      </text>
    </comment>
    <comment ref="J1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#Input("炼化公司生产月报1_去年同期_本月_进口原油加工量_延炼",":key{{dw}}")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#Input("炼化公司生产月报1_去年同期_本年_进口原油加工量_延炼",":key{{dw}}")</t>
        </r>
      </text>
    </comment>
    <comment ref="D19" authorId="0">
      <text>
        <r>
          <rPr>
            <sz val="9"/>
            <color indexed="81"/>
            <rFont val="宋体"/>
            <family val="2"/>
          </rPr>
          <t>#Input("炼化公司_催化装置加工量_月计划_延炼",":key{{dw}}")</t>
        </r>
      </text>
    </comment>
    <comment ref="G1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#Input("炼化公司生产月报1_装置加工量_催化装置加工量_年计划_延炼",":key{{dw}}")
</t>
        </r>
      </text>
    </comment>
    <comment ref="J1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#Input("炼化公司生产月报1_去年同期_本月_催化装置加工量_延炼",":key{{dw}}")</t>
        </r>
      </text>
    </comment>
    <comment ref="K1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#Input("炼化公司生产月报1_去年同期_本年_催化装置加工量_延炼",":key{{dw}}")</t>
        </r>
      </text>
    </comment>
    <comment ref="D20" authorId="0">
      <text>
        <r>
          <rPr>
            <sz val="9"/>
            <color indexed="81"/>
            <rFont val="宋体"/>
            <family val="2"/>
          </rPr>
          <t>#Input("炼化公司_催化_1#渣油_月计划_延炼",":key{{dw}}")</t>
        </r>
      </text>
    </comment>
    <comment ref="G20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#Input("炼化公司生产月报1_装置加工量_1#渣油加工量_年计划_延炼",":key{{dw}}")
</t>
        </r>
      </text>
    </comment>
    <comment ref="J2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#Input("炼化公司生产月报1_去年同期_本月_1#渣油加工量_延炼",":key{{dw}}")</t>
        </r>
      </text>
    </comment>
    <comment ref="K2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#Input("炼化公司生产月报1_去年同期_本年_1#渣油加工量_延炼",":key{{dw}}")</t>
        </r>
      </text>
    </comment>
    <comment ref="M20" authorId="0">
      <text>
        <r>
          <rPr>
            <sz val="9"/>
            <color indexed="81"/>
            <rFont val="Arial"/>
            <family val="2"/>
          </rPr>
          <t>#Input("炼化公司生产月报1_装置加工量_1#渣油加工量_延炼_月完成",":key{{dw}}",":read")</t>
        </r>
      </text>
    </comment>
    <comment ref="N20" authorId="0">
      <text>
        <r>
          <rPr>
            <b/>
            <sz val="9"/>
            <color indexed="81"/>
            <rFont val="宋体"/>
            <family val="2"/>
          </rPr>
          <t>#Input("炼化公司生产月报1_装置加工量_1#渣油加工量_延炼_年完成",":key{{dw}}",":read")</t>
        </r>
      </text>
    </comment>
    <comment ref="D21" authorId="0">
      <text>
        <r>
          <rPr>
            <sz val="9"/>
            <color indexed="81"/>
            <rFont val="宋体"/>
            <family val="2"/>
          </rPr>
          <t>#Input("炼化公司_重整装置处理量_月计划_延炼",":key{{dw}}")</t>
        </r>
      </text>
    </comment>
    <comment ref="G21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#Input("炼化公司生产月报1_装置加工量_重整装置处理量_年计划_延炼",":key{{dw}}")
</t>
        </r>
      </text>
    </comment>
    <comment ref="J2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#Input("炼化公司生产月报1_去年同期_本月_重整装置处理量_延炼",":key{{dw}}")</t>
        </r>
      </text>
    </comment>
    <comment ref="K2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#Input("炼化公司生产月报1_去年同期_本年_重整装置处理量_延炼",":key{{dw}}")</t>
        </r>
      </text>
    </comment>
    <comment ref="D22" authorId="0">
      <text>
        <r>
          <rPr>
            <sz val="9"/>
            <color indexed="81"/>
            <rFont val="宋体"/>
            <family val="2"/>
          </rPr>
          <t>#Input("炼化公司_DCC石脑油加氢处理量_月计划_延炼",":key{{dw}}")</t>
        </r>
      </text>
    </comment>
    <comment ref="G22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#Input("炼化公司生产月报1_装置加工量_DCC石脑油加氢处理量_年计划_延炼",":key{{dw}}")
</t>
        </r>
      </text>
    </comment>
    <comment ref="J2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#Input("炼化公司生产月报1_去年同期_本月_DCC石脑油加氢处理量_延炼",":key{{dw}}")</t>
        </r>
      </text>
    </comment>
    <comment ref="K2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#Input("炼化公司生产月报1_去年同期_本年_DCC石脑油加氢处理量_延炼",":key{{dw}}")</t>
        </r>
      </text>
    </comment>
    <comment ref="D23" authorId="0">
      <text>
        <r>
          <rPr>
            <sz val="9"/>
            <color indexed="81"/>
            <rFont val="宋体"/>
            <family val="2"/>
          </rPr>
          <t>#Input("炼化公司_DCC裂解轻油精制处理量_月计划_延炼",":key{{dw}}")</t>
        </r>
      </text>
    </comment>
    <comment ref="G23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#Input("炼化公司生产月报1_装置加工量_DCC裂解轻油加氢处理量_年计划_延炼",":key{{dw}}")
</t>
        </r>
      </text>
    </comment>
    <comment ref="J2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#Input("炼化公司生产月报1_去年同期_本月_DCC裂解轻油加氢处理量_延炼",":key{{dw}}")</t>
        </r>
      </text>
    </comment>
    <comment ref="K2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#Input("炼化公司生产月报1_去年同期_本年_DCC裂解轻油加氢处理量_延炼",":key{{dw}}")</t>
        </r>
      </text>
    </comment>
    <comment ref="D24" authorId="0">
      <text>
        <r>
          <rPr>
            <sz val="9"/>
            <color indexed="81"/>
            <rFont val="宋体"/>
            <family val="2"/>
          </rPr>
          <t>#Input("炼化公司_汽油加氢精制处理量_月计划_延炼",":key{{dw}}")</t>
        </r>
      </text>
    </comment>
    <comment ref="G24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#Input("炼化公司生产月报1_装置加工量_汽油加氢处理量_年计划_延炼",":key{{dw}}")
</t>
        </r>
      </text>
    </comment>
    <comment ref="J2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#Input("炼化公司生产月报1_去年同期_本月_汽油加氢精制处理量_延炼",":key{{dw}}")</t>
        </r>
      </text>
    </comment>
    <comment ref="K2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#Input("炼化公司生产月报1_去年同期_本年_汽油加氢精制处理量_延炼",":key{{dw}}")</t>
        </r>
      </text>
    </comment>
    <comment ref="D25" authorId="0">
      <text>
        <r>
          <rPr>
            <sz val="9"/>
            <color indexed="81"/>
            <rFont val="宋体"/>
            <family val="2"/>
          </rPr>
          <t>#Input("炼化公司_柴油加氢精制处理量_月计划_延炼",":key{{dw}}")</t>
        </r>
      </text>
    </comment>
    <comment ref="G25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#Input("炼化公司生产月报1_装置加工量_柴油加氢处理量_年计划_延炼",":key{{dw}}")
</t>
        </r>
      </text>
    </comment>
    <comment ref="J2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#Input("炼化公司生产月报1_去年同期_本月_柴油加氢精制处理量_延炼",":key{{dw}}")</t>
        </r>
      </text>
    </comment>
    <comment ref="K2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#Input("炼化公司生产月报1_去年同期_本年_柴油加氢精制处理量_延炼",":key{{dw}}")</t>
        </r>
      </text>
    </comment>
    <comment ref="D26" authorId="0">
      <text>
        <r>
          <rPr>
            <sz val="9"/>
            <color indexed="81"/>
            <rFont val="宋体"/>
            <family val="2"/>
          </rPr>
          <t>#Input("炼化公司_气分装置加工量_月计划_延炼",":key{{dw}}")</t>
        </r>
      </text>
    </comment>
    <comment ref="G26" authorId="0">
      <text>
        <r>
          <rPr>
            <sz val="9"/>
            <color indexed="81"/>
            <rFont val="宋体"/>
            <family val="2"/>
          </rPr>
          <t>#Input("炼化公司生产月报1_装置加工量_气分装置加工量_年计划_延炼",":key{{dw}}")</t>
        </r>
      </text>
    </comment>
    <comment ref="J2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#Input("炼化公司生产月报1_去年同期_本月_气分装置加工量_延炼",":key{{dw}}")</t>
        </r>
      </text>
    </comment>
    <comment ref="K2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#Input("炼化公司生产月报1_去年同期_本年_气分装置加工量_延炼",":key{{dw}}")</t>
        </r>
      </text>
    </comment>
    <comment ref="D27" authorId="0">
      <text>
        <r>
          <rPr>
            <sz val="9"/>
            <color indexed="81"/>
            <rFont val="宋体"/>
            <family val="2"/>
          </rPr>
          <t>#Input("炼化公司_航煤装置处理量_月计划_延炼",":key{{dw}}")</t>
        </r>
      </text>
    </comment>
    <comment ref="G2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#Input("炼化公司生产月报1_装置加工量_航煤装置处理量_年计划_延炼",":key{{dw}}")
</t>
        </r>
      </text>
    </comment>
    <comment ref="J2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#Input("炼化公司生产月报1_去年同期_本月_航煤装置处理量_延炼",":key{{dw}}")</t>
        </r>
      </text>
    </comment>
    <comment ref="K2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#Input("炼化公司生产月报1_去年同期_本年_航煤装置处理量_延炼",":key{{dw}}")</t>
        </r>
      </text>
    </comment>
    <comment ref="D28" authorId="0">
      <text>
        <r>
          <rPr>
            <sz val="9"/>
            <color indexed="81"/>
            <rFont val="宋体"/>
            <family val="2"/>
          </rPr>
          <t>#Input("炼化公司_烷基化装置处理量_月计划_延炼",":key{{dw}}")</t>
        </r>
      </text>
    </comment>
    <comment ref="G2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#Input("炼化公司生产月报1_装置加工量_烷基化装置处理量_年计划_延炼",":key{{dw}}")
</t>
        </r>
      </text>
    </comment>
    <comment ref="J2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#Input("炼化公司生产月报1_去年同期_本月_烷基化装置处理量_延炼",":key{{dw}}")</t>
        </r>
      </text>
    </comment>
    <comment ref="K2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#Input("炼化公司生产月报1_去年同期_本年_烷基化装置处理量_延炼",":key{{dw}}")</t>
        </r>
      </text>
    </comment>
    <comment ref="D29" authorId="0">
      <text>
        <r>
          <rPr>
            <sz val="9"/>
            <color indexed="81"/>
            <rFont val="宋体"/>
            <family val="2"/>
          </rPr>
          <t>#Input("炼化公司_混合脱氢装置处理量_月计划_延炼",":key{{dw}}")</t>
        </r>
      </text>
    </comment>
    <comment ref="G2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#Input("炼化公司生产月报1_装置加工量_混合脱氢处理量_年计划_延炼",":key{{dw}}")
</t>
        </r>
      </text>
    </comment>
    <comment ref="J2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#Input("炼化公司生产月报1_去年同期_本月_混合脱氢装置处理量_延炼",":key{{dw}}")</t>
        </r>
      </text>
    </comment>
    <comment ref="K2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#Input("炼化公司生产月报1_去年同期_本年_混合脱氢装置处理量_延炼",":key{{dw}}")</t>
        </r>
      </text>
    </comment>
    <comment ref="D31" authorId="0">
      <text>
        <r>
          <rPr>
            <sz val="9"/>
            <color indexed="81"/>
            <rFont val="宋体"/>
            <family val="2"/>
          </rPr>
          <t>#Input("炼化公司_汽油产量_月计划_延炼",":key{{dw}}")</t>
        </r>
      </text>
    </comment>
    <comment ref="G3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#Input("炼化公司生产月报1_油气产品产销量_汽油产量_年计划_延炼",":key{{dw}}")
</t>
        </r>
      </text>
    </comment>
    <comment ref="J3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#Input("炼化公司生产月报1_去年同期_本月_汽油产量_延炼",":key{{dw}}")</t>
        </r>
      </text>
    </comment>
    <comment ref="K3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#Input("炼化公司生产月报1_去年同期_本年_汽油产量_延炼",":key{{dw}}")</t>
        </r>
      </text>
    </comment>
    <comment ref="M31" authorId="0">
      <text>
        <r>
          <rPr>
            <b/>
            <sz val="9"/>
            <color indexed="81"/>
            <rFont val="宋体"/>
            <family val="2"/>
          </rPr>
          <t>#Input("炼化公司生产月报1_油气产品产销量_汽油产量_延炼_月完成",":key{{dw}}",":read")</t>
        </r>
      </text>
    </comment>
    <comment ref="N31" authorId="0">
      <text>
        <r>
          <rPr>
            <b/>
            <sz val="9"/>
            <color indexed="81"/>
            <rFont val="宋体"/>
            <family val="2"/>
          </rPr>
          <t>#Input("炼化公司生产月报1_油气产品产销量_汽油产量_延炼_年完成",":key{{dw}}",":read")</t>
        </r>
      </text>
    </comment>
    <comment ref="D32" authorId="0">
      <text>
        <r>
          <rPr>
            <sz val="9"/>
            <color indexed="81"/>
            <rFont val="宋体"/>
            <family val="2"/>
          </rPr>
          <t>#Input("炼化公司_92#_月计划_延炼",":key{{dw}}")</t>
        </r>
      </text>
    </comment>
    <comment ref="G32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#Input("炼化公司生产月报1_油气产品产销量_汽油产量_92#VI_年计划_延炼",":key{{dw}}")
</t>
        </r>
      </text>
    </comment>
    <comment ref="J3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#Input("炼化公司生产月报1_去年同期_本月_92#VI_延炼",":key{{dw}}")</t>
        </r>
      </text>
    </comment>
    <comment ref="K3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#Input("炼化公司生产月报1_去年同期_本年_92#VI_延炼",":key{{dw}}")</t>
        </r>
      </text>
    </comment>
    <comment ref="D33" authorId="0">
      <text>
        <r>
          <rPr>
            <sz val="9"/>
            <color indexed="81"/>
            <rFont val="宋体"/>
            <family val="2"/>
          </rPr>
          <t>#Input("炼化公司_95#_月计划_延炼",":key{{dw}}")</t>
        </r>
      </text>
    </comment>
    <comment ref="G33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#Input("炼化公司生产月报1_油气产品产销量_汽油产量_95#VI_年计划_延炼",":key{{dw}}")
</t>
        </r>
      </text>
    </comment>
    <comment ref="J3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#Input("炼化公司生产月报1_去年同期_本月_95#VI_延炼",":key{{dw}}")</t>
        </r>
      </text>
    </comment>
    <comment ref="K3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#Input("炼化公司生产月报1_去年同期_本年_95#VI_延炼",":key{{dw}}")</t>
        </r>
      </text>
    </comment>
    <comment ref="D34" authorId="0">
      <text>
        <r>
          <rPr>
            <sz val="9"/>
            <color indexed="81"/>
            <rFont val="宋体"/>
            <family val="2"/>
          </rPr>
          <t>#Input("炼化公司_98#_月计划_延炼",":key{{dw}}")</t>
        </r>
      </text>
    </comment>
    <comment ref="G34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#Input("炼化公司生产月报1_油气产品产销量_汽油产量_98#VI_年计划_延炼",":key{{dw}}")</t>
        </r>
      </text>
    </comment>
    <comment ref="J3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#Input("炼化公司生产月报1_去年同期_本月_98#Ⅵ_延炼",":key{{dw}}")</t>
        </r>
      </text>
    </comment>
    <comment ref="K3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#Input("炼化公司生产月报1_去年同期_本年_98#Ⅵ_延炼",":key{{dw}}")</t>
        </r>
      </text>
    </comment>
    <comment ref="D35" authorId="0">
      <text>
        <r>
          <rPr>
            <sz val="9"/>
            <color indexed="81"/>
            <rFont val="宋体"/>
            <family val="2"/>
          </rPr>
          <t>#Input("炼化公司_柴油产量_月计划_延炼",":key{{dw}}")</t>
        </r>
      </text>
    </comment>
    <comment ref="G35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#Input("炼化公司生产月报1_油气产品产销量_柴油产量_年计划_延炼",":key{{dw}}")</t>
        </r>
      </text>
    </comment>
    <comment ref="J3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#Input("炼化公司生产月报1_去年同期_本月_柴油产量_延炼",":key{{dw}}")</t>
        </r>
      </text>
    </comment>
    <comment ref="K3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#Input("炼化公司生产月报1_去年同期_本年_柴油产量_延炼",":key{{dw}}")</t>
        </r>
      </text>
    </comment>
    <comment ref="M35" authorId="0">
      <text>
        <r>
          <rPr>
            <b/>
            <sz val="9"/>
            <color indexed="81"/>
            <rFont val="宋体"/>
            <family val="2"/>
          </rPr>
          <t>#Input("炼化公司生产月报1_油气产品产销量_柴油产量_延炼_月完成",":key{{dw}}",":read")</t>
        </r>
      </text>
    </comment>
    <comment ref="N35" authorId="0">
      <text>
        <r>
          <rPr>
            <b/>
            <sz val="9"/>
            <color indexed="81"/>
            <rFont val="宋体"/>
            <family val="2"/>
          </rPr>
          <t>#Input("炼化公司生产月报1_油气产品产销量_柴油产量_延炼_年完成",":key{{dw}}",":read")</t>
        </r>
      </text>
    </comment>
    <comment ref="D36" authorId="0">
      <text>
        <r>
          <rPr>
            <sz val="9"/>
            <color indexed="81"/>
            <rFont val="宋体"/>
            <family val="2"/>
          </rPr>
          <t>#Input("炼化公司_军用柴油量_月计划_延炼",":key{{dw}}")</t>
        </r>
      </text>
    </comment>
    <comment ref="G36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#Input("炼化公司生产月报1_油气产品产销量_柴油产量_军用柴油_年计划_延炼",":key{{dw}}")</t>
        </r>
      </text>
    </comment>
    <comment ref="J3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#Input("炼化公司生产月报1_去年同期_本月_军用柴油_延炼",":key{{dw}}")</t>
        </r>
      </text>
    </comment>
    <comment ref="K3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#Input("炼化公司生产月报1_去年同期_本年_军用柴油_延炼",":key{{dw}}")</t>
        </r>
      </text>
    </comment>
    <comment ref="D37" authorId="0">
      <text>
        <r>
          <rPr>
            <sz val="9"/>
            <color indexed="81"/>
            <rFont val="宋体"/>
            <family val="2"/>
          </rPr>
          <t>#Input("炼化公司_0#_月计划_延炼",":key{{dw}}")</t>
        </r>
      </text>
    </comment>
    <comment ref="G37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#Input("炼化公司生产月报1_油气产品产销量_柴油产量_0#VI_年计划_延炼",":key{{dw}}")</t>
        </r>
      </text>
    </comment>
    <comment ref="J3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#Input("炼化公司生产月报1_去年同期_本月_0#VI_延炼",":key{{dw}}")</t>
        </r>
      </text>
    </comment>
    <comment ref="K3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#Input("炼化公司生产月报1_去年同期_本年_0#VI_延炼",":key{{dw}}")</t>
        </r>
      </text>
    </comment>
    <comment ref="D38" authorId="0">
      <text>
        <r>
          <rPr>
            <sz val="9"/>
            <color indexed="81"/>
            <rFont val="宋体"/>
            <family val="2"/>
          </rPr>
          <t>#Input("炼化公司_-10#_月计划_延炼",":key{{dw}}")</t>
        </r>
      </text>
    </comment>
    <comment ref="G38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#Input("炼化公司生产月报1_油气产品产销量_柴油产量_10#VI_年计划_延炼",":key{{dw}}")</t>
        </r>
      </text>
    </comment>
    <comment ref="J3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#Input("炼化公司生产月报1_去年同期_本月_-10#VI_延炼",":key{{dw}}")</t>
        </r>
      </text>
    </comment>
    <comment ref="K3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#Input("炼化公司生产月报1_去年同期_本年_-10#VI_延炼",":key{{dw}}")</t>
        </r>
      </text>
    </comment>
    <comment ref="D39" authorId="0">
      <text>
        <r>
          <rPr>
            <sz val="9"/>
            <color indexed="81"/>
            <rFont val="宋体"/>
            <family val="2"/>
          </rPr>
          <t>#Input("炼化公司_-20#_月计划_延炼",":key{{dw}}")</t>
        </r>
      </text>
    </comment>
    <comment ref="G39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#Input("炼化公司生产月报1_油气产品产销量_柴油产量_20#VI_年计划_延炼",":key{{dw}}")</t>
        </r>
      </text>
    </comment>
    <comment ref="J3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#Input("炼化公司生产月报1_去年同期_本月_-20#VI_延炼",":key{{dw}}")</t>
        </r>
      </text>
    </comment>
    <comment ref="K3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#Input("炼化公司生产月报1_去年同期_本年_-20#VI_延炼",":key{{dw}}")</t>
        </r>
      </text>
    </comment>
    <comment ref="D40" authorId="0">
      <text>
        <r>
          <rPr>
            <sz val="9"/>
            <color indexed="81"/>
            <rFont val="宋体"/>
            <family val="2"/>
          </rPr>
          <t>#Input("炼化公司_-35#_月计划_延炼",":key{{dw}}")</t>
        </r>
      </text>
    </comment>
    <comment ref="G4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#Input("炼化公司生产月报1_油气产品产销量_柴油产量_35#VI_年计划_延炼",":key{{dw}}")
</t>
        </r>
      </text>
    </comment>
    <comment ref="J4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#Input("炼化公司生产月报1_去年同期_本月_-35#VI_延炼",":key{{dw}}")</t>
        </r>
      </text>
    </comment>
    <comment ref="K4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#Input("炼化公司生产月报1_去年同期_本年_-35#VI_延炼",":key{{dw}}")</t>
        </r>
      </text>
    </comment>
    <comment ref="D41" authorId="0">
      <text>
        <r>
          <rPr>
            <sz val="9"/>
            <color indexed="81"/>
            <rFont val="宋体"/>
            <family val="2"/>
          </rPr>
          <t>#Input("炼化公司_3#喷气燃料销量_月计划_延炼",":key{{dw}}")</t>
        </r>
      </text>
    </comment>
    <comment ref="G4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#Input("炼化公司生产月报1_油气产品产销量_3#喷气燃料销量（航煤)_年计划_延炼",":key{{dw}}")
</t>
        </r>
      </text>
    </comment>
    <comment ref="J4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#Input("炼化公司生产月报1_去年同期_本月_3#喷气燃料销量（航煤）_延炼",":key{{dw}}")</t>
        </r>
      </text>
    </comment>
    <comment ref="K4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#Input("炼化公司生产月报1_去年同期_本年_3#喷气燃料销量（航煤）_延炼",":key{{dw}}")</t>
        </r>
      </text>
    </comment>
    <comment ref="D42" authorId="0">
      <text>
        <r>
          <rPr>
            <sz val="9"/>
            <color indexed="81"/>
            <rFont val="宋体"/>
            <family val="2"/>
          </rPr>
          <t>#Input("炼化公司_石脑油销售量_月计划_延炼",":key{{dw}}")</t>
        </r>
      </text>
    </comment>
    <comment ref="G42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#Input("炼化公司生产月报1_油气产品产销量_石脑油销售量_年计划_延炼",":key{{dw}}")</t>
        </r>
      </text>
    </comment>
    <comment ref="J4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#Input("炼化公司生产月报1_去年同期_本月_石脑油销售量_延炼",":key{{dw}}")</t>
        </r>
      </text>
    </comment>
    <comment ref="K4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#Input("炼化公司生产月报1_去年同期_本年_石脑油销售量_延炼",":key{{dw}}")</t>
        </r>
      </text>
    </comment>
    <comment ref="D43" authorId="0">
      <text>
        <r>
          <rPr>
            <sz val="9"/>
            <color indexed="81"/>
            <rFont val="宋体"/>
            <family val="2"/>
          </rPr>
          <t>#Input("炼化公司_石脑油Ⅰ_月计划_延炼",":key{{dw}}")</t>
        </r>
      </text>
    </comment>
    <comment ref="G43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#Input("炼化公司生产月报1_油气产品产销量_石脑油销售量_石脑油1_年计划_延炼",":key{{dw}}")
</t>
        </r>
      </text>
    </comment>
    <comment ref="J4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#Input("炼化公司生产月报1_去年同期_本月_石脑油Ⅰ_延炼",":key{{dw}}")</t>
        </r>
      </text>
    </comment>
    <comment ref="K4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#Input("炼化公司生产月报1_去年同期_本年_石脑油Ⅰ_延炼",":key{{dw}}")</t>
        </r>
      </text>
    </comment>
    <comment ref="D44" authorId="0">
      <text>
        <r>
          <rPr>
            <sz val="9"/>
            <color indexed="81"/>
            <rFont val="宋体"/>
            <family val="2"/>
          </rPr>
          <t>#Input("炼化公司_石脑油Ⅱ_月计划_延炼",":key{{dw}}")</t>
        </r>
      </text>
    </comment>
    <comment ref="G44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#Input("炼化公司生产月报1_油气产品产销量_石脑油销售量_石脑油2_年计划_延炼",":key{{dw}}")</t>
        </r>
      </text>
    </comment>
    <comment ref="J4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#Input("炼化公司生产月报1_去年同期_本月_石脑油Ⅱ_延炼",":key{{dw}}")</t>
        </r>
      </text>
    </comment>
    <comment ref="K4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#Input("炼化公司生产月报1_去年同期_本年_石脑油Ⅱ_延炼",":key{{dw}}")</t>
        </r>
      </text>
    </comment>
    <comment ref="D45" authorId="0">
      <text>
        <r>
          <rPr>
            <sz val="9"/>
            <color indexed="81"/>
            <rFont val="宋体"/>
            <family val="2"/>
          </rPr>
          <t>#Input("炼化公司_石脑油Ⅲ_月计划_延炼",":key{{dw}}")</t>
        </r>
      </text>
    </comment>
    <comment ref="G45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#Input("炼化公司生产月报1_油气产品产销量_石脑油销售量_石脑油3_年计划_延炼",":key{{dw}}")
</t>
        </r>
      </text>
    </comment>
    <comment ref="J4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#Input("炼化公司生产月报1_去年同期_本月_石脑油Ⅲ_延炼",":key{{dw}}")</t>
        </r>
      </text>
    </comment>
    <comment ref="K4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#Input("炼化公司生产月报1_去年同期_本年_石脑油Ⅲ_延炼",":key{{dw}}")</t>
        </r>
      </text>
    </comment>
    <comment ref="D46" authorId="0">
      <text>
        <r>
          <rPr>
            <sz val="9"/>
            <color indexed="81"/>
            <rFont val="宋体"/>
            <family val="2"/>
          </rPr>
          <t>#Input("炼化公司_液化气销量_月计划_延炼",":key{{dw}}")</t>
        </r>
      </text>
    </comment>
    <comment ref="G46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#Input("炼化公司生产月报1_油气产品产销量_液化气销量_年计划_延炼",":key{{dw}}")
</t>
        </r>
      </text>
    </comment>
    <comment ref="J4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#Input("炼化公司生产月报1_去年同期_本月_液化气销量_延炼",":key{{dw}}")</t>
        </r>
      </text>
    </comment>
    <comment ref="K4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#Input("炼化公司生产月报1_去年同期_本年_液化气销量_延炼",":key{{dw}}")</t>
        </r>
      </text>
    </comment>
    <comment ref="D47" authorId="0">
      <text>
        <r>
          <rPr>
            <sz val="9"/>
            <color indexed="81"/>
            <rFont val="宋体"/>
            <family val="2"/>
          </rPr>
          <t>#Input("炼化公司_催化液化气_月计划_延炼",":key{{dw}}")</t>
        </r>
      </text>
    </comment>
    <comment ref="G47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#Input("炼化公司生产月报1_油气产品产销量_液化气销量_催化液化气_年计划_延炼",":key{{dw}}")</t>
        </r>
      </text>
    </comment>
    <comment ref="J4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#Input("炼化公司生产月报1_去年同期_本月_催化液化气_延炼",":key{{dw}}")</t>
        </r>
      </text>
    </comment>
    <comment ref="K4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#Input("炼化公司生产月报1_去年同期_本年_催化液化气_延炼",":key{{dw}}")</t>
        </r>
      </text>
    </comment>
    <comment ref="D48" authorId="0">
      <text>
        <r>
          <rPr>
            <sz val="9"/>
            <color indexed="81"/>
            <rFont val="宋体"/>
            <family val="2"/>
          </rPr>
          <t>#Input("炼化公司_醚后碳四_月计划_延炼",":key{{dw}}")</t>
        </r>
      </text>
    </comment>
    <comment ref="G48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#Input("炼化公司生产月报1_油气产品产销量_液化气销量_醚后碳四_年计划_延炼",":key{{dw}}")
</t>
        </r>
      </text>
    </comment>
    <comment ref="J4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#Input("炼化公司生产月报1_去年同期_本月_醚后碳四_延炼",":key{{dw}}")</t>
        </r>
      </text>
    </comment>
    <comment ref="K4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#Input("炼化公司生产月报1_去年同期_本年_醚后碳四_延炼",":key{{dw}}")</t>
        </r>
      </text>
    </comment>
    <comment ref="D49" authorId="0">
      <text>
        <r>
          <rPr>
            <sz val="9"/>
            <color indexed="81"/>
            <rFont val="宋体"/>
            <family val="2"/>
          </rPr>
          <t>#Input("炼化公司_民用液化气_月计划_延炼",":key{{dw}}")</t>
        </r>
      </text>
    </comment>
    <comment ref="G49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#Input("炼化公司生产月报1_油气产品产销量_液化气销量_民用液化气_年计划_延炼",":key{{dw}}")
</t>
        </r>
      </text>
    </comment>
    <comment ref="J4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#Input("炼化公司生产月报1_去年同期_本月_民用液化气_延炼",":key{{dw}}")</t>
        </r>
      </text>
    </comment>
    <comment ref="K4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#Input("炼化公司生产月报1_去年同期_本年_民用液化气_延炼",":key{{dw}}")</t>
        </r>
      </text>
    </comment>
    <comment ref="D50" authorId="0">
      <text>
        <r>
          <rPr>
            <sz val="9"/>
            <color indexed="81"/>
            <rFont val="宋体"/>
            <family val="2"/>
          </rPr>
          <t>#Input("炼化公司_正丁烷_月计划_延炼",":key{{dw}}")</t>
        </r>
      </text>
    </comment>
    <comment ref="G5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#Input("炼化公司生产月报1_油气产品产销量_液化气销量_正丁烷_年计划_延炼",":key{{dw}}")
</t>
        </r>
      </text>
    </comment>
    <comment ref="J5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#Input("炼化公司生产月报1_去年同期_本月_正丁烷_延炼",":key{{dw}}")</t>
        </r>
      </text>
    </comment>
    <comment ref="K5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#Input("炼化公司生产月报1_去年同期_本年_正丁烷_延炼",":key{{dw}}")</t>
        </r>
      </text>
    </comment>
    <comment ref="D51" authorId="0">
      <text>
        <r>
          <rPr>
            <sz val="9"/>
            <color indexed="81"/>
            <rFont val="宋体"/>
            <family val="2"/>
          </rPr>
          <t>#Input("炼化公司_1#渣油销量_月计划_延炼",":key{{dw}}")</t>
        </r>
      </text>
    </comment>
    <comment ref="G5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#Input("炼化公司生产月报1_油气产品产销量_1#渣油销量_年计划_延炼",":key{{dw}}")
</t>
        </r>
      </text>
    </comment>
    <comment ref="J5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#Input("炼化公司生产月报1_去年同期_本月_1#渣油销量（供榆能化）_延炼",":key{{dw}}")</t>
        </r>
      </text>
    </comment>
    <comment ref="K5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#Input("炼化公司生产月报1_去年同期_本年_1#渣油销量（供榆能化）_延炼",":key{{dw}}")</t>
        </r>
      </text>
    </comment>
    <comment ref="D52" authorId="0">
      <text>
        <r>
          <rPr>
            <sz val="9"/>
            <color indexed="81"/>
            <rFont val="宋体"/>
            <family val="2"/>
          </rPr>
          <t>#Input("炼化公司_2#渣油销量_月计划_延炼",":key{{dw}}")</t>
        </r>
      </text>
    </comment>
    <comment ref="G52" authorId="0">
      <text>
        <r>
          <rPr>
            <sz val="9"/>
            <color indexed="81"/>
            <rFont val="宋体"/>
            <family val="2"/>
          </rPr>
          <t>#Input("炼化公司生产月报1_油气产品产销量_2#渣油销量_年计划_延炼",":key{{dw}}")</t>
        </r>
      </text>
    </comment>
    <comment ref="J5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#Input("炼化公司生产月报1_去年同期_本月_2#渣油销量_延炼",":key{{dw}}")</t>
        </r>
      </text>
    </comment>
    <comment ref="K5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#Input("炼化公司生产月报1_去年同期_本年_2#渣油销量_延炼",":key{{dw}}")</t>
        </r>
      </text>
    </comment>
    <comment ref="D53" authorId="0">
      <text>
        <r>
          <rPr>
            <sz val="9"/>
            <color indexed="81"/>
            <rFont val="宋体"/>
            <family val="2"/>
          </rPr>
          <t>#Input("炼化公司_聚丙烯产量_月计划_延炼",":key{{dw}}")</t>
        </r>
      </text>
    </comment>
    <comment ref="G53" authorId="0">
      <text>
        <r>
          <rPr>
            <sz val="9"/>
            <color indexed="81"/>
            <rFont val="宋体"/>
            <family val="2"/>
          </rPr>
          <t>#Input("炼化公司生产月报1_油气产品产销量_聚丙烯产量_年计划_延炼",":key{{dw}}")</t>
        </r>
      </text>
    </comment>
    <comment ref="J5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#Input("炼化公司生产月报1_去年同期_本月_聚丙烯产量_延炼",":key{{dw}}")</t>
        </r>
      </text>
    </comment>
    <comment ref="K5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#Input("炼化公司生产月报1_去年同期_本年_聚丙烯产量_延炼",":key{{dw}}")</t>
        </r>
      </text>
    </comment>
    <comment ref="D54" authorId="0">
      <text>
        <r>
          <rPr>
            <sz val="9"/>
            <color indexed="81"/>
            <rFont val="宋体"/>
            <family val="2"/>
          </rPr>
          <t>#Input("炼化公司_苯乙烯产量_月计划_延炼",":key{{dw}}")</t>
        </r>
      </text>
    </comment>
    <comment ref="G54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#Input("炼化公司生产月报1_油气产品产销量_苯乙烯产量_年计划_延炼",":key{{dw}}")
</t>
        </r>
      </text>
    </comment>
    <comment ref="J5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#Input("炼化公司生产月报1_去年同期_本月_苯乙烯产量_延炼",":key{{dw}}")</t>
        </r>
      </text>
    </comment>
    <comment ref="K5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#Input("炼化公司生产月报1_去年同期_本年_苯乙烯产量_延炼",":key{{dw}}")</t>
        </r>
      </text>
    </comment>
    <comment ref="D55" authorId="0">
      <text>
        <r>
          <rPr>
            <sz val="9"/>
            <color indexed="81"/>
            <rFont val="宋体"/>
            <family val="2"/>
          </rPr>
          <t>#Input("炼化公司_苯销量_月计划_延炼",":key{{dw}}")</t>
        </r>
      </text>
    </comment>
    <comment ref="G55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#Input("炼化公司生产月报1_油气产品产销量_苯销量_年计划_延炼",":key{{dw}}")
</t>
        </r>
      </text>
    </comment>
    <comment ref="J5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#Input("炼化公司生产月报1_去年同期_本月_苯销量_延炼",":key{{dw}}")</t>
        </r>
      </text>
    </comment>
    <comment ref="K5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#Input("炼化公司生产月报1_去年同期_本年_苯销量_延炼",":key{{dw}}")</t>
        </r>
      </text>
    </comment>
    <comment ref="D56" authorId="0">
      <text>
        <r>
          <rPr>
            <sz val="9"/>
            <color indexed="81"/>
            <rFont val="宋体"/>
            <family val="2"/>
          </rPr>
          <t>#Input("炼化公司_二甲苯销量_月计划_延炼",":key{{dw}}")</t>
        </r>
      </text>
    </comment>
    <comment ref="G56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#Input("炼化公司生产月报1_油气产品产销量_二甲苯销量_年计划_延炼",":key{{dw}}")
</t>
        </r>
      </text>
    </comment>
    <comment ref="J5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#Input("炼化公司生产月报1_去年同期_本月_二甲苯销量_延炼",":key{{dw}}")</t>
        </r>
      </text>
    </comment>
    <comment ref="K5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#Input("炼化公司生产月报1_去年同期_本年_二甲苯销量_延炼",":key{{dw}}")</t>
        </r>
      </text>
    </comment>
    <comment ref="D57" authorId="0">
      <text>
        <r>
          <rPr>
            <sz val="9"/>
            <color indexed="81"/>
            <rFont val="宋体"/>
            <family val="2"/>
          </rPr>
          <t>#Input("炼化公司_醋酸仲丁酯产量_月计划_延炼",":key{{dw}}")</t>
        </r>
      </text>
    </comment>
    <comment ref="G57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#Input("炼化公司生产月报1_油气产品产销量_醋酸仲丁酯产量_年计划_延炼",":key{{dw}}")
</t>
        </r>
      </text>
    </comment>
    <comment ref="J5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#Input("炼化公司生产月报1_去年同期_本月_醋酸仲丁酯产量_延炼",":key{{dw}}")</t>
        </r>
      </text>
    </comment>
    <comment ref="K5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#Input("炼化公司生产月报1_去年同期_本年_醋酸仲丁酯产量_延炼",":key{{dw}}")</t>
        </r>
      </text>
    </comment>
    <comment ref="D58" authorId="0">
      <text>
        <r>
          <rPr>
            <sz val="9"/>
            <color indexed="81"/>
            <rFont val="宋体"/>
            <family val="2"/>
          </rPr>
          <t>#Input("炼化公司_精制硫磺销量_月计划_延炼",":key{{dw}}")</t>
        </r>
      </text>
    </comment>
    <comment ref="G58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#Input("炼化公司生产月报1_油气产品产销量_精制硫磺销量_年计划_延炼",":key{{dw}}")
</t>
        </r>
      </text>
    </comment>
    <comment ref="J5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#Input("炼化公司生产月报1_去年同期_本月_精制硫磺销量_延炼",":key{{dw}}")</t>
        </r>
      </text>
    </comment>
    <comment ref="K5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#Input("炼化公司生产月报1_去年同期_本年_精制硫磺销量_延炼",":key{{dw}}")</t>
        </r>
      </text>
    </comment>
    <comment ref="D59" authorId="0">
      <text>
        <r>
          <rPr>
            <sz val="9"/>
            <color indexed="81"/>
            <rFont val="宋体"/>
            <family val="2"/>
          </rPr>
          <t>#Input("炼化公司_粗硫磺销量_月计划_延炼",":key{{dw}}")</t>
        </r>
      </text>
    </comment>
    <comment ref="G59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#Input("炼化公司生产月报1_油气产品产销量_粗硫磺销量_年计划_延炼",":key{{dw}}")
</t>
        </r>
      </text>
    </comment>
    <comment ref="J5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#Input("炼化公司生产月报1_去年同期_本月_粗硫磺销量_延炼",":key{{dw}}")</t>
        </r>
      </text>
    </comment>
    <comment ref="K5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#Input("炼化公司生产月报1_去年同期_本年_粗硫磺销量_延炼",":key{{dw}}")</t>
        </r>
      </text>
    </comment>
    <comment ref="D60" authorId="0">
      <text>
        <r>
          <rPr>
            <sz val="9"/>
            <color indexed="81"/>
            <rFont val="宋体"/>
            <family val="2"/>
          </rPr>
          <t>#Input("炼化公司_丙烯销量_月计划_延炼",":key{{dw}}")</t>
        </r>
      </text>
    </comment>
    <comment ref="G6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#Input("炼化公司生产月报1_油气产品产销量_丙烯销量_年计划_延炼",":key{{dw}}")
</t>
        </r>
      </text>
    </comment>
    <comment ref="J6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#Input("炼化公司生产月报1_去年同期_本月_丙烯销量_延炼",":key{{dw}}")</t>
        </r>
      </text>
    </comment>
    <comment ref="K6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#Input("炼化公司生产月报1_去年同期_本年_丙烯销量_延炼",":key{{dw}}")</t>
        </r>
      </text>
    </comment>
    <comment ref="D61" authorId="0">
      <text>
        <r>
          <rPr>
            <sz val="9"/>
            <color indexed="81"/>
            <rFont val="宋体"/>
            <family val="2"/>
          </rPr>
          <t>#Input("炼化公司_硫酸铵销量_月计划_延炼",":key{{dw}}")</t>
        </r>
      </text>
    </comment>
    <comment ref="G6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#Input("炼化公司生产月报1_油气产品产销量_硫酸铵销量_年计划_延炼",":key{{dw}}")
</t>
        </r>
      </text>
    </comment>
    <comment ref="J6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#Input("炼化公司生产月报1_去年同期_本月_硫酸铵销量_延炼",":key{{dw}}")</t>
        </r>
      </text>
    </comment>
    <comment ref="K6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#Input("炼化公司生产月报1_去年同期_本年_硫酸铵销量_延炼",":key{{dw}}")</t>
        </r>
      </text>
    </comment>
    <comment ref="D62" authorId="0">
      <text>
        <r>
          <rPr>
            <sz val="9"/>
            <color indexed="81"/>
            <rFont val="宋体"/>
            <family val="2"/>
          </rPr>
          <t>#Input("炼化公司_异辛烷组分产量_月计划_延炼",":key{{dw}}")</t>
        </r>
      </text>
    </comment>
    <comment ref="G62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#Input("炼化公司生产月报1_油气产品产销量_异辛烷组分产量_年计划_延炼",":key{{dw}}")</t>
        </r>
      </text>
    </comment>
    <comment ref="J6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#Input("炼化公司生产月报1_去年同期_本月_异辛烷组分产量_延炼",":key{{dw}}")</t>
        </r>
      </text>
    </comment>
    <comment ref="K6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#Input("炼化公司生产月报1_去年同期_本年_异辛烷组分产量_延炼",":key{{dw}}")</t>
        </r>
      </text>
    </comment>
    <comment ref="D63" authorId="0">
      <text>
        <r>
          <rPr>
            <sz val="9"/>
            <color indexed="81"/>
            <rFont val="宋体"/>
            <family val="2"/>
          </rPr>
          <t>#Input("炼化公司_异辛烷组分销量_月计划_延炼",":key{{dw}}")</t>
        </r>
      </text>
    </comment>
    <comment ref="G63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#Input("炼化公司生产月报1_油气产品产销量_异辛烷组分销量_年计划_延炼",":key{{dw}}")</t>
        </r>
      </text>
    </comment>
    <comment ref="J6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#Input("炼化公司生产月报1_去年同期_本月_异辛烷组分销量_延炼",":key{{dw}}")</t>
        </r>
      </text>
    </comment>
    <comment ref="K6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#Input("炼化公司生产月报1_去年同期_本年_异辛烷组分销量_延炼",":key{{dw}}")</t>
        </r>
      </text>
    </comment>
    <comment ref="D64" authorId="0">
      <text>
        <r>
          <rPr>
            <sz val="9"/>
            <color indexed="81"/>
            <rFont val="宋体"/>
            <family val="2"/>
          </rPr>
          <t>#Input("炼化公司_MTBE产量_月计划_延炼",":key{{dw}}")</t>
        </r>
      </text>
    </comment>
    <comment ref="G64" authorId="0">
      <text>
        <r>
          <rPr>
            <sz val="9"/>
            <color indexed="81"/>
            <rFont val="宋体"/>
            <family val="2"/>
          </rPr>
          <t>#Input("炼化公司生产月报1_油气产品产销量_MTBE产量_年计划_延炼",":key{{dw}}")</t>
        </r>
      </text>
    </comment>
    <comment ref="J6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#Input("炼化公司生产月报1_去年同期_本月_MTBE产量_延炼",":key{{dw}}")</t>
        </r>
      </text>
    </comment>
    <comment ref="K6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#Input("炼化公司生产月报1_去年同期_本年_MTBE产量_延炼",":key{{dw}}")</t>
        </r>
      </text>
    </comment>
    <comment ref="D65" authorId="0">
      <text>
        <r>
          <rPr>
            <sz val="9"/>
            <color indexed="81"/>
            <rFont val="宋体"/>
            <family val="2"/>
          </rPr>
          <t>#Input("炼化公司_MTBE销量_月计划_延炼",":key{{dw}}")</t>
        </r>
      </text>
    </comment>
    <comment ref="G65" authorId="0">
      <text>
        <r>
          <rPr>
            <sz val="9"/>
            <color indexed="81"/>
            <rFont val="宋体"/>
            <family val="2"/>
          </rPr>
          <t>#Input("炼化公司生产月报1_油气产品产销量_MTBE销量_年计划_延炼",":key{{dw}}")</t>
        </r>
      </text>
    </comment>
    <comment ref="J6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#Input("炼化公司生产月报1_去年同期_本月_MTBE销量_延炼",":key{{dw}}")</t>
        </r>
      </text>
    </comment>
    <comment ref="K6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#Input("炼化公司生产月报1_去年同期_本年_MTBE销量_延炼",":key{{dw}}")</t>
        </r>
      </text>
    </comment>
    <comment ref="D66" authorId="0">
      <text>
        <r>
          <rPr>
            <sz val="9"/>
            <color indexed="81"/>
            <rFont val="宋体"/>
            <family val="2"/>
          </rPr>
          <t>#Input("炼化公司_液氨销量_月计划_延炼",":key{{dw}}")</t>
        </r>
      </text>
    </comment>
    <comment ref="G66" authorId="0">
      <text>
        <r>
          <rPr>
            <sz val="9"/>
            <color indexed="81"/>
            <rFont val="宋体"/>
            <family val="2"/>
          </rPr>
          <t>#Input("炼化公司生产月报1_油气产品产销量_液氨销量_年计划_延炼",":key{{dw}}")</t>
        </r>
      </text>
    </comment>
    <comment ref="J6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#Input("炼化公司生产月报1_去年同期_本月_液氨销量_延炼",":key{{dw}}")</t>
        </r>
      </text>
    </comment>
    <comment ref="K6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#Input("炼化公司生产月报1_去年同期_本年_液氨销量_延炼",":key{{dw}}")</t>
        </r>
      </text>
    </comment>
    <comment ref="D67" authorId="0">
      <text>
        <r>
          <rPr>
            <sz val="9"/>
            <color indexed="81"/>
            <rFont val="宋体"/>
            <family val="2"/>
          </rPr>
          <t>#Input("炼化公司_3#喷气燃料产量_月计划_延炼",":key{{dw}}")</t>
        </r>
      </text>
    </comment>
    <comment ref="E67" authorId="0">
      <text>
        <r>
          <rPr>
            <sz val="9"/>
            <color indexed="81"/>
            <rFont val="宋体"/>
            <family val="2"/>
          </rPr>
          <t>#Input("炼化公司_月完成_3#喷气燃料产量_延炼",":key{{dw}}")</t>
        </r>
      </text>
    </comment>
    <comment ref="G67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#Input("炼化公司生产月报1_油气产品产销量_3#喷气燃料产量_年计划_延炼",":key{{dw}}")
</t>
        </r>
      </text>
    </comment>
    <comment ref="H67" authorId="0">
      <text>
        <r>
          <rPr>
            <sz val="9"/>
            <color indexed="81"/>
            <rFont val="宋体"/>
            <family val="2"/>
          </rPr>
          <t>#Input("炼化公司_年完成_3#喷气燃料产量_延炼",":key{{dw}}")</t>
        </r>
      </text>
    </comment>
    <comment ref="J6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#Input("炼化公司生产月报1_去年同期_本月_3#喷气燃料产量_延炼",":key{{dw}}")</t>
        </r>
      </text>
    </comment>
    <comment ref="K67" authorId="0">
      <text>
        <r>
          <rPr>
            <sz val="9"/>
            <color indexed="81"/>
            <rFont val="宋体"/>
            <family val="2"/>
          </rPr>
          <t>#Input("炼化公司生产月报1_去年同期_本年_3#喷气燃料产量_延炼",":key{{dw}}")</t>
        </r>
      </text>
    </comment>
    <comment ref="D69" authorId="0">
      <text>
        <r>
          <rPr>
            <sz val="9"/>
            <color indexed="81"/>
            <rFont val="宋体"/>
            <family val="2"/>
          </rPr>
          <t>#Input("炼化公司_成品油产量_月计划_延炼",":key{{dw}}")</t>
        </r>
      </text>
    </comment>
    <comment ref="G69" authorId="0">
      <text>
        <r>
          <rPr>
            <sz val="9"/>
            <color indexed="81"/>
            <rFont val="宋体"/>
            <family val="2"/>
          </rPr>
          <t xml:space="preserve">#Input("炼化公司生产月报1_综合指标_成品油产量(汽油+柴油+航煤)_年计划_延炼",":key{{dw}}")
</t>
        </r>
      </text>
    </comment>
    <comment ref="J6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#Input("炼化公司生产月报1_去年同期_本月_成品油产量_延炼",":key{{dw}}")</t>
        </r>
      </text>
    </comment>
    <comment ref="K6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#Input("炼化公司生产月报1_去年同期_本年_成品油产量_延炼",":key{{dw}}")</t>
        </r>
      </text>
    </comment>
    <comment ref="D70" authorId="0">
      <text>
        <r>
          <rPr>
            <sz val="9"/>
            <color indexed="81"/>
            <rFont val="宋体"/>
            <family val="2"/>
          </rPr>
          <t>#Input("炼化公司_综合商品量_月计划_延炼",":key{{dw}}")</t>
        </r>
      </text>
    </comment>
    <comment ref="G70" authorId="0">
      <text>
        <r>
          <rPr>
            <sz val="9"/>
            <color indexed="81"/>
            <rFont val="宋体"/>
            <family val="2"/>
          </rPr>
          <t>#Input("炼化公司生产月报1_综合指标_3#喷气燃料产量_年计划_延炼",":key{{dw}}")</t>
        </r>
      </text>
    </comment>
    <comment ref="J7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#Input("炼化公司生产月报1_去年同期_本月_综合商品量_延炼",":key{{dw}}")</t>
        </r>
      </text>
    </comment>
    <comment ref="K7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#Input("炼化公司生产月报1_去年同期_本年_综合商品量_延炼",":key{{dw}}")</t>
        </r>
      </text>
    </comment>
    <comment ref="D71" authorId="0">
      <text>
        <r>
          <rPr>
            <sz val="9"/>
            <color indexed="81"/>
            <rFont val="宋体"/>
            <family val="2"/>
          </rPr>
          <t>#Input("炼化公司_综合商品率_月计划_延炼",":key{{dw}}")</t>
        </r>
      </text>
    </comment>
    <comment ref="G71" authorId="0">
      <text>
        <r>
          <rPr>
            <sz val="9"/>
            <color indexed="81"/>
            <rFont val="宋体"/>
            <family val="2"/>
          </rPr>
          <t>#Input("炼化公司生产月报1_综合指标_综合商品量_年计划_延炼",":key{{dw}}")</t>
        </r>
      </text>
    </comment>
    <comment ref="J7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#Input("炼化公司生产月报1_去年同期_本月_综合商品率_延炼",":key{{dw}}")</t>
        </r>
      </text>
    </comment>
    <comment ref="K7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#Input("炼化公司生产月报1_去年同期_本年_综合商品率_延炼",":key{{dw}}")</t>
        </r>
      </text>
    </comment>
    <comment ref="D72" authorId="0">
      <text>
        <r>
          <rPr>
            <sz val="9"/>
            <color indexed="81"/>
            <rFont val="宋体"/>
            <family val="2"/>
          </rPr>
          <t>#Input("炼化公司_综合自用率_月计划_延炼",":key{{dw}}")</t>
        </r>
      </text>
    </comment>
    <comment ref="G72" authorId="0">
      <text>
        <r>
          <rPr>
            <sz val="9"/>
            <color indexed="81"/>
            <rFont val="宋体"/>
            <family val="2"/>
          </rPr>
          <t>#Input("炼化公司生产月报1_综合指标_综合自用率_年计划_延炼",":key{{dw}}")</t>
        </r>
      </text>
    </comment>
    <comment ref="J7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#Input("炼化公司生产月报1_去年同期_本月_综合自用率_延炼",":key{{dw}}")</t>
        </r>
      </text>
    </comment>
    <comment ref="K7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#Input("炼化公司生产月报1_去年同期_本年_综合自用率_延炼",":key{{dw}}")</t>
        </r>
      </text>
    </comment>
    <comment ref="D73" authorId="0">
      <text>
        <r>
          <rPr>
            <sz val="9"/>
            <color indexed="81"/>
            <rFont val="宋体"/>
            <family val="2"/>
          </rPr>
          <t>#Input("炼化公司_综合加工损失率_月计划_延炼",":key{{dw}}")</t>
        </r>
      </text>
    </comment>
    <comment ref="G73" authorId="0">
      <text>
        <r>
          <rPr>
            <sz val="9"/>
            <color indexed="81"/>
            <rFont val="宋体"/>
            <family val="2"/>
          </rPr>
          <t>#Input("炼化公司生产月报1_综合指标_综合加工损失率_年计划_延炼",":key{{dw}}")</t>
        </r>
      </text>
    </comment>
    <comment ref="J7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#Input("炼化公司生产月报1_去年同期_本月_综合加工损失率_延炼",":key{{dw}}")</t>
        </r>
      </text>
    </comment>
    <comment ref="K7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#Input("炼化公司生产月报1_去年同期_本年_综合加工损失率_延炼",":key{{dw}}")</t>
        </r>
      </text>
    </comment>
    <comment ref="D74" authorId="0">
      <text>
        <r>
          <rPr>
            <sz val="9"/>
            <color indexed="81"/>
            <rFont val="宋体"/>
            <family val="2"/>
          </rPr>
          <t>#Input("炼化公司_炼油综合能耗_月计划_延炼",":key{{dw}}")</t>
        </r>
      </text>
    </comment>
    <comment ref="G74" authorId="0">
      <text>
        <r>
          <rPr>
            <sz val="9"/>
            <color indexed="81"/>
            <rFont val="宋体"/>
            <family val="2"/>
          </rPr>
          <t>#Input("炼化公司生产月报1_综合指标_炼油综合能耗_年计划_延炼",":key{{dw}}")</t>
        </r>
      </text>
    </comment>
    <comment ref="J7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#Input("炼化公司生产月报1_去年同期_本月_炼油综合能耗_延炼",":key{{dw}}")</t>
        </r>
      </text>
    </comment>
    <comment ref="K7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#Input("炼化公司生产月报1_去年同期_本年_炼油综合能耗_延炼",":key{{dw}}")</t>
        </r>
      </text>
    </comment>
    <comment ref="D75" authorId="0">
      <text>
        <r>
          <rPr>
            <sz val="9"/>
            <color indexed="81"/>
            <rFont val="宋体"/>
            <family val="2"/>
          </rPr>
          <t>#Input("炼化公司_丙烯单耗_月计划_延炼",":key{{dw}}")</t>
        </r>
      </text>
    </comment>
    <comment ref="G75" authorId="0">
      <text>
        <r>
          <rPr>
            <sz val="9"/>
            <color indexed="81"/>
            <rFont val="宋体"/>
            <family val="2"/>
          </rPr>
          <t>#Input("炼化公司生产月报1_综合指标_丙烯单耗_年计划_延炼",":key{{dw}}")</t>
        </r>
      </text>
    </comment>
    <comment ref="J7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#Input("炼化公司生产月报1_去年同期_本月_丙烯单耗_延炼",":key{{dw}}")</t>
        </r>
      </text>
    </comment>
    <comment ref="K7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#Input("炼化公司生产月报1_去年同期_本年_丙烯单耗_延炼",":key{{dw}}")</t>
        </r>
      </text>
    </comment>
    <comment ref="D76" authorId="0">
      <text>
        <r>
          <rPr>
            <sz val="9"/>
            <color indexed="81"/>
            <rFont val="宋体"/>
            <family val="2"/>
          </rPr>
          <t>#Input("炼化公司_石油产品出厂合格率_月计划_延炼",":key{{dw}}")</t>
        </r>
      </text>
    </comment>
    <comment ref="G76" authorId="0">
      <text>
        <r>
          <rPr>
            <sz val="9"/>
            <color indexed="81"/>
            <rFont val="宋体"/>
            <family val="2"/>
          </rPr>
          <t>#Input("炼化公司生产月报1_综合指标_石油产品出厂合格率_年计划_延炼",":key{{dw}}")</t>
        </r>
      </text>
    </comment>
    <comment ref="J7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#Input("炼化公司生产月报1_去年同期_本月_石油产品出厂合格率_延炼",":key{{dw}}")</t>
        </r>
      </text>
    </comment>
    <comment ref="K7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#Input("炼化公司生产月报1_去年同期_本年_石油产品出厂合格率_延炼",":key{{dw}}")</t>
        </r>
      </text>
    </comment>
    <comment ref="D78" authorId="0">
      <text>
        <r>
          <rPr>
            <sz val="9"/>
            <color indexed="81"/>
            <rFont val="宋体"/>
            <family val="2"/>
          </rPr>
          <t>#Input("炼化公司_常压装置轻质油收率_月计划_延炼",":key{{dw}}")</t>
        </r>
      </text>
    </comment>
    <comment ref="G78" authorId="0">
      <text>
        <r>
          <rPr>
            <sz val="9"/>
            <color indexed="81"/>
            <rFont val="宋体"/>
            <family val="2"/>
          </rPr>
          <t>#Input("炼化公司生产月报1_装置收率_常压装置轻质油收率_年计划_延炼",":key{{dw}}")</t>
        </r>
      </text>
    </comment>
    <comment ref="J7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#Input("炼化公司生产月报1_去年同期_本月_常压装置轻质油收率_延炼",":key{{dw}}")</t>
        </r>
      </text>
    </comment>
    <comment ref="K7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#Input("炼化公司生产月报1_去年同期_本年_常压装置轻质油收率_延炼",":key{{dw}}")</t>
        </r>
      </text>
    </comment>
    <comment ref="D79" authorId="0">
      <text>
        <r>
          <rPr>
            <sz val="9"/>
            <color indexed="81"/>
            <rFont val="宋体"/>
            <family val="2"/>
          </rPr>
          <t>#Input("炼化公司_催化装置汽柴液总收率_月计划_延炼",":key{{dw}}")</t>
        </r>
      </text>
    </comment>
    <comment ref="G79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#Input("炼化公司生产月报1_装置收率_催化装置汽柴液总收率_年月完成_延炼",":key{{dw}}")
</t>
        </r>
      </text>
    </comment>
    <comment ref="J7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#Input("炼化公司生产月报1_去年同期_本月_催化装置汽柴液总收率_延炼",":key{{dw}}")</t>
        </r>
      </text>
    </comment>
    <comment ref="K7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#Input("炼化公司生产月报1_去年同期_本年_催化装置汽柴液总收率_延炼",":key{{dw}}")</t>
        </r>
      </text>
    </comment>
    <comment ref="D80" authorId="0">
      <text>
        <r>
          <rPr>
            <sz val="9"/>
            <color indexed="81"/>
            <rFont val="宋体"/>
            <family val="2"/>
          </rPr>
          <t>#Input("炼化公司_催化装置轻质油收率_月计划_延炼",":key{{dw}}")</t>
        </r>
      </text>
    </comment>
    <comment ref="G80" authorId="0">
      <text>
        <r>
          <rPr>
            <sz val="9"/>
            <color indexed="81"/>
            <rFont val="宋体"/>
            <family val="2"/>
          </rPr>
          <t xml:space="preserve">#Input("炼化公司_生产月报1_装置收率_催化装置轻质油收率_年计划_延炼",":key{{dw}}")
</t>
        </r>
      </text>
    </comment>
    <comment ref="J8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#Input("炼化公司生产月报1_去年同期_本月_催化装置轻质油收率_延炼",":key{{dw}}")</t>
        </r>
      </text>
    </comment>
    <comment ref="K8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#Input("炼化公司生产月报1_去年同期_本年_催化装置轻质油收率_延炼",":key{{dw}}")</t>
        </r>
      </text>
    </comment>
    <comment ref="D81" authorId="0">
      <text>
        <r>
          <rPr>
            <sz val="9"/>
            <color indexed="81"/>
            <rFont val="宋体"/>
            <family val="2"/>
          </rPr>
          <t>#Input("炼化公司_催化装置液化气收率_月计划_延炼",":key{{dw}}")</t>
        </r>
      </text>
    </comment>
    <comment ref="G81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#Input("炼化公司生产月报1_装置收率_催化装置液化气收率_年计划_延炼",":key{{dw}}")
</t>
        </r>
      </text>
    </comment>
    <comment ref="J8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#Input("炼化公司生产月报1_去年同期_本月_催化装置液化气收率_延炼",":key{{dw}}")</t>
        </r>
      </text>
    </comment>
    <comment ref="K8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#Input("炼化公司生产月报1_去年同期_本年_催化装置液化气收率_延炼",":key{{dw}}")</t>
        </r>
      </text>
    </comment>
    <comment ref="D82" authorId="0">
      <text>
        <r>
          <rPr>
            <sz val="9"/>
            <color indexed="81"/>
            <rFont val="宋体"/>
            <family val="2"/>
          </rPr>
          <t>#Input("炼化公司_重整装置总收率_月计划_延炼",":key{{dw}}")</t>
        </r>
      </text>
    </comment>
    <comment ref="G82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#Input("炼化公司生产月报1_装置收率_重整装置总收率_年计划_延炼",":key{{dw}}")
</t>
        </r>
      </text>
    </comment>
    <comment ref="J8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#Input("炼化公司生产月报1_去年同期_本月_重整装置总收率_延炼",":key{{dw}}")</t>
        </r>
      </text>
    </comment>
    <comment ref="K8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#Input("炼化公司生产月报1_去年同期_本年_重整装置总收率_延炼",":key{{dw}}")</t>
        </r>
      </text>
    </comment>
    <comment ref="D83" authorId="0">
      <text>
        <r>
          <rPr>
            <sz val="9"/>
            <color indexed="81"/>
            <rFont val="宋体"/>
            <family val="2"/>
          </rPr>
          <t>#Input("炼化公司_气体分馏装置丙烯收率_月计划_延炼",":key{{dw}}")</t>
        </r>
      </text>
    </comment>
    <comment ref="G83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#Input("炼化公司生产月报1_装置收率_气体分馏装置丙烯收率_年计划_延炼",":key{{dw}}")
</t>
        </r>
      </text>
    </comment>
    <comment ref="J8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#Input("炼化公司生产月报1_去年同期_本月_气体分馏装置丙烯收率_延炼",":key{{dw}}")</t>
        </r>
      </text>
    </comment>
    <comment ref="K8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#Input("炼化公司生产月报1_去年同期_本年_气体分馏装置丙烯收率_延炼",":key{{dw}}")</t>
        </r>
      </text>
    </comment>
    <comment ref="D84" authorId="0">
      <text>
        <r>
          <rPr>
            <sz val="9"/>
            <color indexed="81"/>
            <rFont val="宋体"/>
            <family val="2"/>
          </rPr>
          <t>#Input("炼化公司_MTBE装置MTBE收率_月计划_延炼",":key{{dw}}")</t>
        </r>
      </text>
    </comment>
    <comment ref="G84" authorId="0">
      <text>
        <r>
          <rPr>
            <sz val="9"/>
            <color indexed="81"/>
            <rFont val="宋体"/>
            <family val="2"/>
          </rPr>
          <t xml:space="preserve">#Input("炼化公司生产月报1_装置收率_MTBE装置MTBE收率_年计划_延炼",":key{{dw}}")
</t>
        </r>
      </text>
    </comment>
    <comment ref="J8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#Input("炼化公司生产月报1_去年同期_本月_MTBE装置MTBE收率_延炼",":key{{dw}}")</t>
        </r>
      </text>
    </comment>
    <comment ref="K8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#Input("炼化公司生产月报1_去年同期_本年_MTBE装置MTBE收率_延炼",":key{{dw}}")</t>
        </r>
      </text>
    </comment>
    <comment ref="D85" authorId="0">
      <text>
        <r>
          <rPr>
            <sz val="9"/>
            <color indexed="81"/>
            <rFont val="宋体"/>
            <family val="2"/>
          </rPr>
          <t>#Input("炼化公司_醋酸仲丁酯收率_月计划_延炼",":key{{dw}}")</t>
        </r>
      </text>
    </comment>
    <comment ref="G85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#Input("炼化公司生产月报1_装置收率_醋酸仲丁酯收率_年计划_延炼",":key{{dw}}")
</t>
        </r>
      </text>
    </comment>
    <comment ref="J8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#Input("炼化公司生产月报1_去年同期_本月_醋酸仲丁酯收率_延炼",":key{{dw}}")</t>
        </r>
      </text>
    </comment>
    <comment ref="K8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#Input("炼化公司生产月报1_去年同期_本年_醋酸仲丁酯收率_延炼",":key{{dw}}")</t>
        </r>
      </text>
    </comment>
    <comment ref="D86" authorId="0">
      <text>
        <r>
          <rPr>
            <sz val="9"/>
            <color indexed="81"/>
            <rFont val="宋体"/>
            <family val="2"/>
          </rPr>
          <t>#Input("炼化公司_聚丙烯装置收率_月计划_延炼",":key{{dw}}")</t>
        </r>
      </text>
    </comment>
    <comment ref="G86" authorId="0">
      <text>
        <r>
          <rPr>
            <sz val="9"/>
            <color indexed="81"/>
            <rFont val="宋体"/>
            <family val="2"/>
          </rPr>
          <t xml:space="preserve">#Input("炼化公司生产月报1_装置收率_聚丙烯装置收率_年计划_延炼",":key{{dw}}")
</t>
        </r>
      </text>
    </comment>
    <comment ref="J8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#Input("炼化公司生产月报1_去年同期_本月_聚丙烯装置收率_延炼",":key{{dw}}")</t>
        </r>
      </text>
    </comment>
    <comment ref="K8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#Input("炼化公司生产月报1_去年同期_本年_聚丙烯装置收率_延炼",":key{{dw}}")</t>
        </r>
      </text>
    </comment>
    <comment ref="D87" authorId="0">
      <text>
        <r>
          <rPr>
            <sz val="9"/>
            <color indexed="81"/>
            <rFont val="宋体"/>
            <family val="2"/>
          </rPr>
          <t>#Input("炼化公司_汽油加氢精制总收率_月计划_延炼",":key{{dw}}")</t>
        </r>
      </text>
    </comment>
    <comment ref="G87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#Input("炼化公司生产月报1_装置收率_汽油加氢精制总收率_年计划_延炼",":key{{dw}}")
</t>
        </r>
      </text>
    </comment>
    <comment ref="J8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#Input("炼化公司生产月报1_去年同期_本月_汽油加氢精制总收率_延炼",":key{{dw}}")</t>
        </r>
      </text>
    </comment>
    <comment ref="K8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#Input("炼化公司生产月报1_去年同期_本年_汽油加氢精制总收率_延炼",":key{{dw}}")</t>
        </r>
      </text>
    </comment>
    <comment ref="D88" authorId="0">
      <text>
        <r>
          <rPr>
            <sz val="9"/>
            <color indexed="81"/>
            <rFont val="宋体"/>
            <family val="2"/>
          </rPr>
          <t>#Input("炼化公司_柴油加氢精制总收率_月计划_延炼",":key{{dw}}")</t>
        </r>
      </text>
    </comment>
    <comment ref="G88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#Input("炼化公司生产月报1_装置收率_柴油加氢精制总收率_年计划_延炼",":key{{dw}}")
</t>
        </r>
      </text>
    </comment>
    <comment ref="J8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#Input("炼化公司生产月报1_去年同期_本月_柴油加氢精制总收率_延炼",":key{{dw}}")</t>
        </r>
      </text>
    </comment>
    <comment ref="K8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#Input("炼化公司生产月报1_去年同期_本年_柴油加氢精制总收率_延炼",":key{{dw}}")</t>
        </r>
      </text>
    </comment>
    <comment ref="D89" authorId="0">
      <text>
        <r>
          <rPr>
            <sz val="9"/>
            <color indexed="81"/>
            <rFont val="宋体"/>
            <family val="2"/>
          </rPr>
          <t>#Input("炼化公司_苯乙烯收率_月计划_延炼",":key{{dw}}")</t>
        </r>
      </text>
    </comment>
    <comment ref="G89" authorId="0">
      <text>
        <r>
          <rPr>
            <sz val="9"/>
            <color indexed="81"/>
            <rFont val="宋体"/>
            <family val="2"/>
          </rPr>
          <t xml:space="preserve">#Input("炼化公司生产月报1_装置收率_苯乙烯收率_年计划_延炼",":key{{dw}}")
</t>
        </r>
      </text>
    </comment>
    <comment ref="J8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#Input("炼化公司生产月报1_去年同期_本月_苯乙烯收率_延炼",":key{{dw}}")</t>
        </r>
      </text>
    </comment>
    <comment ref="K8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#Input("炼化公司生产月报1_去年同期_本年_苯乙烯收率_延炼",":key{{dw}}")</t>
        </r>
      </text>
    </comment>
    <comment ref="C90" authorId="0">
      <text>
        <r>
          <rPr>
            <sz val="9"/>
            <color indexed="81"/>
            <rFont val="宋体"/>
            <family val="2"/>
          </rPr>
          <t>#Input("炼化公司生产月报1_延炼_备注_延炼",":key{{dw}}")</t>
        </r>
      </text>
    </comment>
    <comment ref="C94" authorId="0">
      <text>
        <r>
          <rPr>
            <sz val="9"/>
            <color indexed="81"/>
            <rFont val="宋体"/>
            <family val="2"/>
          </rPr>
          <t>#Input("炼化公司生产月报1_炼化公司_主管领导延炼_延炼",":key{{dw}}")</t>
        </r>
      </text>
    </comment>
    <comment ref="F94" authorId="0">
      <text>
        <r>
          <rPr>
            <sz val="9"/>
            <color indexed="81"/>
            <rFont val="宋体"/>
            <family val="2"/>
          </rPr>
          <t>#Input("炼化公司生产月报1_部门负责人延炼_延炼",":key{{dw}}")</t>
        </r>
      </text>
    </comment>
    <comment ref="H94" authorId="0">
      <text>
        <r>
          <rPr>
            <sz val="9"/>
            <color indexed="81"/>
            <rFont val="宋体"/>
            <family val="2"/>
          </rPr>
          <t xml:space="preserve">#Input("炼化公司生产月报1_审核人延炼_延炼",":key{{dw}}")
</t>
        </r>
      </text>
    </comment>
    <comment ref="K94" authorId="0">
      <text>
        <r>
          <rPr>
            <sz val="9"/>
            <color indexed="81"/>
            <rFont val="宋体"/>
            <family val="2"/>
          </rPr>
          <t xml:space="preserve">#Input("炼化公司生产月报1_编制延炼_延炼",":key{{dw}}")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71" authorId="0">
      <text>
        <r>
          <rPr>
            <sz val="9"/>
            <color indexed="81"/>
            <rFont val="Arial"/>
            <family val="2"/>
          </rPr>
          <t xml:space="preserve">子项剔除掉油煤公司的石脑油、柴油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sz val="9"/>
            <color indexed="81"/>
            <rFont val="宋体"/>
            <family val="2"/>
          </rPr>
          <t>#Input("炼化公司_原料油（气）加工量_月计划_永炼",":key{{dw}}")</t>
        </r>
      </text>
    </comment>
    <comment ref="G6" authorId="0">
      <text>
        <r>
          <rPr>
            <sz val="9"/>
            <color indexed="81"/>
            <rFont val="宋体"/>
            <family val="2"/>
          </rPr>
          <t>#Input("炼化公司_原料油（气）加工量_年计划_永炼",":key{{dw}}")</t>
        </r>
      </text>
    </comment>
    <comment ref="J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#Input("炼化公司生产月报1_去年同期_本月_1、原料油（气）加工量_永炼",":key{{dw}}")</t>
        </r>
      </text>
    </comment>
    <comment ref="K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#Input("炼化公司生产月报1_去年同期_本年_1、原料油（气）加工量_永炼",":key{{dw}}")</t>
        </r>
      </text>
    </comment>
    <comment ref="D7" authorId="0">
      <text>
        <r>
          <rPr>
            <sz val="9"/>
            <color indexed="81"/>
            <rFont val="宋体"/>
            <family val="2"/>
          </rPr>
          <t>#Input("炼化公司_原油_月计划_永炼",":key{{dw}}")</t>
        </r>
      </text>
    </comment>
    <comment ref="G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#Input("炼化公司生产月报1_装置加工量_原油_年计划_永炼",":key{{dw}}")
</t>
        </r>
      </text>
    </comment>
    <comment ref="J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#Input("炼化公司生产月报1_去年同期_本月_其中：原油_永炼",":key{{dw}}")</t>
        </r>
      </text>
    </comment>
    <comment ref="K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#Input("炼化公司生产月报1_去年同期_本年_其中：原油_永炼",":key{{dw}}")</t>
        </r>
      </text>
    </comment>
    <comment ref="D8" authorId="0">
      <text>
        <r>
          <rPr>
            <sz val="9"/>
            <color indexed="81"/>
            <rFont val="宋体"/>
            <family val="2"/>
          </rPr>
          <t>#Input("炼化公司_甲醇_月计划_永炼",":key{{dw}}")</t>
        </r>
      </text>
    </comment>
    <comment ref="G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#Input("炼化公司生产月报1_装置加工量_甲醇_年计划_永炼",":key{{dw}}")
</t>
        </r>
      </text>
    </comment>
    <comment ref="J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#Input("炼化公司生产月报1_去年同期_本月_甲醇_永炼",":key{{dw}}")</t>
        </r>
      </text>
    </comment>
    <comment ref="K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#Input("炼化公司生产月报1_去年同期_本年_甲醇_永炼",":key{{dw}}")</t>
        </r>
      </text>
    </comment>
    <comment ref="D9" authorId="0">
      <text>
        <r>
          <rPr>
            <sz val="9"/>
            <color indexed="81"/>
            <rFont val="宋体"/>
            <family val="2"/>
          </rPr>
          <t>#Input("炼化公司_MTBE_月计划_永炼",":key{{dw}}")</t>
        </r>
      </text>
    </comment>
    <comment ref="G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#Input("炼化公司生产月报1_装置加工量_MTBE_年计划_永炼",":key{{dw}}")
</t>
        </r>
      </text>
    </comment>
    <comment ref="J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#Input("炼化公司生产月报1_去年同期_本月_MTBE_永炼",":key{{dw}}")</t>
        </r>
      </text>
    </comment>
    <comment ref="K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#Input("炼化公司生产月报1_去年同期_本年_MTBE_永炼",":key{{dw}}")</t>
        </r>
      </text>
    </comment>
    <comment ref="D10" authorId="0">
      <text>
        <r>
          <rPr>
            <sz val="9"/>
            <color indexed="81"/>
            <rFont val="宋体"/>
            <family val="2"/>
          </rPr>
          <t>#Input("炼化公司_1#渣油_月计划_永炼",":key{{dw}}")</t>
        </r>
      </text>
    </comment>
    <comment ref="G10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#Input("炼化公司生产月报1_装置加工量_1#渣油_年计划_永炼",":key{{dw}}")
</t>
        </r>
      </text>
    </comment>
    <comment ref="J1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#Input("炼化公司生产月报1_去年同期_本月_1#渣油_永炼",":key{{dw}}")</t>
        </r>
      </text>
    </comment>
    <comment ref="K1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#Input("炼化公司生产月报1_去年同期_本年_1#渣油_永炼",":key{{dw}}")</t>
        </r>
      </text>
    </comment>
    <comment ref="D11" authorId="0">
      <text>
        <r>
          <rPr>
            <sz val="9"/>
            <color indexed="81"/>
            <rFont val="宋体"/>
            <family val="2"/>
          </rPr>
          <t>#Input("炼化公司_裂解石脑油_月计划_永炼",":key{{dw}}")</t>
        </r>
      </text>
    </comment>
    <comment ref="G11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#Input("炼化公司生产月报1_装置加工量_裂解石脑油_年计划_永炼",":key{{dw}}")
</t>
        </r>
      </text>
    </comment>
    <comment ref="J1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#Input("炼化公司生产月报1_去年同期_本月_裂解石脑油_永炼",":key{{dw}}")</t>
        </r>
      </text>
    </comment>
    <comment ref="K1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#Input("炼化公司生产月报1_去年同期_本年_裂解石脑油_永炼",":key{{dw}}")</t>
        </r>
      </text>
    </comment>
    <comment ref="D12" authorId="0">
      <text>
        <r>
          <rPr>
            <sz val="9"/>
            <color indexed="81"/>
            <rFont val="宋体"/>
            <family val="2"/>
          </rPr>
          <t>#Input("炼化公司_上古液化气_月计划_永炼",":key{{dw}}")</t>
        </r>
      </text>
    </comment>
    <comment ref="G12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#Input("炼化公司生产月报1_装置加工量_上古液化气_年计划_永炼",":key{{dw}}")
</t>
        </r>
      </text>
    </comment>
    <comment ref="J1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#Input("炼化公司生产月报1_去年同期_本月_上古液化气_永炼",":key{{dw}}")</t>
        </r>
      </text>
    </comment>
    <comment ref="K1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#Input("炼化公司生产月报1_去年同期_本年_上古液化气_永炼",":key{{dw}}")</t>
        </r>
      </text>
    </comment>
    <comment ref="D13" authorId="0">
      <text>
        <r>
          <rPr>
            <sz val="9"/>
            <color indexed="81"/>
            <rFont val="宋体"/>
            <family val="2"/>
          </rPr>
          <t>#Input("炼化公司_醋酸_月计划_永炼",":key{{dw}}")</t>
        </r>
      </text>
    </comment>
    <comment ref="G13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#Input("炼化公司生产月报1_装置加工量_醋酸_年计划_永炼",":key{{dw}}")
</t>
        </r>
      </text>
    </comment>
    <comment ref="J1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#Input("炼化公司生产月报1_去年同期_本月_醋酸_永炼",":key{{dw}}")</t>
        </r>
      </text>
    </comment>
    <comment ref="K1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#Input("炼化公司生产月报1_去年同期_本年_醋酸_永炼",":key{{dw}}")</t>
        </r>
      </text>
    </comment>
    <comment ref="D14" authorId="0">
      <text>
        <r>
          <rPr>
            <sz val="9"/>
            <color indexed="81"/>
            <rFont val="宋体"/>
            <family val="2"/>
          </rPr>
          <t>#Input("炼化公司_异辛烷组分_月计划_永炼",":key{{dw}}")</t>
        </r>
      </text>
    </comment>
    <comment ref="G14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#Input("炼化公司生产月报1_装置加工量_异辛烷组分_年计划_永炼",":key{{dw}}")
</t>
        </r>
      </text>
    </comment>
    <comment ref="J1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#Input("炼化公司生产月报1_去年同期_本月_异辛烷组分_永炼",":key{{dw}}")</t>
        </r>
      </text>
    </comment>
    <comment ref="K1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#Input("炼化公司生产月报1_去年同期_本年_异辛烷组分_永炼",":key{{dw}}")</t>
        </r>
      </text>
    </comment>
    <comment ref="D15" authorId="0">
      <text>
        <r>
          <rPr>
            <sz val="9"/>
            <color indexed="81"/>
            <rFont val="宋体"/>
            <family val="2"/>
          </rPr>
          <t>#Input("炼化公司_异丁烷_月计划_永炼",":key{{dw}}")</t>
        </r>
      </text>
    </comment>
    <comment ref="G15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#Input("炼化公司生产月报1_装置加工量_异丁烷_年计划_永炼",":key{{dw}}")
</t>
        </r>
      </text>
    </comment>
    <comment ref="J1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#Input("炼化公司生产月报1_去年同期_本月_异丁烷_永炼",":key{{dw}}")</t>
        </r>
      </text>
    </comment>
    <comment ref="K1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#Input("炼化公司生产月报1_去年同期_本年_异丁烷_永炼",":key{{dw}}")</t>
        </r>
      </text>
    </comment>
    <comment ref="D16" authorId="0">
      <text>
        <r>
          <rPr>
            <sz val="9"/>
            <color indexed="81"/>
            <rFont val="宋体"/>
            <family val="2"/>
          </rPr>
          <t>#Input("炼化公司_常压装置加工量_月计划_永炼",":key{{dw}}")</t>
        </r>
      </text>
    </comment>
    <comment ref="G16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#Input("炼化公司生产月报1_装置加工量_常压加工量_年计划_永炼",":key{{dw}}")
</t>
        </r>
      </text>
    </comment>
    <comment ref="J1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#Input("炼化公司生产月报1_去年同期_本月_常压装置加工量_永炼",":key{{dw}}")</t>
        </r>
      </text>
    </comment>
    <comment ref="K1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#Input("炼化公司生产月报1_去年同期_本年_常压装置加工量_永炼",":key{{dw}}")</t>
        </r>
      </text>
    </comment>
    <comment ref="D17" authorId="0">
      <text>
        <r>
          <rPr>
            <sz val="9"/>
            <color indexed="81"/>
            <rFont val="宋体"/>
            <family val="2"/>
          </rPr>
          <t>#Input("炼化公司_常压_原油加工量_月计划_永炼",":key{{dw}}")</t>
        </r>
      </text>
    </comment>
    <comment ref="G1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#Input("炼化公司生产月报1_装置加工量_原油加工量_年计划_永炼",":key{{dw}}")
</t>
        </r>
      </text>
    </comment>
    <comment ref="J1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#Input("炼化公司生产月报1_去年同期_本月_原油加工量_永炼",":key{{dw}}")</t>
        </r>
      </text>
    </comment>
    <comment ref="K1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#Input("炼化公司生产月报1_去年同期_本年_原油加工量_永炼",":key{{dw}}")</t>
        </r>
      </text>
    </comment>
    <comment ref="M17" authorId="0">
      <text>
        <r>
          <rPr>
            <b/>
            <sz val="9"/>
            <color indexed="81"/>
            <rFont val="宋体"/>
            <family val="2"/>
          </rPr>
          <t>#Input("炼化公司生产月报1_装置加工量_原油加工量_永炼_月完成",":key{{dw}}",":read")</t>
        </r>
      </text>
    </comment>
    <comment ref="N17" authorId="0">
      <text>
        <r>
          <rPr>
            <b/>
            <sz val="9"/>
            <color indexed="81"/>
            <rFont val="宋体"/>
            <family val="2"/>
          </rPr>
          <t>#Input("炼化公司生产月报1_装置加工量_原油加工量_永炼_年完成",":key{{dw}}",":read")</t>
        </r>
      </text>
    </comment>
    <comment ref="D18" authorId="0">
      <text>
        <r>
          <rPr>
            <sz val="9"/>
            <color indexed="81"/>
            <rFont val="宋体"/>
            <family val="2"/>
          </rPr>
          <t>#Input("炼化公司_常压_进口原油加工量_月计划_永炼",":key{{dw}}")</t>
        </r>
      </text>
    </comment>
    <comment ref="E18" authorId="0">
      <text>
        <r>
          <rPr>
            <sz val="9"/>
            <color indexed="81"/>
            <rFont val="宋体"/>
            <family val="2"/>
          </rPr>
          <t xml:space="preserve">#SQL("LH_PRD_LAST1_MON","VALUE",":where{NAME=炼化公司生产月报1_装置加工量_进口原油加工量_月完成_永炼}")	</t>
        </r>
      </text>
    </comment>
    <comment ref="G1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#Input("炼化公司生产月报1_装置加工量_进口原油加工量_年计划_永炼",":key{{dw}}")
</t>
        </r>
      </text>
    </comment>
    <comment ref="H18" authorId="0">
      <text>
        <r>
          <rPr>
            <sz val="9"/>
            <color indexed="81"/>
            <rFont val="宋体"/>
            <family val="2"/>
          </rPr>
          <t xml:space="preserve">#SQL("LH_PRD_LAST1_YEAR","VALUE",":where{NAME=炼化公司生产月报1_装置加工量_进口原油加工量_年完成_永炼}")	</t>
        </r>
      </text>
    </comment>
    <comment ref="J1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#Input("炼化公司生产月报1_去年同期_本月_进口原油加工量_永炼",":key{{dw}}")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#Input("炼化公司生产月报1_去年同期_本年_进口原油加工量_永炼",":key{{dw}}")</t>
        </r>
      </text>
    </comment>
    <comment ref="D19" authorId="0">
      <text>
        <r>
          <rPr>
            <sz val="9"/>
            <color indexed="81"/>
            <rFont val="宋体"/>
            <family val="2"/>
          </rPr>
          <t>#Input("炼化公司_催化装置加工量_月计划_永炼",":key{{dw}}")</t>
        </r>
      </text>
    </comment>
    <comment ref="G1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#Input("炼化公司生产月报1_装置加工量_催化装置加工量_年计划_永炼",":key{{dw}}")
</t>
        </r>
      </text>
    </comment>
    <comment ref="J1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#Input("炼化公司生产月报1_去年同期_本月_催化装置加工量_永炼",":key{{dw}}")</t>
        </r>
      </text>
    </comment>
    <comment ref="K1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#Input("炼化公司生产月报1_去年同期_本年_催化装置加工量_永炼",":key{{dw}}")</t>
        </r>
      </text>
    </comment>
    <comment ref="D20" authorId="0">
      <text>
        <r>
          <rPr>
            <sz val="9"/>
            <color indexed="81"/>
            <rFont val="宋体"/>
            <family val="2"/>
          </rPr>
          <t>#Input("炼化公司_催化_1#渣油_月计划_永炼",":key{{dw}}")</t>
        </r>
      </text>
    </comment>
    <comment ref="G20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#Input("炼化公司生产月报1_装置加工量_1#渣油加工量_年计划_永炼",":key{{dw}}")
</t>
        </r>
      </text>
    </comment>
    <comment ref="J2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#Input("炼化公司生产月报1_去年同期_本月_1#渣油加工量_永炼",":key{{dw}}")</t>
        </r>
      </text>
    </comment>
    <comment ref="K2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#Input("炼化公司生产月报1_去年同期_本年_1#渣油加工量_永炼",":key{{dw}}")</t>
        </r>
      </text>
    </comment>
    <comment ref="M20" authorId="0">
      <text>
        <r>
          <rPr>
            <b/>
            <sz val="9"/>
            <color indexed="81"/>
            <rFont val="宋体"/>
            <family val="2"/>
          </rPr>
          <t>#Input("炼化公司生产月报1_装置加工量_1#渣油加工量_永炼_月完成",":key{{dw}}",":read")</t>
        </r>
      </text>
    </comment>
    <comment ref="N20" authorId="0">
      <text>
        <r>
          <rPr>
            <b/>
            <sz val="9"/>
            <color indexed="81"/>
            <rFont val="宋体"/>
            <family val="2"/>
          </rPr>
          <t>#Input("炼化公司生产月报1_装置加工量_1#渣油加工量_永炼_年完成",":key{{dw}}",":read")</t>
        </r>
      </text>
    </comment>
    <comment ref="D21" authorId="0">
      <text>
        <r>
          <rPr>
            <sz val="9"/>
            <color indexed="81"/>
            <rFont val="宋体"/>
            <family val="2"/>
          </rPr>
          <t>#Input("炼化公司_重整装置处理量_月计划_永炼",":key{{dw}}")</t>
        </r>
      </text>
    </comment>
    <comment ref="G21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#Input("炼化公司生产月报1_装置加工量_重整装置处理量_年计划_永炼",":key{{dw}}")
</t>
        </r>
      </text>
    </comment>
    <comment ref="J2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#Input("炼化公司生产月报1_去年同期_本月_重整装置处理量_永炼",":key{{dw}}")</t>
        </r>
      </text>
    </comment>
    <comment ref="K2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#Input("炼化公司生产月报1_去年同期_本年_重整装置处理量_永炼",":key{{dw}}")</t>
        </r>
      </text>
    </comment>
    <comment ref="D22" authorId="0">
      <text>
        <r>
          <rPr>
            <sz val="9"/>
            <color indexed="81"/>
            <rFont val="宋体"/>
            <family val="2"/>
          </rPr>
          <t>#Input("炼化公司_DCC石脑油加氢处理量_月计划_永炼",":key{{dw}}")</t>
        </r>
      </text>
    </comment>
    <comment ref="G22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#Input("炼化公司生产月报1_装置加工量_DCC石脑油加氢处理量_年计划_永炼",":key{{dw}}")
</t>
        </r>
      </text>
    </comment>
    <comment ref="J2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#Input("炼化公司生产月报1_去年同期_本月_DCC石脑油加氢处理量_永炼",":key{{dw}}")</t>
        </r>
      </text>
    </comment>
    <comment ref="K2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#Input("炼化公司生产月报1_去年同期_本年_DCC石脑油加氢处理量_永炼",":key{{dw}}")</t>
        </r>
      </text>
    </comment>
    <comment ref="D23" authorId="0">
      <text>
        <r>
          <rPr>
            <sz val="9"/>
            <color indexed="81"/>
            <rFont val="宋体"/>
            <family val="2"/>
          </rPr>
          <t>#Input("炼化公司_DCC裂解轻油精制处理量_月计划_永炼",":key{{dw}}")</t>
        </r>
      </text>
    </comment>
    <comment ref="G23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#Input("炼化公司生产月报1_装置加工量_DCC裂解轻油加氢处理量_年计划_永炼",":key{{dw}}")
</t>
        </r>
      </text>
    </comment>
    <comment ref="J2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#Input("炼化公司生产月报1_去年同期_本月_DCC裂解轻油加氢处理量_永炼",":key{{dw}}")</t>
        </r>
      </text>
    </comment>
    <comment ref="K2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#Input("炼化公司生产月报1_去年同期_本年_DCC裂解轻油加氢处理量_永炼",":key{{dw}}")</t>
        </r>
      </text>
    </comment>
    <comment ref="D24" authorId="0">
      <text>
        <r>
          <rPr>
            <sz val="9"/>
            <color indexed="81"/>
            <rFont val="宋体"/>
            <family val="2"/>
          </rPr>
          <t>#Input("炼化公司_汽油加氢精制处理量_月计划_永炼",":key{{dw}}")</t>
        </r>
      </text>
    </comment>
    <comment ref="G24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#Input("炼化公司生产月报1_装置加工量_汽油加氢处理量_年计划_永炼",":key{{dw}}")
</t>
        </r>
      </text>
    </comment>
    <comment ref="J2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#Input("炼化公司生产月报1_去年同期_本月_汽油加氢精制处理量_永炼",":key{{dw}}")</t>
        </r>
      </text>
    </comment>
    <comment ref="K2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#Input("炼化公司生产月报1_去年同期_本年_汽油加氢精制处理量_永炼",":key{{dw}}")</t>
        </r>
      </text>
    </comment>
    <comment ref="D25" authorId="0">
      <text>
        <r>
          <rPr>
            <sz val="9"/>
            <color indexed="81"/>
            <rFont val="宋体"/>
            <family val="2"/>
          </rPr>
          <t>#Input("炼化公司_柴油加氢精制处理量_月计划_永炼",":key{{dw}}")</t>
        </r>
      </text>
    </comment>
    <comment ref="G25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#Input("炼化公司生产月报1_装置加工量_柴油加氢处理量_年计划_永炼",":key{{dw}}")
</t>
        </r>
      </text>
    </comment>
    <comment ref="J2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#Input("炼化公司生产月报1_去年同期_本月_柴油加氢精制处理量_永炼",":key{{dw}}")</t>
        </r>
      </text>
    </comment>
    <comment ref="K2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#Input("炼化公司生产月报1_去年同期_本年_柴油加氢精制处理量_永炼",":key{{dw}}")</t>
        </r>
      </text>
    </comment>
    <comment ref="D26" authorId="0">
      <text>
        <r>
          <rPr>
            <sz val="9"/>
            <color indexed="81"/>
            <rFont val="宋体"/>
            <family val="2"/>
          </rPr>
          <t>#Input("炼化公司_气分装置加工量_月计划_永炼",":key{{dw}}")</t>
        </r>
      </text>
    </comment>
    <comment ref="G26" authorId="0">
      <text>
        <r>
          <rPr>
            <sz val="9"/>
            <color indexed="81"/>
            <rFont val="宋体"/>
            <family val="2"/>
          </rPr>
          <t>#Input("炼化公司生产月报1_装置加工量_气分装置加工量_年计划_永炼",":key{{dw}}")</t>
        </r>
      </text>
    </comment>
    <comment ref="J2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#Input("炼化公司生产月报1_去年同期_本月_气分装置加工量_永炼",":key{{dw}}")</t>
        </r>
      </text>
    </comment>
    <comment ref="K2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#Input("炼化公司生产月报1_去年同期_本年_气分装置加工量_永炼",":key{{dw}}")</t>
        </r>
      </text>
    </comment>
    <comment ref="D27" authorId="0">
      <text>
        <r>
          <rPr>
            <sz val="9"/>
            <color indexed="81"/>
            <rFont val="宋体"/>
            <family val="2"/>
          </rPr>
          <t>#Input("炼化公司_航煤装置处理量_月计划_永炼",":key{{dw}}")</t>
        </r>
      </text>
    </comment>
    <comment ref="G2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#Input("炼化公司生产月报1_装置加工量_航煤装置处理量_年计划_永炼",":key{{dw}}")
</t>
        </r>
      </text>
    </comment>
    <comment ref="J2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#Input("炼化公司生产月报1_去年同期_本月_航煤装置处理量_永炼",":key{{dw}}")</t>
        </r>
      </text>
    </comment>
    <comment ref="K2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#Input("炼化公司生产月报1_去年同期_本年_航煤装置处理量_永炼",":key{{dw}}")</t>
        </r>
      </text>
    </comment>
    <comment ref="D28" authorId="0">
      <text>
        <r>
          <rPr>
            <sz val="9"/>
            <color indexed="81"/>
            <rFont val="宋体"/>
            <family val="2"/>
          </rPr>
          <t>#Input("炼化公司_烷基化装置处理量_月计划_永炼",":key{{dw}}")</t>
        </r>
      </text>
    </comment>
    <comment ref="G2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#Input("炼化公司生产月报1_装置加工量_烷基化装置处理量_年计划_永炼",":key{{dw}}")
</t>
        </r>
      </text>
    </comment>
    <comment ref="J2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#Input("炼化公司生产月报1_去年同期_本月_烷基化装置处理量_永炼",":key{{dw}}")</t>
        </r>
      </text>
    </comment>
    <comment ref="K2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#Input("炼化公司生产月报1_去年同期_本年_烷基化装置处理量_永炼",":key{{dw}}")</t>
        </r>
      </text>
    </comment>
    <comment ref="D29" authorId="0">
      <text>
        <r>
          <rPr>
            <sz val="9"/>
            <color indexed="81"/>
            <rFont val="宋体"/>
            <family val="2"/>
          </rPr>
          <t>#Input("炼化公司_混合脱氢装置处理量_月计划_永炼",":key{{dw}}")</t>
        </r>
      </text>
    </comment>
    <comment ref="G2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#Input("炼化公司生产月报1_装置加工量_混合脱氢处理量_年计划_永炼",":key{{dw}}")
</t>
        </r>
      </text>
    </comment>
    <comment ref="J2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#Input("炼化公司生产月报1_去年同期_本月_混合脱氢装置处理量_永炼",":key{{dw}}")</t>
        </r>
      </text>
    </comment>
    <comment ref="K2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#Input("炼化公司生产月报1_去年同期_本年_混合脱氢装置处理量_永炼",":key{{dw}}")</t>
        </r>
      </text>
    </comment>
    <comment ref="D31" authorId="0">
      <text>
        <r>
          <rPr>
            <sz val="9"/>
            <color indexed="81"/>
            <rFont val="宋体"/>
            <family val="2"/>
          </rPr>
          <t>#Input("炼化公司_汽油产量_月计划_永炼",":key{{dw}}")</t>
        </r>
      </text>
    </comment>
    <comment ref="G3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#Input("炼化公司生产月报1_油气产品产销量_汽油产量_年计划_永炼",":key{{dw}}")
</t>
        </r>
      </text>
    </comment>
    <comment ref="J3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#Input("炼化公司生产月报1_去年同期_本月_汽油产量_永炼",":key{{dw}}")</t>
        </r>
      </text>
    </comment>
    <comment ref="K3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#Input("炼化公司生产月报1_去年同期_本年_汽油产量_永炼",":key{{dw}}")</t>
        </r>
      </text>
    </comment>
    <comment ref="M31" authorId="0">
      <text>
        <r>
          <rPr>
            <b/>
            <sz val="9"/>
            <color indexed="81"/>
            <rFont val="宋体"/>
            <family val="2"/>
          </rPr>
          <t>#Input("炼化公司生产月报1_油气产品产销量_汽油产量_永炼_月完成",":key{{dw}}",":read")</t>
        </r>
      </text>
    </comment>
    <comment ref="N31" authorId="0">
      <text>
        <r>
          <rPr>
            <b/>
            <sz val="9"/>
            <color indexed="81"/>
            <rFont val="宋体"/>
            <family val="2"/>
          </rPr>
          <t>#Input("炼化公司生产月报1_油气产品产销量_汽油产量_永炼_年完成",":key{{dw}}",":read")</t>
        </r>
      </text>
    </comment>
    <comment ref="D32" authorId="0">
      <text>
        <r>
          <rPr>
            <sz val="9"/>
            <color indexed="81"/>
            <rFont val="宋体"/>
            <family val="2"/>
          </rPr>
          <t>#Input("炼化公司_92#_月计划_永炼",":key{{dw}}")</t>
        </r>
      </text>
    </comment>
    <comment ref="G32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#Input("炼化公司生产月报1_油气产品产销量_汽油产量_92#VI_年计划_永炼",":key{{dw}}")
</t>
        </r>
      </text>
    </comment>
    <comment ref="J3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#Input("炼化公司生产月报1_去年同期_本月_92#VI_永炼",":key{{dw}}")</t>
        </r>
      </text>
    </comment>
    <comment ref="K3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#Input("炼化公司生产月报1_去年同期_本年_92#VI_永炼",":key{{dw}}")</t>
        </r>
      </text>
    </comment>
    <comment ref="D33" authorId="0">
      <text>
        <r>
          <rPr>
            <sz val="9"/>
            <color indexed="81"/>
            <rFont val="宋体"/>
            <family val="2"/>
          </rPr>
          <t>#Input("炼化公司_95#_月计划_永炼",":key{{dw}}")</t>
        </r>
      </text>
    </comment>
    <comment ref="G33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#Input("炼化公司生产月报1_油气产品产销量_汽油产量_95#VI_年计划_永炼",":key{{dw}}")
</t>
        </r>
      </text>
    </comment>
    <comment ref="J3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#Input("炼化公司生产月报1_去年同期_本月_95#VI_永炼",":key{{dw}}")</t>
        </r>
      </text>
    </comment>
    <comment ref="K3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#Input("炼化公司生产月报1_去年同期_本年_95#VI_永炼",":key{{dw}}")</t>
        </r>
      </text>
    </comment>
    <comment ref="D34" authorId="0">
      <text>
        <r>
          <rPr>
            <sz val="9"/>
            <color indexed="81"/>
            <rFont val="宋体"/>
            <family val="2"/>
          </rPr>
          <t>#Input("炼化公司_98#_月计划_永炼",":key{{dw}}")</t>
        </r>
      </text>
    </comment>
    <comment ref="G34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#Input("炼化公司生产月报1_油气产品产销量_汽油产量_98#VI_年计划_永炼",":key{{dw}}")</t>
        </r>
      </text>
    </comment>
    <comment ref="J3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#Input("炼化公司生产月报1_去年同期_本月_98#Ⅵ_永炼",":key{{dw}}")</t>
        </r>
      </text>
    </comment>
    <comment ref="K3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#Input("炼化公司生产月报1_去年同期_本年_98#Ⅵ_永炼",":key{{dw}}")</t>
        </r>
      </text>
    </comment>
    <comment ref="D35" authorId="0">
      <text>
        <r>
          <rPr>
            <sz val="9"/>
            <color indexed="81"/>
            <rFont val="宋体"/>
            <family val="2"/>
          </rPr>
          <t>#Input("炼化公司_柴油产量_月计划_永炼",":key{{dw}}")</t>
        </r>
      </text>
    </comment>
    <comment ref="G35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#Input("炼化公司生产月报1_油气产品产销量_柴油产量_年计划_永炼",":key{{dw}}")</t>
        </r>
      </text>
    </comment>
    <comment ref="J3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#Input("炼化公司生产月报1_去年同期_本月_柴油产量_永炼",":key{{dw}}")</t>
        </r>
      </text>
    </comment>
    <comment ref="K3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#Input("炼化公司生产月报1_去年同期_本年_柴油产量_永炼",":key{{dw}}")</t>
        </r>
      </text>
    </comment>
    <comment ref="M35" authorId="0">
      <text>
        <r>
          <rPr>
            <b/>
            <sz val="9"/>
            <color indexed="81"/>
            <rFont val="宋体"/>
            <family val="2"/>
          </rPr>
          <t>#Input("炼化公司生产月报1_油气产品产销量_柴油产量_永炼_月完成",":key{{dw}}",":read")</t>
        </r>
      </text>
    </comment>
    <comment ref="N35" authorId="0">
      <text>
        <r>
          <rPr>
            <b/>
            <sz val="9"/>
            <color indexed="81"/>
            <rFont val="宋体"/>
            <family val="2"/>
          </rPr>
          <t>#Input("炼化公司生产月报1_油气产品产销量_柴油产量_永炼_年完成",":key{{dw}}",":read")</t>
        </r>
      </text>
    </comment>
    <comment ref="D36" authorId="0">
      <text>
        <r>
          <rPr>
            <sz val="9"/>
            <color indexed="81"/>
            <rFont val="宋体"/>
            <family val="2"/>
          </rPr>
          <t>#Input("炼化公司_军用柴油量_月计划_永炼",":key{{dw}}")</t>
        </r>
      </text>
    </comment>
    <comment ref="G36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#Input("炼化公司生产月报1_油气产品产销量_柴油产量_军用柴油_年计划_永炼",":key{{dw}}")</t>
        </r>
      </text>
    </comment>
    <comment ref="J3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#Input("炼化公司生产月报1_去年同期_本月_军用柴油_永炼",":key{{dw}}")</t>
        </r>
      </text>
    </comment>
    <comment ref="K3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#Input("炼化公司生产月报1_去年同期_本年_军用柴油_永炼",":key{{dw}}")</t>
        </r>
      </text>
    </comment>
    <comment ref="D37" authorId="0">
      <text>
        <r>
          <rPr>
            <sz val="9"/>
            <color indexed="81"/>
            <rFont val="宋体"/>
            <family val="2"/>
          </rPr>
          <t>#Input("炼化公司_0#_月计划_永炼",":key{{dw}}")</t>
        </r>
      </text>
    </comment>
    <comment ref="G37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#Input("炼化公司生产月报1_油气产品产销量_柴油产量_0#VI_年计划_永炼",":key{{dw}}")</t>
        </r>
      </text>
    </comment>
    <comment ref="J3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#Input("炼化公司生产月报1_去年同期_本月_0#VI_永炼",":key{{dw}}")</t>
        </r>
      </text>
    </comment>
    <comment ref="K3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#Input("炼化公司生产月报1_去年同期_本年_0#VI_永炼",":key{{dw}}")</t>
        </r>
      </text>
    </comment>
    <comment ref="D38" authorId="0">
      <text>
        <r>
          <rPr>
            <sz val="9"/>
            <color indexed="81"/>
            <rFont val="宋体"/>
            <family val="2"/>
          </rPr>
          <t>#Input("炼化公司_-10#_月计划_永炼",":key{{dw}}")</t>
        </r>
      </text>
    </comment>
    <comment ref="G38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#Input("炼化公司生产月报1_油气产品产销量_柴油产量_10#VI_年计划_永炼",":key{{dw}}")</t>
        </r>
      </text>
    </comment>
    <comment ref="J3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#Input("炼化公司生产月报1_去年同期_本月_-10#VI_永炼",":key{{dw}}")</t>
        </r>
      </text>
    </comment>
    <comment ref="K3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#Input("炼化公司生产月报1_去年同期_本年_-10#VI_永炼",":key{{dw}}")</t>
        </r>
      </text>
    </comment>
    <comment ref="D39" authorId="0">
      <text>
        <r>
          <rPr>
            <sz val="9"/>
            <color indexed="81"/>
            <rFont val="宋体"/>
            <family val="2"/>
          </rPr>
          <t>#Input("炼化公司_-20#_月计划_永炼",":key{{dw}}")</t>
        </r>
      </text>
    </comment>
    <comment ref="G39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#Input("炼化公司生产月报1_油气产品产销量_柴油产量_20#VI_年计划_永炼",":key{{dw}}")</t>
        </r>
      </text>
    </comment>
    <comment ref="J3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#Input("炼化公司生产月报1_去年同期_本月_-20#VI_永炼",":key{{dw}}")</t>
        </r>
      </text>
    </comment>
    <comment ref="K3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#Input("炼化公司生产月报1_去年同期_本年_-20#VI_永炼",":key{{dw}}")</t>
        </r>
      </text>
    </comment>
    <comment ref="D40" authorId="0">
      <text>
        <r>
          <rPr>
            <sz val="9"/>
            <color indexed="81"/>
            <rFont val="宋体"/>
            <family val="2"/>
          </rPr>
          <t>#Input("炼化公司_-35#_月计划_永炼",":key{{dw}}")</t>
        </r>
      </text>
    </comment>
    <comment ref="G4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#Input("炼化公司生产月报1_油气产品产销量_柴油产量_35#VI_年计划_永炼",":key{{dw}}")
</t>
        </r>
      </text>
    </comment>
    <comment ref="J4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#Input("炼化公司生产月报1_去年同期_本月_-35#VI_永炼",":key{{dw}}")</t>
        </r>
      </text>
    </comment>
    <comment ref="K4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#Input("炼化公司生产月报1_去年同期_本年_-35#VI_永炼",":key{{dw}}")</t>
        </r>
      </text>
    </comment>
    <comment ref="D41" authorId="0">
      <text>
        <r>
          <rPr>
            <sz val="9"/>
            <color indexed="81"/>
            <rFont val="宋体"/>
            <family val="2"/>
          </rPr>
          <t>#Input("炼化公司_3#喷气燃料销量_月计划_永炼",":key{{dw}}")</t>
        </r>
      </text>
    </comment>
    <comment ref="G4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#Input("炼化公司生产月报1_油气产品产销量_3#喷气燃料销量（航煤)_年计划_永炼",":key{{dw}}")
</t>
        </r>
      </text>
    </comment>
    <comment ref="J4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#Input("炼化公司生产月报1_去年同期_本月_3#喷气燃料销量（航煤）_永炼",":key{{dw}}")</t>
        </r>
      </text>
    </comment>
    <comment ref="K4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#Input("炼化公司生产月报1_去年同期_本年_3#喷气燃料销量（航煤）_永炼",":key{{dw}}")</t>
        </r>
      </text>
    </comment>
    <comment ref="D42" authorId="0">
      <text>
        <r>
          <rPr>
            <sz val="9"/>
            <color indexed="81"/>
            <rFont val="宋体"/>
            <family val="2"/>
          </rPr>
          <t>#Input("炼化公司_石脑油销售量_月计划_永炼",":key{{dw}}")</t>
        </r>
      </text>
    </comment>
    <comment ref="G42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#Input("炼化公司生产月报1_油气产品产销量_石脑油销售量_年计划_永炼",":key{{dw}}")</t>
        </r>
      </text>
    </comment>
    <comment ref="J4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#Input("炼化公司生产月报1_去年同期_本月_石脑油销售量_永炼",":key{{dw}}")</t>
        </r>
      </text>
    </comment>
    <comment ref="K4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#Input("炼化公司生产月报1_去年同期_本年_石脑油销售量_永炼",":key{{dw}}")</t>
        </r>
      </text>
    </comment>
    <comment ref="D43" authorId="0">
      <text>
        <r>
          <rPr>
            <sz val="9"/>
            <color indexed="81"/>
            <rFont val="宋体"/>
            <family val="2"/>
          </rPr>
          <t>#Input("炼化公司_石脑油Ⅰ_月计划_永炼",":key{{dw}}")</t>
        </r>
      </text>
    </comment>
    <comment ref="G43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#Input("炼化公司生产月报1_油气产品产销量_石脑油销售量_石脑油1_年计划_永炼",":key{{dw}}")
</t>
        </r>
      </text>
    </comment>
    <comment ref="J4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#Input("炼化公司生产月报1_去年同期_本月_石脑油Ⅰ_永炼",":key{{dw}}")</t>
        </r>
      </text>
    </comment>
    <comment ref="K4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#Input("炼化公司生产月报1_去年同期_本年_石脑油Ⅰ_永炼",":key{{dw}}")</t>
        </r>
      </text>
    </comment>
    <comment ref="D44" authorId="0">
      <text>
        <r>
          <rPr>
            <sz val="9"/>
            <color indexed="81"/>
            <rFont val="宋体"/>
            <family val="2"/>
          </rPr>
          <t>#Input("炼化公司_石脑油Ⅱ_月计划_永炼",":key{{dw}}")</t>
        </r>
      </text>
    </comment>
    <comment ref="G44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#Input("炼化公司生产月报1_油气产品产销量_石脑油销售量_石脑油2_年计划_永炼",":key{{dw}}")</t>
        </r>
      </text>
    </comment>
    <comment ref="J4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#Input("炼化公司生产月报1_去年同期_本月_石脑油Ⅱ_永炼",":key{{dw}}")</t>
        </r>
      </text>
    </comment>
    <comment ref="K4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#Input("炼化公司生产月报1_去年同期_本年_石脑油Ⅱ_永炼",":key{{dw}}")</t>
        </r>
      </text>
    </comment>
    <comment ref="D45" authorId="0">
      <text>
        <r>
          <rPr>
            <sz val="9"/>
            <color indexed="81"/>
            <rFont val="宋体"/>
            <family val="2"/>
          </rPr>
          <t>#Input("炼化公司_石脑油Ⅲ_月计划_永炼",":key{{dw}}")</t>
        </r>
      </text>
    </comment>
    <comment ref="G45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#Input("炼化公司生产月报1_油气产品产销量_石脑油销售量_石脑油3_年计划_永炼",":key{{dw}}")
</t>
        </r>
      </text>
    </comment>
    <comment ref="J4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#Input("炼化公司生产月报1_去年同期_本月_石脑油Ⅲ_永炼",":key{{dw}}")</t>
        </r>
      </text>
    </comment>
    <comment ref="K4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#Input("炼化公司生产月报1_去年同期_本年_石脑油Ⅲ_永炼",":key{{dw}}")</t>
        </r>
      </text>
    </comment>
    <comment ref="D46" authorId="0">
      <text>
        <r>
          <rPr>
            <sz val="9"/>
            <color indexed="81"/>
            <rFont val="宋体"/>
            <family val="2"/>
          </rPr>
          <t>#Input("炼化公司_液化气销量_月计划_永炼",":key{{dw}}")</t>
        </r>
      </text>
    </comment>
    <comment ref="G46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#Input("炼化公司生产月报1_油气产品产销量_液化气销量_年计划_永炼",":key{{dw}}")
</t>
        </r>
      </text>
    </comment>
    <comment ref="J4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#Input("炼化公司生产月报1_去年同期_本月_液化气销量_永炼",":key{{dw}}")</t>
        </r>
      </text>
    </comment>
    <comment ref="K4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#Input("炼化公司生产月报1_去年同期_本年_液化气销量_永炼",":key{{dw}}")</t>
        </r>
      </text>
    </comment>
    <comment ref="D47" authorId="0">
      <text>
        <r>
          <rPr>
            <sz val="9"/>
            <color indexed="81"/>
            <rFont val="宋体"/>
            <family val="2"/>
          </rPr>
          <t>#Input("炼化公司_催化液化气_月计划_永炼",":key{{dw}}")</t>
        </r>
      </text>
    </comment>
    <comment ref="G47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#Input("炼化公司生产月报1_油气产品产销量_液化气销量_催化液化气_年计划_永炼",":key{{dw}}")</t>
        </r>
      </text>
    </comment>
    <comment ref="J4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#Input("炼化公司生产月报1_去年同期_本月_催化液化气_永炼",":key{{dw}}")</t>
        </r>
      </text>
    </comment>
    <comment ref="K4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#Input("炼化公司生产月报1_去年同期_本年_催化液化气_永炼",":key{{dw}}")</t>
        </r>
      </text>
    </comment>
    <comment ref="D48" authorId="0">
      <text>
        <r>
          <rPr>
            <sz val="9"/>
            <color indexed="81"/>
            <rFont val="宋体"/>
            <family val="2"/>
          </rPr>
          <t>#Input("炼化公司_醚后碳四_月计划_永炼",":key{{dw}}")</t>
        </r>
      </text>
    </comment>
    <comment ref="G48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#Input("炼化公司生产月报1_油气产品产销量_液化气销量_醚后碳四_年计划_永炼",":key{{dw}}")
</t>
        </r>
      </text>
    </comment>
    <comment ref="J4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#Input("炼化公司生产月报1_去年同期_本月_醚后碳四_永炼",":key{{dw}}")</t>
        </r>
      </text>
    </comment>
    <comment ref="K4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#Input("炼化公司生产月报1_去年同期_本年_醚后碳四_永炼",":key{{dw}}")</t>
        </r>
      </text>
    </comment>
    <comment ref="D49" authorId="0">
      <text>
        <r>
          <rPr>
            <sz val="9"/>
            <color indexed="81"/>
            <rFont val="宋体"/>
            <family val="2"/>
          </rPr>
          <t>#Input("炼化公司_民用液化气_月计划_永炼",":key{{dw}}")</t>
        </r>
      </text>
    </comment>
    <comment ref="G49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#Input("炼化公司生产月报1_油气产品产销量_液化气销量_民用液化气_年计划_永炼",":key{{dw}}")
</t>
        </r>
      </text>
    </comment>
    <comment ref="J4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#Input("炼化公司生产月报1_去年同期_本月_民用液化气_永炼",":key{{dw}}")</t>
        </r>
      </text>
    </comment>
    <comment ref="K4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#Input("炼化公司生产月报1_去年同期_本年_民用液化气_永炼",":key{{dw}}")</t>
        </r>
      </text>
    </comment>
    <comment ref="D50" authorId="0">
      <text>
        <r>
          <rPr>
            <sz val="9"/>
            <color indexed="81"/>
            <rFont val="宋体"/>
            <family val="2"/>
          </rPr>
          <t>#Input("炼化公司_正丁烷_月计划_永炼",":key{{dw}}")</t>
        </r>
      </text>
    </comment>
    <comment ref="G5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#Input("炼化公司生产月报1_油气产品产销量_液化气销量_正丁烷_年计划_永炼",":key{{dw}}")
</t>
        </r>
      </text>
    </comment>
    <comment ref="J5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#Input("炼化公司生产月报1_去年同期_本月_正丁烷_永炼",":key{{dw}}")</t>
        </r>
      </text>
    </comment>
    <comment ref="K5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#Input("炼化公司生产月报1_去年同期_本年_正丁烷_永炼",":key{{dw}}")</t>
        </r>
      </text>
    </comment>
    <comment ref="D51" authorId="0">
      <text>
        <r>
          <rPr>
            <sz val="9"/>
            <color indexed="81"/>
            <rFont val="宋体"/>
            <family val="2"/>
          </rPr>
          <t>#Input("炼化公司_1#渣油销量_月计划_永炼",":key{{dw}}")</t>
        </r>
      </text>
    </comment>
    <comment ref="G5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#Input("炼化公司生产月报1_油气产品产销量_1#渣油销量_年计划_永炼",":key{{dw}}")
</t>
        </r>
      </text>
    </comment>
    <comment ref="J5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#Input("炼化公司生产月报1_去年同期_本月_1#渣油销量（供榆能化）_永炼",":key{{dw}}")</t>
        </r>
      </text>
    </comment>
    <comment ref="K5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#Input("炼化公司生产月报1_去年同期_本年_1#渣油销量（供榆能化）_永炼",":key{{dw}}")</t>
        </r>
      </text>
    </comment>
    <comment ref="D52" authorId="0">
      <text>
        <r>
          <rPr>
            <sz val="9"/>
            <color indexed="81"/>
            <rFont val="宋体"/>
            <family val="2"/>
          </rPr>
          <t>#Input("炼化公司_2#渣油销量_月计划_永炼",":key{{dw}}")</t>
        </r>
      </text>
    </comment>
    <comment ref="G52" authorId="0">
      <text>
        <r>
          <rPr>
            <sz val="9"/>
            <color indexed="81"/>
            <rFont val="宋体"/>
            <family val="2"/>
          </rPr>
          <t>#Input("炼化公司生产月报1_油气产品产销量_2#渣油销量_年计划_永炼",":key{{dw}}")</t>
        </r>
      </text>
    </comment>
    <comment ref="J5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#Input("炼化公司生产月报1_去年同期_本月_2#渣油销量_永炼",":key{{dw}}")</t>
        </r>
      </text>
    </comment>
    <comment ref="K5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#Input("炼化公司生产月报1_去年同期_本年_2#渣油销量_永炼",":key{{dw}}")</t>
        </r>
      </text>
    </comment>
    <comment ref="D53" authorId="0">
      <text>
        <r>
          <rPr>
            <sz val="9"/>
            <color indexed="81"/>
            <rFont val="宋体"/>
            <family val="2"/>
          </rPr>
          <t>#Input("炼化公司_聚丙烯产量_月计划_永炼",":key{{dw}}")</t>
        </r>
      </text>
    </comment>
    <comment ref="G53" authorId="0">
      <text>
        <r>
          <rPr>
            <sz val="9"/>
            <color indexed="81"/>
            <rFont val="宋体"/>
            <family val="2"/>
          </rPr>
          <t>#Input("炼化公司生产月报1_油气产品产销量_聚丙烯产量_年计划_永炼",":key{{dw}}")</t>
        </r>
      </text>
    </comment>
    <comment ref="J5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#Input("炼化公司生产月报1_去年同期_本月_聚丙烯产量_永炼",":key{{dw}}")</t>
        </r>
      </text>
    </comment>
    <comment ref="K5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#Input("炼化公司生产月报1_去年同期_本年_聚丙烯产量_永炼",":key{{dw}}")</t>
        </r>
      </text>
    </comment>
    <comment ref="D54" authorId="0">
      <text>
        <r>
          <rPr>
            <sz val="9"/>
            <color indexed="81"/>
            <rFont val="宋体"/>
            <family val="2"/>
          </rPr>
          <t>#Input("炼化公司_苯乙烯产量_月计划_永炼",":key{{dw}}")</t>
        </r>
      </text>
    </comment>
    <comment ref="G54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#Input("炼化公司生产月报1_油气产品产销量_苯乙烯产量_年计划_永炼",":key{{dw}}")
</t>
        </r>
      </text>
    </comment>
    <comment ref="J5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#Input("炼化公司生产月报1_去年同期_本月_苯乙烯产量_永炼",":key{{dw}}")</t>
        </r>
      </text>
    </comment>
    <comment ref="K5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#Input("炼化公司生产月报1_去年同期_本年_苯乙烯产量_永炼",":key{{dw}}")</t>
        </r>
      </text>
    </comment>
    <comment ref="D55" authorId="0">
      <text>
        <r>
          <rPr>
            <sz val="9"/>
            <color indexed="81"/>
            <rFont val="宋体"/>
            <family val="2"/>
          </rPr>
          <t>#Input("炼化公司_苯销量_月计划_永炼",":key{{dw}}")</t>
        </r>
      </text>
    </comment>
    <comment ref="G55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#Input("炼化公司生产月报1_油气产品产销量_苯销量_年计划_永炼",":key{{dw}}")
</t>
        </r>
      </text>
    </comment>
    <comment ref="J5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#Input("炼化公司生产月报1_去年同期_本月_苯销量_永炼",":key{{dw}}")</t>
        </r>
      </text>
    </comment>
    <comment ref="K5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#Input("炼化公司生产月报1_去年同期_本年_苯销量_永炼",":key{{dw}}")</t>
        </r>
      </text>
    </comment>
    <comment ref="D56" authorId="0">
      <text>
        <r>
          <rPr>
            <sz val="9"/>
            <color indexed="81"/>
            <rFont val="宋体"/>
            <family val="2"/>
          </rPr>
          <t>#Input("炼化公司_二甲苯销量_月计划_永炼",":key{{dw}}")</t>
        </r>
      </text>
    </comment>
    <comment ref="G56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#Input("炼化公司生产月报1_油气产品产销量_二甲苯销量_年计划_永炼",":key{{dw}}")
</t>
        </r>
      </text>
    </comment>
    <comment ref="J5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#Input("炼化公司生产月报1_去年同期_本月_二甲苯销量_永炼",":key{{dw}}")</t>
        </r>
      </text>
    </comment>
    <comment ref="K5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#Input("炼化公司生产月报1_去年同期_本年_二甲苯销量_永炼",":key{{dw}}")</t>
        </r>
      </text>
    </comment>
    <comment ref="D57" authorId="0">
      <text>
        <r>
          <rPr>
            <sz val="9"/>
            <color indexed="81"/>
            <rFont val="宋体"/>
            <family val="2"/>
          </rPr>
          <t>#Input("炼化公司_醋酸仲丁酯产量_月计划_永炼",":key{{dw}}")</t>
        </r>
      </text>
    </comment>
    <comment ref="G57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#Input("炼化公司生产月报1_油气产品产销量_醋酸仲丁酯产量_年计划_永炼",":key{{dw}}")
</t>
        </r>
      </text>
    </comment>
    <comment ref="J5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#Input("炼化公司生产月报1_去年同期_本月_醋酸仲丁酯产量_永炼",":key{{dw}}")</t>
        </r>
      </text>
    </comment>
    <comment ref="K5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#Input("炼化公司生产月报1_去年同期_本年_醋酸仲丁酯产量_永炼",":key{{dw}}")</t>
        </r>
      </text>
    </comment>
    <comment ref="D58" authorId="0">
      <text>
        <r>
          <rPr>
            <sz val="9"/>
            <color indexed="81"/>
            <rFont val="宋体"/>
            <family val="2"/>
          </rPr>
          <t>#Input("炼化公司_精制硫磺销量_月计划_永炼",":key{{dw}}")</t>
        </r>
      </text>
    </comment>
    <comment ref="G58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#Input("炼化公司生产月报1_油气产品产销量_精制硫磺销量_年计划_永炼",":key{{dw}}")
</t>
        </r>
      </text>
    </comment>
    <comment ref="J5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#Input("炼化公司生产月报1_去年同期_本月_精制硫磺销量_永炼",":key{{dw}}")</t>
        </r>
      </text>
    </comment>
    <comment ref="K5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#Input("炼化公司生产月报1_去年同期_本年_精制硫磺销量_永炼",":key{{dw}}")</t>
        </r>
      </text>
    </comment>
    <comment ref="D59" authorId="0">
      <text>
        <r>
          <rPr>
            <sz val="9"/>
            <color indexed="81"/>
            <rFont val="宋体"/>
            <family val="2"/>
          </rPr>
          <t>#Input("炼化公司_粗硫磺销量_月计划_永炼",":key{{dw}}")</t>
        </r>
      </text>
    </comment>
    <comment ref="G59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#Input("炼化公司生产月报1_油气产品产销量_粗硫磺销量_年计划_永炼",":key{{dw}}")
</t>
        </r>
      </text>
    </comment>
    <comment ref="J5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#Input("炼化公司生产月报1_去年同期_本月_粗硫磺销量_永炼",":key{{dw}}")</t>
        </r>
      </text>
    </comment>
    <comment ref="K5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#Input("炼化公司生产月报1_去年同期_本年_粗硫磺销量_永炼",":key{{dw}}")</t>
        </r>
      </text>
    </comment>
    <comment ref="D60" authorId="0">
      <text>
        <r>
          <rPr>
            <sz val="9"/>
            <color indexed="81"/>
            <rFont val="宋体"/>
            <family val="2"/>
          </rPr>
          <t>#Input("炼化公司_丙烯销量_月计划_永炼",":key{{dw}}")</t>
        </r>
      </text>
    </comment>
    <comment ref="G6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#Input("炼化公司生产月报1_油气产品产销量_丙烯销量_年计划_永炼",":key{{dw}}")
</t>
        </r>
      </text>
    </comment>
    <comment ref="J6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#Input("炼化公司生产月报1_去年同期_本月_丙烯销量_永炼",":key{{dw}}")</t>
        </r>
      </text>
    </comment>
    <comment ref="K6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#Input("炼化公司生产月报1_去年同期_本年_丙烯销量_永炼",":key{{dw}}")</t>
        </r>
      </text>
    </comment>
    <comment ref="D61" authorId="0">
      <text>
        <r>
          <rPr>
            <sz val="9"/>
            <color indexed="81"/>
            <rFont val="宋体"/>
            <family val="2"/>
          </rPr>
          <t>#Input("炼化公司_硫酸铵销量_月计划_永炼",":key{{dw}}")</t>
        </r>
      </text>
    </comment>
    <comment ref="G6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#Input("炼化公司生产月报1_油气产品产销量_硫酸铵销量_年计划_永炼",":key{{dw}}")
</t>
        </r>
      </text>
    </comment>
    <comment ref="J6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#Input("炼化公司生产月报1_去年同期_本月_硫酸铵销量_永炼",":key{{dw}}")</t>
        </r>
      </text>
    </comment>
    <comment ref="K6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#Input("炼化公司生产月报1_去年同期_本年_硫酸铵销量_永炼",":key{{dw}}")</t>
        </r>
      </text>
    </comment>
    <comment ref="D62" authorId="0">
      <text>
        <r>
          <rPr>
            <sz val="9"/>
            <color indexed="81"/>
            <rFont val="宋体"/>
            <family val="2"/>
          </rPr>
          <t>#Input("炼化公司_异辛烷组分产量_月计划_永炼",":key{{dw}}")</t>
        </r>
      </text>
    </comment>
    <comment ref="G62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#Input("炼化公司生产月报1_油气产品产销量_异辛烷组分产量_年计划_永炼",":key{{dw}}")</t>
        </r>
      </text>
    </comment>
    <comment ref="J6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#Input("炼化公司生产月报1_去年同期_本月_异辛烷组分产量_永炼",":key{{dw}}")</t>
        </r>
      </text>
    </comment>
    <comment ref="K6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#Input("炼化公司生产月报1_去年同期_本年_异辛烷组分产量_永炼",":key{{dw}}")</t>
        </r>
      </text>
    </comment>
    <comment ref="D63" authorId="0">
      <text>
        <r>
          <rPr>
            <sz val="9"/>
            <color indexed="81"/>
            <rFont val="宋体"/>
            <family val="2"/>
          </rPr>
          <t>#Input("炼化公司_异辛烷组分销量_月计划_永炼",":key{{dw}}")</t>
        </r>
      </text>
    </comment>
    <comment ref="G63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#Input("炼化公司生产月报1_油气产品产销量_异辛烷组分销量_年计划_永炼",":key{{dw}}")</t>
        </r>
      </text>
    </comment>
    <comment ref="J6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#Input("炼化公司生产月报1_去年同期_本月_异辛烷组分销量_永炼",":key{{dw}}")</t>
        </r>
      </text>
    </comment>
    <comment ref="K6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#Input("炼化公司生产月报1_去年同期_本年_异辛烷组分销量_永炼",":key{{dw}}")</t>
        </r>
      </text>
    </comment>
    <comment ref="D64" authorId="0">
      <text>
        <r>
          <rPr>
            <sz val="9"/>
            <color indexed="81"/>
            <rFont val="宋体"/>
            <family val="2"/>
          </rPr>
          <t>#Input("炼化公司_MTBE产量_月计划_永炼",":key{{dw}}")</t>
        </r>
      </text>
    </comment>
    <comment ref="G64" authorId="0">
      <text>
        <r>
          <rPr>
            <sz val="9"/>
            <color indexed="81"/>
            <rFont val="宋体"/>
            <family val="2"/>
          </rPr>
          <t>#Input("炼化公司生产月报1_油气产品产销量_MTBE产量_年计划_永炼",":key{{dw}}")</t>
        </r>
      </text>
    </comment>
    <comment ref="J6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#Input("炼化公司生产月报1_去年同期_本月_MTBE产量_永炼",":key{{dw}}")</t>
        </r>
      </text>
    </comment>
    <comment ref="K6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#Input("炼化公司生产月报1_去年同期_本年_MTBE产量_永炼",":key{{dw}}")</t>
        </r>
      </text>
    </comment>
    <comment ref="D65" authorId="0">
      <text>
        <r>
          <rPr>
            <sz val="9"/>
            <color indexed="81"/>
            <rFont val="宋体"/>
            <family val="2"/>
          </rPr>
          <t>#Input("炼化公司_MTBE销量_月计划_永炼",":key{{dw}}")</t>
        </r>
      </text>
    </comment>
    <comment ref="G65" authorId="0">
      <text>
        <r>
          <rPr>
            <sz val="9"/>
            <color indexed="81"/>
            <rFont val="宋体"/>
            <family val="2"/>
          </rPr>
          <t>#Input("炼化公司生产月报1_油气产品产销量_MTBE销量_年计划_永炼",":key{{dw}}")</t>
        </r>
      </text>
    </comment>
    <comment ref="J6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#Input("炼化公司生产月报1_去年同期_本月_MTBE销量_永炼",":key{{dw}}")</t>
        </r>
      </text>
    </comment>
    <comment ref="K6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#Input("炼化公司生产月报1_去年同期_本年_MTBE销量_永炼",":key{{dw}}")</t>
        </r>
      </text>
    </comment>
    <comment ref="D66" authorId="0">
      <text>
        <r>
          <rPr>
            <sz val="9"/>
            <color indexed="81"/>
            <rFont val="宋体"/>
            <family val="2"/>
          </rPr>
          <t>#Input("炼化公司_液氨销量_月计划_永炼",":key{{dw}}")</t>
        </r>
      </text>
    </comment>
    <comment ref="G66" authorId="0">
      <text>
        <r>
          <rPr>
            <sz val="9"/>
            <color indexed="81"/>
            <rFont val="宋体"/>
            <family val="2"/>
          </rPr>
          <t>#Input("炼化公司生产月报1_油气产品产销量_液氨销量_年计划_永炼",":key{{dw}}")</t>
        </r>
      </text>
    </comment>
    <comment ref="J6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#Input("炼化公司生产月报1_去年同期_本月_液氨销量_永炼",":key{{dw}}")</t>
        </r>
      </text>
    </comment>
    <comment ref="K6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#Input("炼化公司生产月报1_去年同期_本年_液氨销量_永炼",":key{{dw}}")</t>
        </r>
      </text>
    </comment>
    <comment ref="D67" authorId="0">
      <text>
        <r>
          <rPr>
            <sz val="9"/>
            <color indexed="81"/>
            <rFont val="宋体"/>
            <family val="2"/>
          </rPr>
          <t>#Input("炼化公司_3#喷气燃料产量_月计划_永炼",":key{{dw}}")</t>
        </r>
      </text>
    </comment>
    <comment ref="E67" authorId="0">
      <text>
        <r>
          <rPr>
            <sz val="9"/>
            <color indexed="81"/>
            <rFont val="宋体"/>
            <family val="2"/>
          </rPr>
          <t>#Input("炼化公司_月完成_3#喷气燃料产量_永炼",":key{{dw}}")</t>
        </r>
      </text>
    </comment>
    <comment ref="G67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#Input("炼化公司生产月报1_油气产品产销量_3#喷气燃料产量_年计划_永炼",":key{{dw}}")
</t>
        </r>
      </text>
    </comment>
    <comment ref="H67" authorId="0">
      <text>
        <r>
          <rPr>
            <sz val="9"/>
            <color indexed="81"/>
            <rFont val="宋体"/>
            <family val="2"/>
          </rPr>
          <t>#Input("炼化公司_年完成_3#喷气燃料产量_永炼",":key{{dw}}")</t>
        </r>
      </text>
    </comment>
    <comment ref="J6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#Input("炼化公司生产月报1_去年同期_本月_3#喷气燃料产量_永炼",":key{{dw}}")</t>
        </r>
      </text>
    </comment>
    <comment ref="K6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#Input("炼化公司生产月报1_去年同期_本年_3#喷气燃料产量_永炼",":key{{dw}}")</t>
        </r>
      </text>
    </comment>
    <comment ref="D69" authorId="0">
      <text>
        <r>
          <rPr>
            <sz val="9"/>
            <color indexed="81"/>
            <rFont val="宋体"/>
            <family val="2"/>
          </rPr>
          <t>#Input("炼化公司_成品油产量_月计划_永炼",":key{{dw}}")</t>
        </r>
      </text>
    </comment>
    <comment ref="G69" authorId="0">
      <text>
        <r>
          <rPr>
            <sz val="9"/>
            <color indexed="81"/>
            <rFont val="宋体"/>
            <family val="2"/>
          </rPr>
          <t xml:space="preserve">#Input("炼化公司生产月报1_综合指标_成品油产量(汽油+柴油+航煤)_年计划_永炼",":key{{dw}}")
</t>
        </r>
      </text>
    </comment>
    <comment ref="J6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#Input("炼化公司生产月报1_去年同期_本月_成品油产量_永炼",":key{{dw}}")</t>
        </r>
      </text>
    </comment>
    <comment ref="K6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#Input("炼化公司生产月报1_去年同期_本年_成品油产量_永炼",":key{{dw}}")</t>
        </r>
      </text>
    </comment>
    <comment ref="D70" authorId="0">
      <text>
        <r>
          <rPr>
            <sz val="9"/>
            <color indexed="81"/>
            <rFont val="宋体"/>
            <family val="2"/>
          </rPr>
          <t>#Input("炼化公司_综合商品量_月计划_永炼",":key{{dw}}")</t>
        </r>
      </text>
    </comment>
    <comment ref="G70" authorId="0">
      <text>
        <r>
          <rPr>
            <sz val="9"/>
            <color indexed="81"/>
            <rFont val="宋体"/>
            <family val="2"/>
          </rPr>
          <t>#Input("炼化公司生产月报1_综合指标_3#喷气燃料产量_年计划_永炼",":key{{dw}}")</t>
        </r>
      </text>
    </comment>
    <comment ref="J7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#Input("炼化公司生产月报1_去年同期_本月_综合商品量_永炼",":key{{dw}}")</t>
        </r>
      </text>
    </comment>
    <comment ref="K7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#Input("炼化公司生产月报1_去年同期_本年_综合商品量_永炼",":key{{dw}}")</t>
        </r>
      </text>
    </comment>
    <comment ref="D71" authorId="0">
      <text>
        <r>
          <rPr>
            <sz val="9"/>
            <color indexed="81"/>
            <rFont val="宋体"/>
            <family val="2"/>
          </rPr>
          <t>#Input("炼化公司_综合商品率_月计划_永炼",":key{{dw}}")</t>
        </r>
      </text>
    </comment>
    <comment ref="G71" authorId="0">
      <text>
        <r>
          <rPr>
            <sz val="9"/>
            <color indexed="81"/>
            <rFont val="宋体"/>
            <family val="2"/>
          </rPr>
          <t>#Input("炼化公司生产月报1_综合指标_综合商品量_年计划_永炼",":key{{dw}}")</t>
        </r>
      </text>
    </comment>
    <comment ref="J7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#Input("炼化公司生产月报1_去年同期_本月_综合商品率_永炼",":key{{dw}}")</t>
        </r>
      </text>
    </comment>
    <comment ref="K7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#Input("炼化公司生产月报1_去年同期_本年_综合商品率_永炼",":key{{dw}}")</t>
        </r>
      </text>
    </comment>
    <comment ref="D72" authorId="0">
      <text>
        <r>
          <rPr>
            <sz val="9"/>
            <color indexed="81"/>
            <rFont val="宋体"/>
            <family val="2"/>
          </rPr>
          <t>#Input("炼化公司_综合自用率_月计划_永炼",":key{{dw}}")</t>
        </r>
      </text>
    </comment>
    <comment ref="G72" authorId="0">
      <text>
        <r>
          <rPr>
            <sz val="9"/>
            <color indexed="81"/>
            <rFont val="宋体"/>
            <family val="2"/>
          </rPr>
          <t>#Input("炼化公司生产月报1_综合指标_综合自用率_年计划_永炼",":key{{dw}}")</t>
        </r>
      </text>
    </comment>
    <comment ref="J7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#Input("炼化公司生产月报1_去年同期_本月_综合自用率_永炼",":key{{dw}}")</t>
        </r>
      </text>
    </comment>
    <comment ref="K7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#Input("炼化公司生产月报1_去年同期_本年_综合自用率_永炼",":key{{dw}}")</t>
        </r>
      </text>
    </comment>
    <comment ref="D73" authorId="0">
      <text>
        <r>
          <rPr>
            <sz val="9"/>
            <color indexed="81"/>
            <rFont val="宋体"/>
            <family val="2"/>
          </rPr>
          <t>#Input("炼化公司_综合加工损失率_月计划_永炼",":key{{dw}}")</t>
        </r>
      </text>
    </comment>
    <comment ref="G73" authorId="0">
      <text>
        <r>
          <rPr>
            <sz val="9"/>
            <color indexed="81"/>
            <rFont val="宋体"/>
            <family val="2"/>
          </rPr>
          <t>#Input("炼化公司生产月报1_综合指标_综合加工损失率_年计划_永炼",":key{{dw}}")</t>
        </r>
      </text>
    </comment>
    <comment ref="J7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#Input("炼化公司生产月报1_去年同期_本月_综合加工损失率_永炼",":key{{dw}}")</t>
        </r>
      </text>
    </comment>
    <comment ref="K7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#Input("炼化公司生产月报1_去年同期_本年_综合加工损失率_永炼",":key{{dw}}")</t>
        </r>
      </text>
    </comment>
    <comment ref="D74" authorId="0">
      <text>
        <r>
          <rPr>
            <sz val="9"/>
            <color indexed="81"/>
            <rFont val="宋体"/>
            <family val="2"/>
          </rPr>
          <t>#Input("炼化公司_炼油综合能耗_月计划_永炼",":key{{dw}}")</t>
        </r>
      </text>
    </comment>
    <comment ref="G74" authorId="0">
      <text>
        <r>
          <rPr>
            <sz val="9"/>
            <color indexed="81"/>
            <rFont val="宋体"/>
            <family val="2"/>
          </rPr>
          <t>#Input("炼化公司生产月报1_综合指标_炼油综合能耗_年计划_永炼",":key{{dw}}")</t>
        </r>
      </text>
    </comment>
    <comment ref="J7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#Input("炼化公司生产月报1_去年同期_本月_炼油综合能耗_永炼",":key{{dw}}")</t>
        </r>
      </text>
    </comment>
    <comment ref="K7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#Input("炼化公司生产月报1_去年同期_本年_炼油综合能耗_永炼",":key{{dw}}")</t>
        </r>
      </text>
    </comment>
    <comment ref="D75" authorId="0">
      <text>
        <r>
          <rPr>
            <sz val="9"/>
            <color indexed="81"/>
            <rFont val="宋体"/>
            <family val="2"/>
          </rPr>
          <t>#Input("炼化公司_丙烯单耗_月计划_永炼",":key{{dw}}")</t>
        </r>
      </text>
    </comment>
    <comment ref="G75" authorId="0">
      <text>
        <r>
          <rPr>
            <sz val="9"/>
            <color indexed="81"/>
            <rFont val="宋体"/>
            <family val="2"/>
          </rPr>
          <t>#Input("炼化公司生产月报1_综合指标_丙烯单耗_年计划_永炼",":key{{dw}}")</t>
        </r>
      </text>
    </comment>
    <comment ref="J7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#Input("炼化公司生产月报1_去年同期_本月_丙烯单耗_永炼",":key{{dw}}")</t>
        </r>
      </text>
    </comment>
    <comment ref="K7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#Input("炼化公司生产月报1_去年同期_本年_丙烯单耗_永炼",":key{{dw}}")</t>
        </r>
      </text>
    </comment>
    <comment ref="D76" authorId="0">
      <text>
        <r>
          <rPr>
            <sz val="9"/>
            <color indexed="81"/>
            <rFont val="宋体"/>
            <family val="2"/>
          </rPr>
          <t>#Input("炼化公司_石油产品出厂合格率_月计划_永炼",":key{{dw}}")</t>
        </r>
      </text>
    </comment>
    <comment ref="G76" authorId="0">
      <text>
        <r>
          <rPr>
            <sz val="9"/>
            <color indexed="81"/>
            <rFont val="宋体"/>
            <family val="2"/>
          </rPr>
          <t>#Input("炼化公司生产月报1_综合指标_石油产品出厂合格率_年计划_永炼",":key{{dw}}")</t>
        </r>
      </text>
    </comment>
    <comment ref="J7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#Input("炼化公司生产月报1_去年同期_本月_石油产品出厂合格率_永炼",":key{{dw}}")</t>
        </r>
      </text>
    </comment>
    <comment ref="K7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#Input("炼化公司生产月报1_去年同期_本年_石油产品出厂合格率_永炼",":key{{dw}}")</t>
        </r>
      </text>
    </comment>
    <comment ref="D78" authorId="0">
      <text>
        <r>
          <rPr>
            <sz val="9"/>
            <color indexed="81"/>
            <rFont val="宋体"/>
            <family val="2"/>
          </rPr>
          <t>#Input("炼化公司_常压装置轻质油收率_月计划_永炼",":key{{dw}}")</t>
        </r>
      </text>
    </comment>
    <comment ref="G78" authorId="0">
      <text>
        <r>
          <rPr>
            <sz val="9"/>
            <color indexed="81"/>
            <rFont val="宋体"/>
            <family val="2"/>
          </rPr>
          <t>#Input("炼化公司生产月报1_装置收率_常压装置轻质油收率_年计划_永炼",":key{{dw}}")</t>
        </r>
      </text>
    </comment>
    <comment ref="J7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#Input("炼化公司生产月报1_去年同期_本月_常压装置轻质油收率_永炼",":key{{dw}}")</t>
        </r>
      </text>
    </comment>
    <comment ref="K7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#Input("炼化公司生产月报1_去年同期_本年_常压装置轻质油收率_永炼",":key{{dw}}")</t>
        </r>
      </text>
    </comment>
    <comment ref="D79" authorId="0">
      <text>
        <r>
          <rPr>
            <sz val="9"/>
            <color indexed="81"/>
            <rFont val="宋体"/>
            <family val="2"/>
          </rPr>
          <t>#Input("炼化公司_催化装置汽柴液总收率_月计划_永炼",":key{{dw}}")</t>
        </r>
      </text>
    </comment>
    <comment ref="G79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#Input("炼化公司生产月报1_装置收率_催化装置汽柴液总收率_年月完成_永炼",":key{{dw}}")
</t>
        </r>
      </text>
    </comment>
    <comment ref="J7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#Input("炼化公司生产月报1_去年同期_本月_催化装置汽柴液总收率_永炼",":key{{dw}}")</t>
        </r>
      </text>
    </comment>
    <comment ref="K7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#Input("炼化公司生产月报1_去年同期_本年_催化装置汽柴液总收率_永炼",":key{{dw}}")</t>
        </r>
      </text>
    </comment>
    <comment ref="D80" authorId="0">
      <text>
        <r>
          <rPr>
            <sz val="9"/>
            <color indexed="81"/>
            <rFont val="宋体"/>
            <family val="2"/>
          </rPr>
          <t>#Input("炼化公司_催化装置轻质油收率_月计划_永炼",":key{{dw}}")</t>
        </r>
      </text>
    </comment>
    <comment ref="G80" authorId="0">
      <text>
        <r>
          <rPr>
            <sz val="9"/>
            <color indexed="81"/>
            <rFont val="宋体"/>
            <family val="2"/>
          </rPr>
          <t xml:space="preserve">#Input("炼化公司_生产月报1_装置收率_催化装置轻质油收率_年计划_永炼",":key{{dw}}")
</t>
        </r>
      </text>
    </comment>
    <comment ref="J8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#Input("炼化公司生产月报1_去年同期_本月_催化装置轻质油收率_永炼",":key{{dw}}")</t>
        </r>
      </text>
    </comment>
    <comment ref="K8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#Input("炼化公司生产月报1_去年同期_本年_催化装置轻质油收率_永炼",":key{{dw}}")</t>
        </r>
      </text>
    </comment>
    <comment ref="D81" authorId="0">
      <text>
        <r>
          <rPr>
            <sz val="9"/>
            <color indexed="81"/>
            <rFont val="宋体"/>
            <family val="2"/>
          </rPr>
          <t>#Input("炼化公司_催化装置液化气收率_月计划_永炼",":key{{dw}}")</t>
        </r>
      </text>
    </comment>
    <comment ref="G81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#Input("炼化公司生产月报1_装置收率_催化装置液化气收率_年计划_永炼",":key{{dw}}")
</t>
        </r>
      </text>
    </comment>
    <comment ref="J8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#Input("炼化公司生产月报1_去年同期_本月_催化装置液化气收率_永炼",":key{{dw}}")</t>
        </r>
      </text>
    </comment>
    <comment ref="K8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#Input("炼化公司生产月报1_去年同期_本年_催化装置液化气收率_永炼",":key{{dw}}")</t>
        </r>
      </text>
    </comment>
    <comment ref="D82" authorId="0">
      <text>
        <r>
          <rPr>
            <sz val="9"/>
            <color indexed="81"/>
            <rFont val="宋体"/>
            <family val="2"/>
          </rPr>
          <t>#Input("炼化公司_重整装置总收率_月计划_永炼",":key{{dw}}")</t>
        </r>
      </text>
    </comment>
    <comment ref="G82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#Input("炼化公司生产月报1_装置收率_重整装置总收率_年计划_永炼",":key{{dw}}")
</t>
        </r>
      </text>
    </comment>
    <comment ref="J8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#Input("炼化公司生产月报1_去年同期_本月_重整装置总收率_永炼",":key{{dw}}")</t>
        </r>
      </text>
    </comment>
    <comment ref="K8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#Input("炼化公司生产月报1_去年同期_本年_重整装置总收率_永炼",":key{{dw}}")</t>
        </r>
      </text>
    </comment>
    <comment ref="D83" authorId="0">
      <text>
        <r>
          <rPr>
            <sz val="9"/>
            <color indexed="81"/>
            <rFont val="宋体"/>
            <family val="2"/>
          </rPr>
          <t>#Input("炼化公司_气体分馏装置丙烯收率_月计划_永炼",":key{{dw}}")</t>
        </r>
      </text>
    </comment>
    <comment ref="G83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#Input("炼化公司生产月报1_装置收率_气体分馏装置丙烯收率_年计划_永炼",":key{{dw}}")
</t>
        </r>
      </text>
    </comment>
    <comment ref="J8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#Input("炼化公司生产月报1_去年同期_本月_气体分馏装置丙烯收率_永炼",":key{{dw}}")</t>
        </r>
      </text>
    </comment>
    <comment ref="K8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#Input("炼化公司生产月报1_去年同期_本年_气体分馏装置丙烯收率_永炼",":key{{dw}}")</t>
        </r>
      </text>
    </comment>
    <comment ref="D84" authorId="0">
      <text>
        <r>
          <rPr>
            <sz val="9"/>
            <color indexed="81"/>
            <rFont val="宋体"/>
            <family val="2"/>
          </rPr>
          <t>#Input("炼化公司_MTBE装置MTBE收率_月计划_永炼",":key{{dw}}")</t>
        </r>
      </text>
    </comment>
    <comment ref="G84" authorId="0">
      <text>
        <r>
          <rPr>
            <sz val="9"/>
            <color indexed="81"/>
            <rFont val="宋体"/>
            <family val="2"/>
          </rPr>
          <t xml:space="preserve">#Input("炼化公司生产月报1_装置收率_MTBE装置MTBE收率_年计划_永炼",":key{{dw}}")
</t>
        </r>
      </text>
    </comment>
    <comment ref="J8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#Input("炼化公司生产月报1_去年同期_本月_MTBE装置MTBE收率_永炼",":key{{dw}}")</t>
        </r>
      </text>
    </comment>
    <comment ref="K8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#Input("炼化公司生产月报1_去年同期_本年_MTBE装置MTBE收率_永炼",":key{{dw}}")</t>
        </r>
      </text>
    </comment>
    <comment ref="D85" authorId="0">
      <text>
        <r>
          <rPr>
            <sz val="9"/>
            <color indexed="81"/>
            <rFont val="宋体"/>
            <family val="2"/>
          </rPr>
          <t>#Input("炼化公司_醋酸仲丁酯收率_月计划_永炼",":key{{dw}}")</t>
        </r>
      </text>
    </comment>
    <comment ref="G85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#Input("炼化公司生产月报1_装置收率_醋酸仲丁酯收率_年计划_永炼",":key{{dw}}")
</t>
        </r>
      </text>
    </comment>
    <comment ref="J8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#Input("炼化公司生产月报1_去年同期_本月_醋酸仲丁酯收率_永炼",":key{{dw}}")</t>
        </r>
      </text>
    </comment>
    <comment ref="K8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#Input("炼化公司生产月报1_去年同期_本年_醋酸仲丁酯收率_永炼",":key{{dw}}")</t>
        </r>
      </text>
    </comment>
    <comment ref="D86" authorId="0">
      <text>
        <r>
          <rPr>
            <sz val="9"/>
            <color indexed="81"/>
            <rFont val="宋体"/>
            <family val="2"/>
          </rPr>
          <t>#Input("炼化公司_聚丙烯装置收率_月计划_永炼",":key{{dw}}")</t>
        </r>
      </text>
    </comment>
    <comment ref="G86" authorId="0">
      <text>
        <r>
          <rPr>
            <sz val="9"/>
            <color indexed="81"/>
            <rFont val="宋体"/>
            <family val="2"/>
          </rPr>
          <t xml:space="preserve">#Input("炼化公司生产月报1_装置收率_聚丙烯装置收率_年计划_永炼",":key{{dw}}")
</t>
        </r>
      </text>
    </comment>
    <comment ref="J8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#Input("炼化公司生产月报1_去年同期_本月_聚丙烯装置收率_永炼",":key{{dw}}")</t>
        </r>
      </text>
    </comment>
    <comment ref="K8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#Input("炼化公司生产月报1_去年同期_本年_聚丙烯装置收率_永炼",":key{{dw}}")</t>
        </r>
      </text>
    </comment>
    <comment ref="D87" authorId="0">
      <text>
        <r>
          <rPr>
            <sz val="9"/>
            <color indexed="81"/>
            <rFont val="宋体"/>
            <family val="2"/>
          </rPr>
          <t>#Input("炼化公司_汽油加氢精制总收率_月计划_永炼",":key{{dw}}")</t>
        </r>
      </text>
    </comment>
    <comment ref="G87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#Input("炼化公司生产月报1_装置收率_汽油加氢精制总收率_年计划_永炼",":key{{dw}}")
</t>
        </r>
      </text>
    </comment>
    <comment ref="J8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#Input("炼化公司生产月报1_去年同期_本月_汽油加氢精制总收率_永炼",":key{{dw}}")</t>
        </r>
      </text>
    </comment>
    <comment ref="K8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#Input("炼化公司生产月报1_去年同期_本年_汽油加氢精制总收率_永炼",":key{{dw}}")</t>
        </r>
      </text>
    </comment>
    <comment ref="D88" authorId="0">
      <text>
        <r>
          <rPr>
            <sz val="9"/>
            <color indexed="81"/>
            <rFont val="宋体"/>
            <family val="2"/>
          </rPr>
          <t>#Input("炼化公司_柴油加氢精制总收率_月计划_永炼",":key{{dw}}")</t>
        </r>
      </text>
    </comment>
    <comment ref="G88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#Input("炼化公司生产月报1_装置收率_柴油加氢精制总收率_年计划_永炼",":key{{dw}}")
</t>
        </r>
      </text>
    </comment>
    <comment ref="J8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#Input("炼化公司生产月报1_去年同期_本月_柴油加氢精制总收率_永炼",":key{{dw}}")</t>
        </r>
      </text>
    </comment>
    <comment ref="K8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#Input("炼化公司生产月报1_去年同期_本年_柴油加氢精制总收率_永炼",":key{{dw}}")</t>
        </r>
      </text>
    </comment>
    <comment ref="C90" authorId="0">
      <text>
        <r>
          <rPr>
            <sz val="9"/>
            <color indexed="81"/>
            <rFont val="宋体"/>
            <family val="2"/>
          </rPr>
          <t>#Input("炼化公司生产月报1_永炼_备注_永炼",":key{{dw}}")</t>
        </r>
      </text>
    </comment>
    <comment ref="C94" authorId="0">
      <text>
        <r>
          <rPr>
            <sz val="9"/>
            <color indexed="81"/>
            <rFont val="宋体"/>
            <family val="2"/>
          </rPr>
          <t>#Input("炼化公司生产月报1_炼化公司_主管领导永炼_永炼",":key{{dw}}")</t>
        </r>
      </text>
    </comment>
    <comment ref="F94" authorId="0">
      <text>
        <r>
          <rPr>
            <sz val="9"/>
            <color indexed="81"/>
            <rFont val="宋体"/>
            <family val="2"/>
          </rPr>
          <t>#Input("炼化公司生产月报1_部门负责人永炼_永炼",":key{{dw}}")</t>
        </r>
      </text>
    </comment>
    <comment ref="H94" authorId="0">
      <text>
        <r>
          <rPr>
            <sz val="9"/>
            <color indexed="81"/>
            <rFont val="宋体"/>
            <family val="2"/>
          </rPr>
          <t xml:space="preserve">#Input("炼化公司生产月报1_审核人永炼_永炼",":key{{dw}}")
</t>
        </r>
      </text>
    </comment>
    <comment ref="K94" authorId="0">
      <text>
        <r>
          <rPr>
            <sz val="9"/>
            <color indexed="81"/>
            <rFont val="宋体"/>
            <family val="2"/>
          </rPr>
          <t xml:space="preserve">#Input("炼化公司生产月报1_编制永炼_永炼",":key{{dw}}")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24" authorId="0">
      <text>
        <r>
          <rPr>
            <sz val="9"/>
            <color indexed="81"/>
            <rFont val="宋体"/>
            <family val="2"/>
          </rPr>
          <t>年累是累计今年已提交的所有月份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sz val="9"/>
            <color indexed="81"/>
            <rFont val="宋体"/>
            <family val="2"/>
          </rPr>
          <t>#Input("炼化公司_原料油（气）加工量_月计划_榆炼",":key{{dw}}")</t>
        </r>
      </text>
    </comment>
    <comment ref="G6" authorId="0">
      <text>
        <r>
          <rPr>
            <sz val="9"/>
            <color indexed="81"/>
            <rFont val="宋体"/>
            <family val="2"/>
          </rPr>
          <t>#Input("炼化公司生产月报1_装置加工量_原料加工量_年计划_榆炼",":key{{dw}}")</t>
        </r>
      </text>
    </comment>
    <comment ref="J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#Input("炼化公司生产月报1_去年同期_本月_1、原料油（气）加工量_榆炼",":key{{dw}}")</t>
        </r>
      </text>
    </comment>
    <comment ref="K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#Input("炼化公司生产月报1_去年同期_本年_1、原料油（气）加工量_榆炼",":key{{dw}}")</t>
        </r>
      </text>
    </comment>
    <comment ref="D7" authorId="0">
      <text>
        <r>
          <rPr>
            <sz val="9"/>
            <color indexed="81"/>
            <rFont val="宋体"/>
            <family val="2"/>
          </rPr>
          <t>#Input("炼化公司_原油_月计划_榆炼",":key{{dw}}")</t>
        </r>
      </text>
    </comment>
    <comment ref="G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#Input("炼化公司生产月报1_装置加工量_原油_年计划_榆炼",":key{{dw}}")
</t>
        </r>
      </text>
    </comment>
    <comment ref="J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#Input("炼化公司生产月报1_去年同期_本月_其中：原油_榆炼",":key{{dw}}")</t>
        </r>
      </text>
    </comment>
    <comment ref="K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#Input("炼化公司生产月报1_去年同期_本年_其中：原油_榆炼",":key{{dw}}")</t>
        </r>
      </text>
    </comment>
    <comment ref="D8" authorId="0">
      <text>
        <r>
          <rPr>
            <sz val="9"/>
            <color indexed="81"/>
            <rFont val="宋体"/>
            <family val="2"/>
          </rPr>
          <t>#Input("炼化公司_甲醇_月计划_榆炼",":key{{dw}}")</t>
        </r>
      </text>
    </comment>
    <comment ref="G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#Input("炼化公司生产月报1_装置加工量_甲醇_年计划_榆炼",":key{{dw}}")
</t>
        </r>
      </text>
    </comment>
    <comment ref="J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#Input("炼化公司生产月报1_去年同期_本月_甲醇_榆炼",":key{{dw}}")</t>
        </r>
      </text>
    </comment>
    <comment ref="K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#Input("炼化公司生产月报1_去年同期_本年_甲醇_榆炼",":key{{dw}}")</t>
        </r>
      </text>
    </comment>
    <comment ref="D9" authorId="0">
      <text>
        <r>
          <rPr>
            <sz val="9"/>
            <color indexed="81"/>
            <rFont val="宋体"/>
            <family val="2"/>
          </rPr>
          <t>#Input("炼化公司_MTBE_月计划_榆炼",":key{{dw}}")</t>
        </r>
      </text>
    </comment>
    <comment ref="G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#Input("炼化公司生产月报1_装置加工量_MTBE_年计划_榆炼",":key{{dw}}")
</t>
        </r>
      </text>
    </comment>
    <comment ref="J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#Input("炼化公司生产月报1_去年同期_本月_MTBE_榆炼",":key{{dw}}")</t>
        </r>
      </text>
    </comment>
    <comment ref="K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#Input("炼化公司生产月报1_去年同期_本年_MTBE_榆炼",":key{{dw}}")</t>
        </r>
      </text>
    </comment>
    <comment ref="D10" authorId="0">
      <text>
        <r>
          <rPr>
            <sz val="9"/>
            <color indexed="81"/>
            <rFont val="宋体"/>
            <family val="2"/>
          </rPr>
          <t>#Input("炼化公司_1#渣油_月计划_榆炼",":key{{dw}}")</t>
        </r>
      </text>
    </comment>
    <comment ref="G10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#Input("炼化公司生产月报1_装置加工量_1#渣油_年计划_榆炼",":key{{dw}}")
</t>
        </r>
      </text>
    </comment>
    <comment ref="J1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#Input("炼化公司生产月报1_去年同期_本月_1#渣油_榆炼",":key{{dw}}")</t>
        </r>
      </text>
    </comment>
    <comment ref="K1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#Input("炼化公司生产月报1_去年同期_本年_1#渣油_榆炼",":key{{dw}}")</t>
        </r>
      </text>
    </comment>
    <comment ref="D11" authorId="0">
      <text>
        <r>
          <rPr>
            <sz val="9"/>
            <color indexed="81"/>
            <rFont val="宋体"/>
            <family val="2"/>
          </rPr>
          <t>#Input("炼化公司_裂解石脑油_月计划_榆炼",":key{{dw}}")</t>
        </r>
      </text>
    </comment>
    <comment ref="G11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#Input("炼化公司生产月报1_装置加工量_裂解石脑油_年计划_榆炼",":key{{dw}}")
</t>
        </r>
      </text>
    </comment>
    <comment ref="J1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#Input("炼化公司生产月报1_去年同期_本月_裂解石脑油_榆炼",":key{{dw}}")</t>
        </r>
      </text>
    </comment>
    <comment ref="K1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#Input("炼化公司生产月报1_去年同期_本年_裂解石脑油_榆炼",":key{{dw}}")</t>
        </r>
      </text>
    </comment>
    <comment ref="D12" authorId="0">
      <text>
        <r>
          <rPr>
            <sz val="9"/>
            <color indexed="81"/>
            <rFont val="宋体"/>
            <family val="2"/>
          </rPr>
          <t>#Input("炼化公司_上古液化气_月计划_榆炼",":key{{dw}}")</t>
        </r>
      </text>
    </comment>
    <comment ref="G12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#Input("炼化公司生产月报1_装置加工量_上古液化气_年计划_榆炼",":key{{dw}}")
</t>
        </r>
      </text>
    </comment>
    <comment ref="J1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#Input("炼化公司生产月报1_去年同期_本月_上古液化气_榆炼",":key{{dw}}")</t>
        </r>
      </text>
    </comment>
    <comment ref="K1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#Input("炼化公司生产月报1_去年同期_本年_上古液化气_榆炼",":key{{dw}}")</t>
        </r>
      </text>
    </comment>
    <comment ref="D13" authorId="0">
      <text>
        <r>
          <rPr>
            <sz val="9"/>
            <color indexed="81"/>
            <rFont val="宋体"/>
            <family val="2"/>
          </rPr>
          <t>#Input("炼化公司_醋酸_月计划_榆炼",":key{{dw}}")</t>
        </r>
      </text>
    </comment>
    <comment ref="G13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#Input("炼化公司生产月报1_装置加工量_醋酸_年计划_榆炼",":key{{dw}}")
</t>
        </r>
      </text>
    </comment>
    <comment ref="J1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#Input("炼化公司生产月报1_去年同期_本月_醋酸_榆炼",":key{{dw}}")</t>
        </r>
      </text>
    </comment>
    <comment ref="K1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#Input("炼化公司生产月报1_去年同期_本年_醋酸_榆炼",":key{{dw}}")</t>
        </r>
      </text>
    </comment>
    <comment ref="D14" authorId="0">
      <text>
        <r>
          <rPr>
            <sz val="9"/>
            <color indexed="81"/>
            <rFont val="宋体"/>
            <family val="2"/>
          </rPr>
          <t>#Input("炼化公司_异辛烷组分_月计划_榆炼",":key{{dw}}")</t>
        </r>
      </text>
    </comment>
    <comment ref="G14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#Input("炼化公司生产月报1_装置加工量_异辛烷组分_年计划_榆炼",":key{{dw}}")
</t>
        </r>
      </text>
    </comment>
    <comment ref="J1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#Input("炼化公司生产月报1_去年同期_本月_异辛烷组分_榆炼",":key{{dw}}")</t>
        </r>
      </text>
    </comment>
    <comment ref="K1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#Input("炼化公司生产月报1_去年同期_本年_异辛烷组分_榆炼",":key{{dw}}")</t>
        </r>
      </text>
    </comment>
    <comment ref="D15" authorId="0">
      <text>
        <r>
          <rPr>
            <sz val="9"/>
            <color indexed="81"/>
            <rFont val="宋体"/>
            <family val="2"/>
          </rPr>
          <t>#Input("炼化公司_异丁烷_月计划_榆炼",":key{{dw}}")</t>
        </r>
      </text>
    </comment>
    <comment ref="G15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#Input("炼化公司生产月报1_装置加工量_异丁烷_年计划_榆炼",":key{{dw}}")
</t>
        </r>
      </text>
    </comment>
    <comment ref="J1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#Input("炼化公司生产月报1_去年同期_本月_异丁烷_榆炼",":key{{dw}}")</t>
        </r>
      </text>
    </comment>
    <comment ref="K1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#Input("炼化公司生产月报1_去年同期_本年_异丁烷_榆炼",":key{{dw}}")</t>
        </r>
      </text>
    </comment>
    <comment ref="D16" authorId="0">
      <text>
        <r>
          <rPr>
            <sz val="9"/>
            <color indexed="81"/>
            <rFont val="宋体"/>
            <family val="2"/>
          </rPr>
          <t>#Input("炼化公司_常压装置加工量_月计划_榆炼",":key{{dw}}")</t>
        </r>
      </text>
    </comment>
    <comment ref="G16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#Input("炼化公司生产月报1_装置加工量_常压加工量_年计划_榆炼",":key{{dw}}")
</t>
        </r>
      </text>
    </comment>
    <comment ref="J1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#Input("炼化公司生产月报1_去年同期_本月_常压装置加工量_榆炼",":key{{dw}}")</t>
        </r>
      </text>
    </comment>
    <comment ref="K1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#Input("炼化公司生产月报1_去年同期_本年_常压装置加工量_榆炼",":key{{dw}}")</t>
        </r>
      </text>
    </comment>
    <comment ref="D17" authorId="0">
      <text>
        <r>
          <rPr>
            <sz val="9"/>
            <color indexed="81"/>
            <rFont val="宋体"/>
            <family val="2"/>
          </rPr>
          <t>#Input("炼化公司_常压_原油加工量_月计划_榆炼",":key{{dw}}")</t>
        </r>
      </text>
    </comment>
    <comment ref="G1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#Input("炼化公司生产月报1_装置加工量_原油加工量_年计划_榆炼",":key{{dw}}")
</t>
        </r>
      </text>
    </comment>
    <comment ref="J1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#Input("炼化公司生产月报1_去年同期_本月_原油加工量_榆炼",":key{{dw}}")</t>
        </r>
      </text>
    </comment>
    <comment ref="K1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#Input("炼化公司生产月报1_去年同期_本年_原油加工量_榆炼",":key{{dw}}")</t>
        </r>
      </text>
    </comment>
    <comment ref="M17" authorId="0">
      <text>
        <r>
          <rPr>
            <b/>
            <sz val="9"/>
            <color indexed="81"/>
            <rFont val="宋体"/>
            <family val="2"/>
          </rPr>
          <t>#Input("炼化公司生产月报1_装置加工量_原油加工量_榆炼_月完成",":key{{dw}}",":read")</t>
        </r>
      </text>
    </comment>
    <comment ref="N17" authorId="0">
      <text>
        <r>
          <rPr>
            <b/>
            <sz val="9"/>
            <color indexed="81"/>
            <rFont val="宋体"/>
            <family val="2"/>
          </rPr>
          <t>#Input("炼化公司生产月报1_装置加工量_原油加工量_榆炼_年完成",":key{{dw}}",":read")</t>
        </r>
      </text>
    </comment>
    <comment ref="D18" authorId="0">
      <text>
        <r>
          <rPr>
            <sz val="9"/>
            <color indexed="81"/>
            <rFont val="宋体"/>
            <family val="2"/>
          </rPr>
          <t>#Input("炼化公司_常压_进口原油加工量_月计划_榆炼",":key{{dw}}")</t>
        </r>
      </text>
    </comment>
    <comment ref="E18" authorId="0">
      <text>
        <r>
          <rPr>
            <sz val="9"/>
            <color indexed="81"/>
            <rFont val="宋体"/>
            <family val="2"/>
          </rPr>
          <t>#Input("炼化公司生产月报1_装置加工量_进口原油加工量_月完成_榆炼",":key{{dw}}")</t>
        </r>
      </text>
    </comment>
    <comment ref="G1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#Input("炼化公司生产月报1_装置加工量_进口原油加工量_年计划_榆炼",":key{{dw}}")
</t>
        </r>
      </text>
    </comment>
    <comment ref="H1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#Input("炼化公司生产月报1_装置加工量_进口原油加工量_年完成_榆炼",":key{{dw}}")
</t>
        </r>
      </text>
    </comment>
    <comment ref="J1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#Input("炼化公司生产月报1_去年同期_本月_进口原油加工量_榆炼",":key{{dw}}")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#Input("炼化公司生产月报1_去年同期_本年_进口原油加工量_榆炼",":key{{dw}}")</t>
        </r>
      </text>
    </comment>
    <comment ref="D19" authorId="0">
      <text>
        <r>
          <rPr>
            <sz val="9"/>
            <color indexed="81"/>
            <rFont val="宋体"/>
            <family val="2"/>
          </rPr>
          <t>#Input("炼化公司_催化装置加工量_月计划_榆炼",":key{{dw}}")</t>
        </r>
      </text>
    </comment>
    <comment ref="G1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#Input("炼化公司生产月报1_装置加工量_催化装置加工量_年计划_榆炼",":key{{dw}}")
</t>
        </r>
      </text>
    </comment>
    <comment ref="J1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#Input("炼化公司生产月报1_去年同期_本月_催化装置加工量_榆炼",":key{{dw}}")</t>
        </r>
      </text>
    </comment>
    <comment ref="K1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#Input("炼化公司生产月报1_去年同期_本年_催化装置加工量_榆炼",":key{{dw}}")</t>
        </r>
      </text>
    </comment>
    <comment ref="D20" authorId="0">
      <text>
        <r>
          <rPr>
            <sz val="9"/>
            <color indexed="81"/>
            <rFont val="宋体"/>
            <family val="2"/>
          </rPr>
          <t>#Input("炼化公司_催化_1#渣油_月计划_榆炼",":key{{dw}}")</t>
        </r>
      </text>
    </comment>
    <comment ref="G20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#Input("炼化公司生产月报1_装置加工量_1#渣油加工量_年计划_榆炼",":key{{dw}}")
</t>
        </r>
      </text>
    </comment>
    <comment ref="J2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#Input("炼化公司生产月报1_去年同期_本月_1#渣油加工量_榆炼",":key{{dw}}")</t>
        </r>
      </text>
    </comment>
    <comment ref="K2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#Input("炼化公司生产月报1_去年同期_本年_1#渣油加工量_榆炼",":key{{dw}}")</t>
        </r>
      </text>
    </comment>
    <comment ref="M20" authorId="0">
      <text>
        <r>
          <rPr>
            <b/>
            <sz val="9"/>
            <color indexed="81"/>
            <rFont val="宋体"/>
            <family val="2"/>
          </rPr>
          <t>#Input("炼化公司生产月报1_装置加工量_1#渣油加工量_榆炼_月完成",":key{{dw}}",":read")</t>
        </r>
      </text>
    </comment>
    <comment ref="N20" authorId="0">
      <text>
        <r>
          <rPr>
            <b/>
            <sz val="9"/>
            <color indexed="81"/>
            <rFont val="宋体"/>
            <family val="2"/>
          </rPr>
          <t>#Input("炼化公司生产月报1_装置加工量_1#渣油加工量_榆炼_年完成",":key{{dw}}",":read")</t>
        </r>
      </text>
    </comment>
    <comment ref="D21" authorId="0">
      <text>
        <r>
          <rPr>
            <sz val="9"/>
            <color indexed="81"/>
            <rFont val="宋体"/>
            <family val="2"/>
          </rPr>
          <t>#Input("炼化公司_重整装置处理量_月计划_榆炼",":key{{dw}}")</t>
        </r>
      </text>
    </comment>
    <comment ref="G21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#Input("炼化公司生产月报1_装置加工量_重整装置处理量_年计划_榆炼",":key{{dw}}")
</t>
        </r>
      </text>
    </comment>
    <comment ref="J2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#Input("炼化公司生产月报1_去年同期_本月_重整装置处理量_榆炼",":key{{dw}}")</t>
        </r>
      </text>
    </comment>
    <comment ref="K2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#Input("炼化公司生产月报1_去年同期_本年_重整装置处理量_榆炼",":key{{dw}}")</t>
        </r>
      </text>
    </comment>
    <comment ref="D22" authorId="0">
      <text>
        <r>
          <rPr>
            <sz val="9"/>
            <color indexed="81"/>
            <rFont val="宋体"/>
            <family val="2"/>
          </rPr>
          <t>#Input("炼化公司_DCC石脑油加氢处理量_月计划_榆炼",":key{{dw}}")</t>
        </r>
      </text>
    </comment>
    <comment ref="G22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#Input("炼化公司生产月报1_装置加工量_DCC石脑油加氢处理量_年计划_榆炼",":key{{dw}}")
</t>
        </r>
      </text>
    </comment>
    <comment ref="J2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#Input("炼化公司生产月报1_去年同期_本月_DCC石脑油加氢处理量_榆炼",":key{{dw}}")</t>
        </r>
      </text>
    </comment>
    <comment ref="K2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#Input("炼化公司生产月报1_去年同期_本年_DCC石脑油加氢处理量_榆炼",":key{{dw}}")</t>
        </r>
      </text>
    </comment>
    <comment ref="D23" authorId="0">
      <text>
        <r>
          <rPr>
            <sz val="9"/>
            <color indexed="81"/>
            <rFont val="宋体"/>
            <family val="2"/>
          </rPr>
          <t>#Input("炼化公司_DCC裂解轻油精制处理量_月计划_榆炼",":key{{dw}}")</t>
        </r>
      </text>
    </comment>
    <comment ref="G23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#Input("炼化公司生产月报1_装置加工量_DCC裂解轻油加氢处理量_年计划_榆炼",":key{{dw}}")
</t>
        </r>
      </text>
    </comment>
    <comment ref="J2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#Input("炼化公司生产月报1_去年同期_本月_DCC裂解轻油加氢处理量_榆炼",":key{{dw}}")</t>
        </r>
      </text>
    </comment>
    <comment ref="K2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#Input("炼化公司生产月报1_去年同期_本年_DCC裂解轻油加氢处理量_榆炼",":key{{dw}}")</t>
        </r>
      </text>
    </comment>
    <comment ref="D24" authorId="0">
      <text>
        <r>
          <rPr>
            <sz val="9"/>
            <color indexed="81"/>
            <rFont val="宋体"/>
            <family val="2"/>
          </rPr>
          <t>#Input("炼化公司_汽油加氢精制处理量_月计划_榆炼",":key{{dw}}")</t>
        </r>
      </text>
    </comment>
    <comment ref="G24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#Input("炼化公司生产月报1_装置加工量_汽油加氢处理量_年计划_榆炼",":key{{dw}}")
</t>
        </r>
      </text>
    </comment>
    <comment ref="J2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#Input("炼化公司生产月报1_去年同期_本月_汽油加氢精制处理量_榆炼",":key{{dw}}")</t>
        </r>
      </text>
    </comment>
    <comment ref="K2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#Input("炼化公司生产月报1_去年同期_本年_汽油加氢精制处理量_榆炼",":key{{dw}}")</t>
        </r>
      </text>
    </comment>
    <comment ref="D25" authorId="0">
      <text>
        <r>
          <rPr>
            <sz val="9"/>
            <color indexed="81"/>
            <rFont val="宋体"/>
            <family val="2"/>
          </rPr>
          <t>#Input("炼化公司_柴油加氢精制处理量_月计划_榆炼",":key{{dw}}")</t>
        </r>
      </text>
    </comment>
    <comment ref="G25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#Input("炼化公司生产月报1_装置加工量_柴油加氢处理量_年计划_榆炼",":key{{dw}}")
</t>
        </r>
      </text>
    </comment>
    <comment ref="J2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#Input("炼化公司生产月报1_去年同期_本月_柴油加氢精制处理量_榆炼",":key{{dw}}")</t>
        </r>
      </text>
    </comment>
    <comment ref="K2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#Input("炼化公司生产月报1_去年同期_本年_柴油加氢精制处理量_榆炼",":key{{dw}}")</t>
        </r>
      </text>
    </comment>
    <comment ref="D26" authorId="0">
      <text>
        <r>
          <rPr>
            <sz val="9"/>
            <color indexed="81"/>
            <rFont val="宋体"/>
            <family val="2"/>
          </rPr>
          <t>#Input("炼化公司_气分装置加工量_月计划_榆炼",":key{{dw}}")</t>
        </r>
      </text>
    </comment>
    <comment ref="G26" authorId="0">
      <text>
        <r>
          <rPr>
            <sz val="9"/>
            <color indexed="81"/>
            <rFont val="宋体"/>
            <family val="2"/>
          </rPr>
          <t>#Input("炼化公司生产月报1_装置加工量_气分装置加工量_年计划_榆炼",":key{{dw}}")</t>
        </r>
      </text>
    </comment>
    <comment ref="J2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#Input("炼化公司生产月报1_去年同期_本月_气分装置加工量_榆炼",":key{{dw}}")</t>
        </r>
      </text>
    </comment>
    <comment ref="K2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#Input("炼化公司生产月报1_去年同期_本年_气分装置加工量_榆炼",":key{{dw}}")</t>
        </r>
      </text>
    </comment>
    <comment ref="D27" authorId="0">
      <text>
        <r>
          <rPr>
            <sz val="9"/>
            <color indexed="81"/>
            <rFont val="宋体"/>
            <family val="2"/>
          </rPr>
          <t>#Input("炼化公司_航煤装置处理量_月计划_榆炼",":key{{dw}}")</t>
        </r>
      </text>
    </comment>
    <comment ref="G2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#Input("炼化公司生产月报1_装置加工量_航煤装置处理量_年计划_榆炼",":key{{dw}}")
</t>
        </r>
      </text>
    </comment>
    <comment ref="D28" authorId="0">
      <text>
        <r>
          <rPr>
            <sz val="9"/>
            <color indexed="81"/>
            <rFont val="宋体"/>
            <family val="2"/>
          </rPr>
          <t>#Input("炼化公司_烷基化装置处理量_月计划_榆炼",":key{{dw}}")</t>
        </r>
      </text>
    </comment>
    <comment ref="G2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#Input("炼化公司生产月报1_装置加工量_烷基化装置处理量_年计划_榆炼",":key{{dw}}")
</t>
        </r>
      </text>
    </comment>
    <comment ref="J2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#Input("炼化公司生产月报1_去年同期_本月_烷基化装置处理量_榆炼",":key{{dw}}")</t>
        </r>
      </text>
    </comment>
    <comment ref="K2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#Input("炼化公司生产月报1_去年同期_本年_烷基化装置处理量_榆炼",":key{{dw}}")</t>
        </r>
      </text>
    </comment>
    <comment ref="D29" authorId="0">
      <text>
        <r>
          <rPr>
            <sz val="9"/>
            <color indexed="81"/>
            <rFont val="宋体"/>
            <family val="2"/>
          </rPr>
          <t>#Input("炼化公司_混合脱氢装置处理量_月计划_榆炼",":key{{dw}}")</t>
        </r>
      </text>
    </comment>
    <comment ref="G2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#Input("炼化公司生产月报1_装置加工量_混合脱氢处理量_年计划_榆炼",":key{{dw}}")
</t>
        </r>
      </text>
    </comment>
    <comment ref="J2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#Input("炼化公司生产月报1_去年同期_本月_混合脱氢装置处理量_榆炼",":key{{dw}}")</t>
        </r>
      </text>
    </comment>
    <comment ref="K2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#Input("炼化公司生产月报1_去年同期_本年_混合脱氢装置处理量_榆炼",":key{{dw}}")</t>
        </r>
      </text>
    </comment>
    <comment ref="D31" authorId="0">
      <text>
        <r>
          <rPr>
            <sz val="9"/>
            <color indexed="81"/>
            <rFont val="宋体"/>
            <family val="2"/>
          </rPr>
          <t>#Input("炼化公司_汽油产量_月计划_榆炼",":key{{dw}}")</t>
        </r>
      </text>
    </comment>
    <comment ref="G3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#Input("炼化公司生产月报1_油气产品产销量_汽油产量_年计划_榆炼",":key{{dw}}")
</t>
        </r>
      </text>
    </comment>
    <comment ref="J3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#Input("炼化公司生产月报1_去年同期_本月_汽油产量_榆炼",":key{{dw}}")</t>
        </r>
      </text>
    </comment>
    <comment ref="K3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#Input("炼化公司生产月报1_去年同期_本年_汽油产量_榆炼",":key{{dw}}")</t>
        </r>
      </text>
    </comment>
    <comment ref="M31" authorId="0">
      <text>
        <r>
          <rPr>
            <b/>
            <sz val="9"/>
            <color indexed="81"/>
            <rFont val="宋体"/>
            <family val="2"/>
          </rPr>
          <t>#Input("炼化公司生产月报1_油气产品产销量_汽油产量_榆炼_月完成",":key{{dw}}",":read")</t>
        </r>
      </text>
    </comment>
    <comment ref="N31" authorId="0">
      <text>
        <r>
          <rPr>
            <b/>
            <sz val="9"/>
            <color indexed="81"/>
            <rFont val="宋体"/>
            <family val="2"/>
          </rPr>
          <t>#Input("炼化公司生产月报1_油气产品产销量_汽油产量_榆炼_年完成",":key{{dw}}",":read")</t>
        </r>
      </text>
    </comment>
    <comment ref="D32" authorId="0">
      <text>
        <r>
          <rPr>
            <sz val="9"/>
            <color indexed="81"/>
            <rFont val="宋体"/>
            <family val="2"/>
          </rPr>
          <t>#Input("炼化公司_92#_月计划_榆炼",":key{{dw}}")</t>
        </r>
      </text>
    </comment>
    <comment ref="G32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#Input("炼化公司生产月报1_油气产品产销量_汽油产量_92#VI_年计划_榆炼",":key{{dw}}")
</t>
        </r>
      </text>
    </comment>
    <comment ref="J3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#Input("炼化公司生产月报1_去年同期_本月_92#VI_榆炼",":key{{dw}}")</t>
        </r>
      </text>
    </comment>
    <comment ref="K3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#Input("炼化公司生产月报1_去年同期_本年_92#VI_榆炼",":key{{dw}}")</t>
        </r>
      </text>
    </comment>
    <comment ref="D33" authorId="0">
      <text>
        <r>
          <rPr>
            <sz val="9"/>
            <color indexed="81"/>
            <rFont val="宋体"/>
            <family val="2"/>
          </rPr>
          <t>#Input("炼化公司_95#_月计划_榆炼",":key{{dw}}")</t>
        </r>
      </text>
    </comment>
    <comment ref="G33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#Input("炼化公司生产月报1_油气产品产销量_汽油产量_95#VI_年计划_榆炼",":key{{dw}}")
</t>
        </r>
      </text>
    </comment>
    <comment ref="J3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#Input("炼化公司生产月报1_去年同期_本月_95#VI_榆炼",":key{{dw}}")</t>
        </r>
      </text>
    </comment>
    <comment ref="K3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#Input("炼化公司生产月报1_去年同期_本年_95#VI_榆炼",":key{{dw}}")</t>
        </r>
      </text>
    </comment>
    <comment ref="D34" authorId="0">
      <text>
        <r>
          <rPr>
            <sz val="9"/>
            <color indexed="81"/>
            <rFont val="宋体"/>
            <family val="2"/>
          </rPr>
          <t>#Input("炼化公司_98#_月计划_榆炼",":key{{dw}}")</t>
        </r>
      </text>
    </comment>
    <comment ref="G34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#Input("炼化公司生产月报1_油气产品产销量_汽油产量_98#VI_年计划_榆炼",":key{{dw}}")</t>
        </r>
      </text>
    </comment>
    <comment ref="J3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#Input("炼化公司生产月报1_去年同期_本月_98#Ⅵ_榆炼",":key{{dw}}")</t>
        </r>
      </text>
    </comment>
    <comment ref="K3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#Input("炼化公司生产月报1_去年同期_本年_98#Ⅵ_榆炼",":key{{dw}}")</t>
        </r>
      </text>
    </comment>
    <comment ref="D35" authorId="0">
      <text>
        <r>
          <rPr>
            <sz val="9"/>
            <color indexed="81"/>
            <rFont val="宋体"/>
            <family val="2"/>
          </rPr>
          <t>#Input("炼化公司_柴油产量_月计划_榆炼",":key{{dw}}")</t>
        </r>
      </text>
    </comment>
    <comment ref="G35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#Input("炼化公司生产月报1_油气产品产销量_柴油产量_年计划_榆炼",":key{{dw}}")</t>
        </r>
      </text>
    </comment>
    <comment ref="J3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#Input("炼化公司生产月报1_去年同期_本月_柴油产量_榆炼",":key{{dw}}")</t>
        </r>
      </text>
    </comment>
    <comment ref="K3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#Input("炼化公司生产月报1_去年同期_本年_柴油产量_榆炼",":key{{dw}}")</t>
        </r>
      </text>
    </comment>
    <comment ref="M35" authorId="0">
      <text>
        <r>
          <rPr>
            <b/>
            <sz val="9"/>
            <color indexed="81"/>
            <rFont val="宋体"/>
            <family val="2"/>
          </rPr>
          <t>#Input("炼化公司生产月报1_油气产品产销量_柴油产量_榆炼_月完成",":key{{dw}}",":read")</t>
        </r>
      </text>
    </comment>
    <comment ref="N35" authorId="0">
      <text>
        <r>
          <rPr>
            <b/>
            <sz val="9"/>
            <color indexed="81"/>
            <rFont val="宋体"/>
            <family val="2"/>
          </rPr>
          <t>#Input("炼化公司生产月报1_油气产品产销量_柴油产量_榆炼_年完成",":key{{dw}}",":read")</t>
        </r>
      </text>
    </comment>
    <comment ref="D36" authorId="0">
      <text>
        <r>
          <rPr>
            <sz val="9"/>
            <color indexed="81"/>
            <rFont val="宋体"/>
            <family val="2"/>
          </rPr>
          <t>#Input("炼化公司_军用柴油量_月计划_榆炼",":key{{dw}}")</t>
        </r>
      </text>
    </comment>
    <comment ref="G36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#Input("炼化公司生产月报1_油气产品产销量_柴油产量_军用柴油_年计划_榆炼",":key{{dw}}")</t>
        </r>
      </text>
    </comment>
    <comment ref="J3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#Input("炼化公司生产月报1_去年同期_本月_军用柴油_榆炼",":key{{dw}}")</t>
        </r>
      </text>
    </comment>
    <comment ref="K3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#Input("炼化公司生产月报1_去年同期_本年_军用柴油_榆炼",":key{{dw}}")</t>
        </r>
      </text>
    </comment>
    <comment ref="D37" authorId="0">
      <text>
        <r>
          <rPr>
            <sz val="9"/>
            <color indexed="81"/>
            <rFont val="宋体"/>
            <family val="2"/>
          </rPr>
          <t>#Input("炼化公司_0#_月计划_榆炼",":key{{dw}}")</t>
        </r>
      </text>
    </comment>
    <comment ref="G37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#Input("炼化公司生产月报1_油气产品产销量_柴油产量_0#VI_年计划_榆炼",":key{{dw}}")</t>
        </r>
      </text>
    </comment>
    <comment ref="J3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#Input("炼化公司生产月报1_去年同期_本月_0#VI_榆炼",":key{{dw}}")</t>
        </r>
      </text>
    </comment>
    <comment ref="K3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#Input("炼化公司生产月报1_去年同期_本年_0#VI_榆炼",":key{{dw}}")</t>
        </r>
      </text>
    </comment>
    <comment ref="D38" authorId="0">
      <text>
        <r>
          <rPr>
            <sz val="9"/>
            <color indexed="81"/>
            <rFont val="宋体"/>
            <family val="2"/>
          </rPr>
          <t>#Input("炼化公司_-10#_月计划_榆炼",":key{{dw}}")</t>
        </r>
      </text>
    </comment>
    <comment ref="G38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#Input("炼化公司生产月报1_油气产品产销量_柴油产量_10#VI_年计划_榆炼",":key{{dw}}")</t>
        </r>
      </text>
    </comment>
    <comment ref="J3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#Input("炼化公司生产月报1_去年同期_本月_-10#VI_榆炼",":key{{dw}}")</t>
        </r>
      </text>
    </comment>
    <comment ref="K3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#Input("炼化公司生产月报1_去年同期_本年_-10#VI_榆炼",":key{{dw}}")</t>
        </r>
      </text>
    </comment>
    <comment ref="D39" authorId="0">
      <text>
        <r>
          <rPr>
            <sz val="9"/>
            <color indexed="81"/>
            <rFont val="宋体"/>
            <family val="2"/>
          </rPr>
          <t>#Input("炼化公司_-20#_月计划_榆炼",":key{{dw}}")</t>
        </r>
      </text>
    </comment>
    <comment ref="G39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#Input("炼化公司生产月报1_油气产品产销量_柴油产量_20#VI_年计划_榆炼",":key{{dw}}")</t>
        </r>
      </text>
    </comment>
    <comment ref="J3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#Input("炼化公司生产月报1_去年同期_本月_-20#VI_榆炼",":key{{dw}}")</t>
        </r>
      </text>
    </comment>
    <comment ref="K3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#Input("炼化公司生产月报1_去年同期_本年_-20#VI_榆炼",":key{{dw}}")</t>
        </r>
      </text>
    </comment>
    <comment ref="D40" authorId="0">
      <text>
        <r>
          <rPr>
            <sz val="9"/>
            <color indexed="81"/>
            <rFont val="宋体"/>
            <family val="2"/>
          </rPr>
          <t>#Input("炼化公司_-35#_月计划_榆炼",":key{{dw}}")</t>
        </r>
      </text>
    </comment>
    <comment ref="G4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#Input("炼化公司生产月报1_油气产品产销量_柴油产量_35#VI_年计划_榆炼",":key{{dw}}")
</t>
        </r>
      </text>
    </comment>
    <comment ref="J4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#Input("炼化公司生产月报1_去年同期_本月_-35#VI_榆炼",":key{{dw}}")</t>
        </r>
      </text>
    </comment>
    <comment ref="K4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#Input("炼化公司生产月报1_去年同期_本年_-35#VI_榆炼",":key{{dw}}")</t>
        </r>
      </text>
    </comment>
    <comment ref="D41" authorId="0">
      <text>
        <r>
          <rPr>
            <sz val="9"/>
            <color indexed="81"/>
            <rFont val="宋体"/>
            <family val="2"/>
          </rPr>
          <t>#Input("炼化公司_3#喷气燃料销量_月计划_榆炼",":key{{dw}}")</t>
        </r>
      </text>
    </comment>
    <comment ref="G4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#Input("炼化公司生产月报1_油气产品产销量_3#喷气燃料销量（航煤)_年计划_榆炼",":key{{dw}}")
</t>
        </r>
      </text>
    </comment>
    <comment ref="J4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#Input("炼化公司生产月报1_去年同期_本月_3#喷气燃料销量（航煤）_榆炼",":key{{dw}}")</t>
        </r>
      </text>
    </comment>
    <comment ref="K4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#Input("炼化公司生产月报1_去年同期_本年_3#喷气燃料销量（航煤）_榆炼",":key{{dw}}")</t>
        </r>
      </text>
    </comment>
    <comment ref="D42" authorId="0">
      <text>
        <r>
          <rPr>
            <sz val="9"/>
            <color indexed="81"/>
            <rFont val="宋体"/>
            <family val="2"/>
          </rPr>
          <t>#Input("炼化公司_石脑油销售量_月计划_榆炼",":key{{dw}}")</t>
        </r>
      </text>
    </comment>
    <comment ref="G42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#Input("炼化公司生产月报1_油气产品产销量_石脑油销售量_年计划_榆炼",":key{{dw}}")</t>
        </r>
      </text>
    </comment>
    <comment ref="J4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#Input("炼化公司生产月报1_去年同期_本月_石脑油销售量_榆炼",":key{{dw}}")</t>
        </r>
      </text>
    </comment>
    <comment ref="K4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#Input("炼化公司生产月报1_去年同期_本年_石脑油销售量_榆炼",":key{{dw}}")</t>
        </r>
      </text>
    </comment>
    <comment ref="D43" authorId="0">
      <text>
        <r>
          <rPr>
            <sz val="9"/>
            <color indexed="81"/>
            <rFont val="宋体"/>
            <family val="2"/>
          </rPr>
          <t>#Input("炼化公司_石脑油Ⅰ_月计划_榆炼",":key{{dw}}")</t>
        </r>
      </text>
    </comment>
    <comment ref="G43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#Input("炼化公司生产月报1_油气产品产销量_石脑油销售量_石脑油1_年计划_榆炼",":key{{dw}}")
</t>
        </r>
      </text>
    </comment>
    <comment ref="J4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#Input("炼化公司生产月报1_去年同期_本月_石脑油Ⅰ_榆炼",":key{{dw}}")</t>
        </r>
      </text>
    </comment>
    <comment ref="K4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#Input("炼化公司生产月报1_去年同期_本年_石脑油Ⅰ_榆炼",":key{{dw}}")</t>
        </r>
      </text>
    </comment>
    <comment ref="D44" authorId="0">
      <text>
        <r>
          <rPr>
            <sz val="9"/>
            <color indexed="81"/>
            <rFont val="宋体"/>
            <family val="2"/>
          </rPr>
          <t>#Input("炼化公司_石脑油Ⅱ_月计划_榆炼",":key{{dw}}")</t>
        </r>
      </text>
    </comment>
    <comment ref="G44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#Input("炼化公司生产月报1_油气产品产销量_石脑油销售量_石脑油2_年计划_榆炼",":key{{dw}}")</t>
        </r>
      </text>
    </comment>
    <comment ref="J4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#Input("炼化公司生产月报1_去年同期_本月_石脑油Ⅱ_榆炼",":key{{dw}}")</t>
        </r>
      </text>
    </comment>
    <comment ref="K4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#Input("炼化公司生产月报1_去年同期_本年_石脑油Ⅱ_榆炼",":key{{dw}}")</t>
        </r>
      </text>
    </comment>
    <comment ref="D45" authorId="0">
      <text>
        <r>
          <rPr>
            <sz val="9"/>
            <color indexed="81"/>
            <rFont val="宋体"/>
            <family val="2"/>
          </rPr>
          <t>#Input("炼化公司_石脑油Ⅲ_月计划_榆炼",":key{{dw}}")</t>
        </r>
      </text>
    </comment>
    <comment ref="G45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#Input("炼化公司生产月报1_油气产品产销量_石脑油销售量_石脑油3_年计划_榆炼",":key{{dw}}")
</t>
        </r>
      </text>
    </comment>
    <comment ref="J4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#Input("炼化公司生产月报1_去年同期_本月_石脑油Ⅲ_榆炼",":key{{dw}}")</t>
        </r>
      </text>
    </comment>
    <comment ref="K4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#Input("炼化公司生产月报1_去年同期_本年_石脑油Ⅲ_榆炼",":key{{dw}}")</t>
        </r>
      </text>
    </comment>
    <comment ref="D46" authorId="0">
      <text>
        <r>
          <rPr>
            <sz val="9"/>
            <color indexed="81"/>
            <rFont val="宋体"/>
            <family val="2"/>
          </rPr>
          <t>#Input("炼化公司_液化气销量_月计划_榆炼",":key{{dw}}")</t>
        </r>
      </text>
    </comment>
    <comment ref="G46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#Input("炼化公司生产月报1_油气产品产销量_液化气销量_年计划_榆炼",":key{{dw}}")
</t>
        </r>
      </text>
    </comment>
    <comment ref="J4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#Input("炼化公司生产月报1_去年同期_本月_液化气销量_榆炼",":key{{dw}}")</t>
        </r>
      </text>
    </comment>
    <comment ref="K4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#Input("炼化公司生产月报1_去年同期_本年_液化气销量_榆炼",":key{{dw}}")</t>
        </r>
      </text>
    </comment>
    <comment ref="D47" authorId="0">
      <text>
        <r>
          <rPr>
            <sz val="9"/>
            <color indexed="81"/>
            <rFont val="宋体"/>
            <family val="2"/>
          </rPr>
          <t>#Input("炼化公司_催化液化气_月计划_榆炼",":key{{dw}}")</t>
        </r>
      </text>
    </comment>
    <comment ref="G47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#Input("炼化公司生产月报1_油气产品产销量_液化气销量_催化液化气_年计划_榆炼",":key{{dw}}")</t>
        </r>
      </text>
    </comment>
    <comment ref="J4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#Input("炼化公司生产月报1_去年同期_本月_催化液化气_榆炼",":key{{dw}}")</t>
        </r>
      </text>
    </comment>
    <comment ref="K4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#Input("炼化公司生产月报1_去年同期_本年_催化液化气_榆炼",":key{{dw}}")</t>
        </r>
      </text>
    </comment>
    <comment ref="D48" authorId="0">
      <text>
        <r>
          <rPr>
            <sz val="9"/>
            <color indexed="81"/>
            <rFont val="宋体"/>
            <family val="2"/>
          </rPr>
          <t>#Input("炼化公司_醚后碳四_月计划_榆炼",":key{{dw}}")</t>
        </r>
      </text>
    </comment>
    <comment ref="G48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#Input("炼化公司生产月报1_油气产品产销量_液化气销量_醚后碳四_年计划_榆炼",":key{{dw}}")
</t>
        </r>
      </text>
    </comment>
    <comment ref="J4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#Input("炼化公司生产月报1_去年同期_本月_醚后碳四_榆炼",":key{{dw}}")</t>
        </r>
      </text>
    </comment>
    <comment ref="K4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#Input("炼化公司生产月报1_去年同期_本年_醚后碳四_榆炼",":key{{dw}}")</t>
        </r>
      </text>
    </comment>
    <comment ref="D49" authorId="0">
      <text>
        <r>
          <rPr>
            <sz val="9"/>
            <color indexed="81"/>
            <rFont val="宋体"/>
            <family val="2"/>
          </rPr>
          <t>#Input("炼化公司_民用液化气_月计划_榆炼",":key{{dw}}")</t>
        </r>
      </text>
    </comment>
    <comment ref="G49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#Input("炼化公司生产月报1_油气产品产销量_液化气销量_民用液化气_年计划_榆炼",":key{{dw}}")
</t>
        </r>
      </text>
    </comment>
    <comment ref="J4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#Input("炼化公司生产月报1_去年同期_本月_民用液化气_榆炼",":key{{dw}}")</t>
        </r>
      </text>
    </comment>
    <comment ref="K4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#Input("炼化公司生产月报1_去年同期_本年_民用液化气_榆炼",":key{{dw}}")</t>
        </r>
      </text>
    </comment>
    <comment ref="D50" authorId="0">
      <text>
        <r>
          <rPr>
            <sz val="9"/>
            <color indexed="81"/>
            <rFont val="宋体"/>
            <family val="2"/>
          </rPr>
          <t>#Input("炼化公司_正丁烷_月计划_榆炼",":key{{dw}}")</t>
        </r>
      </text>
    </comment>
    <comment ref="G5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#Input("炼化公司生产月报1_油气产品产销量_液化气销量_正丁烷_年计划_榆炼",":key{{dw}}")
</t>
        </r>
      </text>
    </comment>
    <comment ref="J5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#Input("炼化公司生产月报1_去年同期_本月_正丁烷_榆炼",":key{{dw}}")</t>
        </r>
      </text>
    </comment>
    <comment ref="K5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#Input("炼化公司生产月报1_去年同期_本年_正丁烷_榆炼",":key{{dw}}")</t>
        </r>
      </text>
    </comment>
    <comment ref="D51" authorId="0">
      <text>
        <r>
          <rPr>
            <sz val="9"/>
            <color indexed="81"/>
            <rFont val="宋体"/>
            <family val="2"/>
          </rPr>
          <t>#Input("炼化公司_1#渣油销量_月计划_榆炼",":key{{dw}}")</t>
        </r>
      </text>
    </comment>
    <comment ref="G5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#Input("炼化公司生产月报1_油气产品产销量_1#渣油销量_年计划_榆炼",":key{{dw}}")
</t>
        </r>
      </text>
    </comment>
    <comment ref="J5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#Input("炼化公司生产月报1_去年同期_本月_1#渣油销量（供榆能化）_榆炼",":key{{dw}}")</t>
        </r>
      </text>
    </comment>
    <comment ref="K5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#Input("炼化公司生产月报1_去年同期_本年_1#渣油销量（供榆能化）_榆炼",":key{{dw}}")</t>
        </r>
      </text>
    </comment>
    <comment ref="D52" authorId="0">
      <text>
        <r>
          <rPr>
            <sz val="9"/>
            <color indexed="81"/>
            <rFont val="宋体"/>
            <family val="2"/>
          </rPr>
          <t>#Input("炼化公司_2#渣油销量_月计划_榆炼",":key{{dw}}")</t>
        </r>
      </text>
    </comment>
    <comment ref="G52" authorId="0">
      <text>
        <r>
          <rPr>
            <sz val="9"/>
            <color indexed="81"/>
            <rFont val="宋体"/>
            <family val="2"/>
          </rPr>
          <t>#Input("炼化公司生产月报1_油气产品产销量_2#渣油销量_年计划_榆炼",":key{{dw}}")</t>
        </r>
      </text>
    </comment>
    <comment ref="J5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#Input("炼化公司生产月报1_去年同期_本月_2#渣油销量_榆炼",":key{{dw}}")</t>
        </r>
      </text>
    </comment>
    <comment ref="K5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#Input("炼化公司生产月报1_去年同期_本年_2#渣油销量_榆炼",":key{{dw}}")</t>
        </r>
      </text>
    </comment>
    <comment ref="D53" authorId="0">
      <text>
        <r>
          <rPr>
            <sz val="9"/>
            <color indexed="81"/>
            <rFont val="宋体"/>
            <family val="2"/>
          </rPr>
          <t>#Input("炼化公司_聚丙烯产量_月计划_榆炼",":key{{dw}}")</t>
        </r>
      </text>
    </comment>
    <comment ref="G53" authorId="0">
      <text>
        <r>
          <rPr>
            <sz val="9"/>
            <color indexed="81"/>
            <rFont val="宋体"/>
            <family val="2"/>
          </rPr>
          <t>#Input("炼化公司生产月报1_油气产品产销量_聚丙烯产量_年计划_榆炼",":key{{dw}}")</t>
        </r>
      </text>
    </comment>
    <comment ref="J5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#Input("炼化公司生产月报1_去年同期_本月_聚丙烯产量_榆炼",":key{{dw}}")</t>
        </r>
      </text>
    </comment>
    <comment ref="K5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#Input("炼化公司生产月报1_去年同期_本年_聚丙烯产量_榆炼",":key{{dw}}")</t>
        </r>
      </text>
    </comment>
    <comment ref="D54" authorId="0">
      <text>
        <r>
          <rPr>
            <sz val="9"/>
            <color indexed="81"/>
            <rFont val="宋体"/>
            <family val="2"/>
          </rPr>
          <t>#Input("炼化公司_苯乙烯产量_月计划_榆炼",":key{{dw}}")</t>
        </r>
      </text>
    </comment>
    <comment ref="G54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#Input("炼化公司生产月报1_油气产品产销量_苯乙烯产量_年计划_榆炼",":key{{dw}}")
</t>
        </r>
      </text>
    </comment>
    <comment ref="J5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#Input("炼化公司生产月报1_去年同期_本月_苯乙烯产量_榆炼",":key{{dw}}")</t>
        </r>
      </text>
    </comment>
    <comment ref="K5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#Input("炼化公司生产月报1_去年同期_本年_苯乙烯产量_榆炼",":key{{dw}}")</t>
        </r>
      </text>
    </comment>
    <comment ref="D55" authorId="0">
      <text>
        <r>
          <rPr>
            <sz val="9"/>
            <color indexed="81"/>
            <rFont val="宋体"/>
            <family val="2"/>
          </rPr>
          <t>#Input("炼化公司_苯销量_月计划_榆炼",":key{{dw}}")</t>
        </r>
      </text>
    </comment>
    <comment ref="G55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#Input("炼化公司生产月报1_油气产品产销量_苯销量_年计划_榆炼",":key{{dw}}")
</t>
        </r>
      </text>
    </comment>
    <comment ref="J5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#Input("炼化公司生产月报1_去年同期_本月_苯销量_榆炼",":key{{dw}}")</t>
        </r>
      </text>
    </comment>
    <comment ref="K5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#Input("炼化公司生产月报1_去年同期_本年_苯销量_榆炼",":key{{dw}}")</t>
        </r>
      </text>
    </comment>
    <comment ref="D56" authorId="0">
      <text>
        <r>
          <rPr>
            <sz val="9"/>
            <color indexed="81"/>
            <rFont val="宋体"/>
            <family val="2"/>
          </rPr>
          <t>#Input("炼化公司_二甲苯销量_月计划_榆炼",":key{{dw}}")</t>
        </r>
      </text>
    </comment>
    <comment ref="G56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#Input("炼化公司生产月报1_油气产品产销量_二甲苯销量_年计划_榆炼",":key{{dw}}")
</t>
        </r>
      </text>
    </comment>
    <comment ref="J5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#Input("炼化公司生产月报1_去年同期_本月_二甲苯销量_榆炼",":key{{dw}}")</t>
        </r>
      </text>
    </comment>
    <comment ref="K5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#Input("炼化公司生产月报1_去年同期_本年_二甲苯销量_榆炼",":key{{dw}}")</t>
        </r>
      </text>
    </comment>
    <comment ref="D57" authorId="0">
      <text>
        <r>
          <rPr>
            <sz val="9"/>
            <color indexed="81"/>
            <rFont val="宋体"/>
            <family val="2"/>
          </rPr>
          <t>#Input("炼化公司_醋酸仲丁酯产量_月计划_榆炼",":key{{dw}}")</t>
        </r>
      </text>
    </comment>
    <comment ref="G57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#Input("炼化公司生产月报1_油气产品产销量_醋酸仲丁酯产量_年计划_榆炼",":key{{dw}}")
</t>
        </r>
      </text>
    </comment>
    <comment ref="J5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#Input("炼化公司生产月报1_去年同期_本月_醋酸仲丁酯产量_榆炼",":key{{dw}}")</t>
        </r>
      </text>
    </comment>
    <comment ref="K5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#Input("炼化公司生产月报1_去年同期_本年_醋酸仲丁酯产量_榆炼",":key{{dw}}")</t>
        </r>
      </text>
    </comment>
    <comment ref="D58" authorId="0">
      <text>
        <r>
          <rPr>
            <sz val="9"/>
            <color indexed="81"/>
            <rFont val="宋体"/>
            <family val="2"/>
          </rPr>
          <t>#Input("炼化公司_精制硫磺销量_月计划_榆炼",":key{{dw}}")</t>
        </r>
      </text>
    </comment>
    <comment ref="G58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#Input("炼化公司生产月报1_油气产品产销量_精制硫磺销量_年计划_榆炼",":key{{dw}}")
</t>
        </r>
      </text>
    </comment>
    <comment ref="J5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#Input("炼化公司生产月报1_去年同期_本月_精制硫磺销量_榆炼",":key{{dw}}")</t>
        </r>
      </text>
    </comment>
    <comment ref="K5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#Input("炼化公司生产月报1_去年同期_本年_精制硫磺销量_榆炼",":key{{dw}}")</t>
        </r>
      </text>
    </comment>
    <comment ref="D59" authorId="0">
      <text>
        <r>
          <rPr>
            <sz val="9"/>
            <color indexed="81"/>
            <rFont val="宋体"/>
            <family val="2"/>
          </rPr>
          <t>#Input("炼化公司_粗硫磺销量_月计划_榆炼",":key{{dw}}")</t>
        </r>
      </text>
    </comment>
    <comment ref="G59" authorId="0">
      <text>
        <r>
          <rPr>
            <sz val="9"/>
            <color indexed="81"/>
            <rFont val="宋体"/>
            <family val="2"/>
          </rPr>
          <t>#Input("炼化公司生产月报1_油气产品产销量_粗硫磺销量_年计划_榆炼",":key{{dw}}")</t>
        </r>
      </text>
    </comment>
    <comment ref="J5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#Input("炼化公司生产月报1_去年同期_本月_粗硫磺销量_榆炼",":key{{dw}}")</t>
        </r>
      </text>
    </comment>
    <comment ref="K5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#Input("炼化公司生产月报1_去年同期_本年_粗硫磺销量_榆炼",":key{{dw}}")</t>
        </r>
      </text>
    </comment>
    <comment ref="D60" authorId="0">
      <text>
        <r>
          <rPr>
            <sz val="9"/>
            <color indexed="81"/>
            <rFont val="宋体"/>
            <family val="2"/>
          </rPr>
          <t>#Input("炼化公司_丙烯销量_月计划_榆炼",":key{{dw}}")</t>
        </r>
      </text>
    </comment>
    <comment ref="G6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#Input("炼化公司生产月报1_油气产品产销量_丙烯销量_年计划_榆炼",":key{{dw}}")
</t>
        </r>
      </text>
    </comment>
    <comment ref="J6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#Input("炼化公司生产月报1_去年同期_本月_丙烯销量_榆炼",":key{{dw}}")</t>
        </r>
      </text>
    </comment>
    <comment ref="K6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#Input("炼化公司生产月报1_去年同期_本年_丙烯销量_榆炼",":key{{dw}}")</t>
        </r>
      </text>
    </comment>
    <comment ref="D61" authorId="0">
      <text>
        <r>
          <rPr>
            <sz val="9"/>
            <color indexed="81"/>
            <rFont val="宋体"/>
            <family val="2"/>
          </rPr>
          <t>#Input("炼化公司_硫酸铵销量_月计划_榆炼",":key{{dw}}")</t>
        </r>
      </text>
    </comment>
    <comment ref="G6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#Input("炼化公司生产月报1_油气产品产销量_硫酸铵销量_年计划_榆炼",":key{{dw}}")
</t>
        </r>
      </text>
    </comment>
    <comment ref="J6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#Input("炼化公司生产月报1_去年同期_本月_硫酸铵销量_榆炼",":key{{dw}}")</t>
        </r>
      </text>
    </comment>
    <comment ref="K6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#Input("炼化公司生产月报1_去年同期_本年_硫酸铵销量_榆炼",":key{{dw}}")</t>
        </r>
      </text>
    </comment>
    <comment ref="D62" authorId="0">
      <text>
        <r>
          <rPr>
            <sz val="9"/>
            <color indexed="81"/>
            <rFont val="宋体"/>
            <family val="2"/>
          </rPr>
          <t>#Input("炼化公司_异辛烷组分产量_月计划_榆炼",":key{{dw}}")</t>
        </r>
      </text>
    </comment>
    <comment ref="G62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#Input("炼化公司生产月报1_油气产品产销量_异辛烷组分产量_年计划_榆炼",":key{{dw}}")</t>
        </r>
      </text>
    </comment>
    <comment ref="J6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#Input("炼化公司生产月报1_去年同期_本月_异辛烷组分产量_榆炼",":key{{dw}}")</t>
        </r>
      </text>
    </comment>
    <comment ref="K6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#Input("炼化公司生产月报1_去年同期_本年_异辛烷组分产量_榆炼",":key{{dw}}")</t>
        </r>
      </text>
    </comment>
    <comment ref="D63" authorId="0">
      <text>
        <r>
          <rPr>
            <sz val="9"/>
            <color indexed="81"/>
            <rFont val="宋体"/>
            <family val="2"/>
          </rPr>
          <t>#Input("炼化公司_异辛烷组分销量_月计划_榆炼",":key{{dw}}")</t>
        </r>
      </text>
    </comment>
    <comment ref="G63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#Input("炼化公司生产月报1_油气产品产销量_异辛烷组分销量_年计划_榆炼",":key{{dw}}")</t>
        </r>
      </text>
    </comment>
    <comment ref="J6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#Input("炼化公司生产月报1_去年同期_本月_异辛烷组分销量_榆炼",":key{{dw}}")</t>
        </r>
      </text>
    </comment>
    <comment ref="K6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#Input("炼化公司生产月报1_去年同期_本年_异辛烷组分销量_榆炼",":key{{dw}}")</t>
        </r>
      </text>
    </comment>
    <comment ref="D64" authorId="0">
      <text>
        <r>
          <rPr>
            <sz val="9"/>
            <color indexed="81"/>
            <rFont val="宋体"/>
            <family val="2"/>
          </rPr>
          <t>#Input("炼化公司_MTBE产量_月计划_榆炼",":key{{dw}}")</t>
        </r>
      </text>
    </comment>
    <comment ref="G64" authorId="0">
      <text>
        <r>
          <rPr>
            <sz val="9"/>
            <color indexed="81"/>
            <rFont val="宋体"/>
            <family val="2"/>
          </rPr>
          <t>#Input("炼化公司生产月报1_油气产品产销量_MTBE产量_年计划_榆炼",":key{{dw}}")</t>
        </r>
      </text>
    </comment>
    <comment ref="J6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#Input("炼化公司生产月报1_去年同期_本月_MTBE产量_榆炼",":key{{dw}}")</t>
        </r>
      </text>
    </comment>
    <comment ref="K6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#Input("炼化公司生产月报1_去年同期_本年_MTBE产量_榆炼",":key{{dw}}")</t>
        </r>
      </text>
    </comment>
    <comment ref="D65" authorId="0">
      <text>
        <r>
          <rPr>
            <sz val="9"/>
            <color indexed="81"/>
            <rFont val="宋体"/>
            <family val="2"/>
          </rPr>
          <t>#Input("炼化公司_MTBE销量_月计划_榆炼",":key{{dw}}")</t>
        </r>
      </text>
    </comment>
    <comment ref="G65" authorId="0">
      <text>
        <r>
          <rPr>
            <sz val="9"/>
            <color indexed="81"/>
            <rFont val="宋体"/>
            <family val="2"/>
          </rPr>
          <t>#Input("炼化公司生产月报1_油气产品产销量_MTBE销量_年计划_榆炼",":key{{dw}}")</t>
        </r>
      </text>
    </comment>
    <comment ref="J6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#Input("炼化公司生产月报1_去年同期_本月_MTBE销量_榆炼",":key{{dw}}")</t>
        </r>
      </text>
    </comment>
    <comment ref="K6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#Input("炼化公司生产月报1_去年同期_本年_MTBE销量_榆炼",":key{{dw}}")</t>
        </r>
      </text>
    </comment>
    <comment ref="D66" authorId="0">
      <text>
        <r>
          <rPr>
            <sz val="9"/>
            <color indexed="81"/>
            <rFont val="宋体"/>
            <family val="2"/>
          </rPr>
          <t>#Input("炼化公司_液氨销量_月计划_榆炼",":key{{dw}}")</t>
        </r>
      </text>
    </comment>
    <comment ref="G66" authorId="0">
      <text>
        <r>
          <rPr>
            <sz val="9"/>
            <color indexed="81"/>
            <rFont val="宋体"/>
            <family val="2"/>
          </rPr>
          <t>#Input("炼化公司生产月报1_油气产品产销量_液氨销量_年计划_榆炼",":key{{dw}}")</t>
        </r>
      </text>
    </comment>
    <comment ref="J6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#Input("炼化公司生产月报1_去年同期_本月_液氨销量_榆炼",":key{{dw}}")</t>
        </r>
      </text>
    </comment>
    <comment ref="K6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#Input("炼化公司生产月报1_去年同期_本年_液氨销量_榆炼",":key{{dw}}")</t>
        </r>
      </text>
    </comment>
    <comment ref="D67" authorId="0">
      <text>
        <r>
          <rPr>
            <sz val="9"/>
            <color indexed="81"/>
            <rFont val="宋体"/>
            <family val="2"/>
          </rPr>
          <t>#Input("炼化公司_3#喷气燃料产量_月计划_榆炼",":key{{dw}}")</t>
        </r>
      </text>
    </comment>
    <comment ref="E67" authorId="0">
      <text>
        <r>
          <rPr>
            <sz val="9"/>
            <color indexed="81"/>
            <rFont val="宋体"/>
            <family val="2"/>
          </rPr>
          <t>#Input("炼化公司_月完成_3#喷气燃料产量_榆炼",":key{{dw}}")</t>
        </r>
      </text>
    </comment>
    <comment ref="G67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#Input("炼化公司生产月报1_油气产品产销量_3#喷气燃料产量_年计划_榆炼",":key{{dw}}")
</t>
        </r>
      </text>
    </comment>
    <comment ref="H67" authorId="0">
      <text>
        <r>
          <rPr>
            <sz val="9"/>
            <color indexed="81"/>
            <rFont val="宋体"/>
            <family val="2"/>
          </rPr>
          <t>#Input("炼化公司_年完成_3#喷气燃料产量_榆炼",":key{{dw}}")</t>
        </r>
      </text>
    </comment>
    <comment ref="J6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#Input("炼化公司生产月报1_去年同期_本月_3#喷气燃料产量_榆炼",":key{{dw}}")</t>
        </r>
      </text>
    </comment>
    <comment ref="K6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#Input("炼化公司生产月报1_去年同期_本年_3#喷气燃料产量_榆炼",":key{{dw}}")</t>
        </r>
      </text>
    </comment>
    <comment ref="D69" authorId="0">
      <text>
        <r>
          <rPr>
            <sz val="9"/>
            <color indexed="81"/>
            <rFont val="宋体"/>
            <family val="2"/>
          </rPr>
          <t>#Input("炼化公司_成品油产量_月计划_榆炼",":key{{dw}}")</t>
        </r>
      </text>
    </comment>
    <comment ref="G69" authorId="0">
      <text>
        <r>
          <rPr>
            <sz val="9"/>
            <color indexed="81"/>
            <rFont val="宋体"/>
            <family val="2"/>
          </rPr>
          <t xml:space="preserve">#Input("炼化公司生产月报1_综合指标_成品油产量(汽油+柴油+航煤)_年计划_榆炼",":key{{dw}}")
</t>
        </r>
      </text>
    </comment>
    <comment ref="J6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#Input("炼化公司生产月报1_去年同期_本月_成品油产量_榆炼",":key{{dw}}")</t>
        </r>
      </text>
    </comment>
    <comment ref="K6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#Input("炼化公司生产月报1_去年同期_本年_成品油产量_榆炼",":key{{dw}}")</t>
        </r>
      </text>
    </comment>
    <comment ref="D70" authorId="0">
      <text>
        <r>
          <rPr>
            <sz val="9"/>
            <color indexed="81"/>
            <rFont val="宋体"/>
            <family val="2"/>
          </rPr>
          <t>#Input("炼化公司_综合商品量_月计划_榆炼",":key{{dw}}")</t>
        </r>
      </text>
    </comment>
    <comment ref="G70" authorId="0">
      <text>
        <r>
          <rPr>
            <sz val="9"/>
            <color indexed="81"/>
            <rFont val="宋体"/>
            <family val="2"/>
          </rPr>
          <t>#Input("炼化公司生产月报1_综合指标_3#喷气燃料产量_年计划_榆炼",":key{{dw}}")</t>
        </r>
      </text>
    </comment>
    <comment ref="J7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#Input("炼化公司生产月报1_去年同期_本月_综合商品量_榆炼",":key{{dw}}")</t>
        </r>
      </text>
    </comment>
    <comment ref="K7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#Input("炼化公司生产月报1_去年同期_本年_综合商品量_榆炼",":key{{dw}}")</t>
        </r>
      </text>
    </comment>
    <comment ref="D71" authorId="0">
      <text>
        <r>
          <rPr>
            <sz val="9"/>
            <color indexed="81"/>
            <rFont val="宋体"/>
            <family val="2"/>
          </rPr>
          <t>#Input("炼化公司_综合商品率_月计划_榆炼",":key{{dw}}")</t>
        </r>
      </text>
    </comment>
    <comment ref="G71" authorId="0">
      <text>
        <r>
          <rPr>
            <sz val="9"/>
            <color indexed="81"/>
            <rFont val="宋体"/>
            <family val="2"/>
          </rPr>
          <t>#Input("炼化公司生产月报1_综合指标_综合商品量_年计划_榆炼",":key{{dw}}")</t>
        </r>
      </text>
    </comment>
    <comment ref="J7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#Input("炼化公司生产月报1_去年同期_本月_综合商品率_榆炼",":key{{dw}}")</t>
        </r>
      </text>
    </comment>
    <comment ref="K7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#Input("炼化公司生产月报1_去年同期_本年_综合商品率_榆炼",":key{{dw}}")</t>
        </r>
      </text>
    </comment>
    <comment ref="D72" authorId="0">
      <text>
        <r>
          <rPr>
            <sz val="9"/>
            <color indexed="81"/>
            <rFont val="宋体"/>
            <family val="2"/>
          </rPr>
          <t>#Input("炼化公司_综合自用率_月计划_榆炼",":key{{dw}}")</t>
        </r>
      </text>
    </comment>
    <comment ref="G72" authorId="0">
      <text>
        <r>
          <rPr>
            <sz val="9"/>
            <color indexed="81"/>
            <rFont val="宋体"/>
            <family val="2"/>
          </rPr>
          <t>#Input("炼化公司生产月报1_综合指标_综合自用率_年计划_榆炼",":key{{dw}}")</t>
        </r>
      </text>
    </comment>
    <comment ref="J7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#Input("炼化公司生产月报1_去年同期_本月_综合自用率_榆炼",":key{{dw}}")</t>
        </r>
      </text>
    </comment>
    <comment ref="K7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#Input("炼化公司生产月报1_去年同期_本年_综合自用率_榆炼",":key{{dw}}")</t>
        </r>
      </text>
    </comment>
    <comment ref="D73" authorId="0">
      <text>
        <r>
          <rPr>
            <sz val="9"/>
            <color indexed="81"/>
            <rFont val="宋体"/>
            <family val="2"/>
          </rPr>
          <t>#Input("炼化公司_综合加工损失率_月计划_榆炼",":key{{dw}}")</t>
        </r>
      </text>
    </comment>
    <comment ref="G73" authorId="0">
      <text>
        <r>
          <rPr>
            <sz val="9"/>
            <color indexed="81"/>
            <rFont val="宋体"/>
            <family val="2"/>
          </rPr>
          <t>#Input("炼化公司生产月报1_综合指标_综合加工损失率_年计划_榆炼",":key{{dw}}")</t>
        </r>
      </text>
    </comment>
    <comment ref="J7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#Input("炼化公司生产月报1_去年同期_本月_综合加工损失率_榆炼",":key{{dw}}")</t>
        </r>
      </text>
    </comment>
    <comment ref="K7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#Input("炼化公司生产月报1_去年同期_本年_综合加工损失率_榆炼",":key{{dw}}")</t>
        </r>
      </text>
    </comment>
    <comment ref="D74" authorId="0">
      <text>
        <r>
          <rPr>
            <sz val="9"/>
            <color indexed="81"/>
            <rFont val="宋体"/>
            <family val="2"/>
          </rPr>
          <t>#Input("炼化公司_炼油综合能耗_月计划_榆炼",":key{{dw}}")</t>
        </r>
      </text>
    </comment>
    <comment ref="G74" authorId="0">
      <text>
        <r>
          <rPr>
            <sz val="9"/>
            <color indexed="81"/>
            <rFont val="宋体"/>
            <family val="2"/>
          </rPr>
          <t>#Input("炼化公司生产月报1_综合指标_炼油综合能耗_年计划_榆炼",":key{{dw}}")</t>
        </r>
      </text>
    </comment>
    <comment ref="J7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#Input("炼化公司生产月报1_去年同期_本月_炼油综合能耗_榆炼",":key{{dw}}")</t>
        </r>
      </text>
    </comment>
    <comment ref="K7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#Input("炼化公司生产月报1_去年同期_本年_炼油综合能耗_榆炼",":key{{dw}}")</t>
        </r>
      </text>
    </comment>
    <comment ref="D75" authorId="0">
      <text>
        <r>
          <rPr>
            <sz val="9"/>
            <color indexed="81"/>
            <rFont val="宋体"/>
            <family val="2"/>
          </rPr>
          <t>#Input("炼化公司_丙烯单耗_月计划_榆炼",":key{{dw}}")</t>
        </r>
      </text>
    </comment>
    <comment ref="G75" authorId="0">
      <text>
        <r>
          <rPr>
            <sz val="9"/>
            <color indexed="81"/>
            <rFont val="宋体"/>
            <family val="2"/>
          </rPr>
          <t>#Input("炼化公司生产月报1_综合指标_丙烯单耗_年计划_榆炼",":key{{dw}}")</t>
        </r>
      </text>
    </comment>
    <comment ref="J7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#Input("炼化公司生产月报1_去年同期_本月_丙烯单耗_榆炼",":key{{dw}}")</t>
        </r>
      </text>
    </comment>
    <comment ref="K7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#Input("炼化公司生产月报1_去年同期_本年_丙烯单耗_榆炼",":key{{dw}}")</t>
        </r>
      </text>
    </comment>
    <comment ref="D76" authorId="0">
      <text>
        <r>
          <rPr>
            <sz val="9"/>
            <color indexed="81"/>
            <rFont val="宋体"/>
            <family val="2"/>
          </rPr>
          <t>#Input("炼化公司_石油产品出厂合格率_月计划_榆炼",":key{{dw}}")</t>
        </r>
      </text>
    </comment>
    <comment ref="G76" authorId="0">
      <text>
        <r>
          <rPr>
            <sz val="9"/>
            <color indexed="81"/>
            <rFont val="宋体"/>
            <family val="2"/>
          </rPr>
          <t>#Input("炼化公司生产月报1_综合指标_石油产品出厂合格率_年计划_榆炼",":key{{dw}}")</t>
        </r>
      </text>
    </comment>
    <comment ref="J7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#Input("炼化公司生产月报1_去年同期_本月_石油产品出厂合格率_榆炼",":key{{dw}}")</t>
        </r>
      </text>
    </comment>
    <comment ref="K7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#Input("炼化公司生产月报1_去年同期_本年_石油产品出厂合格率_榆炼",":key{{dw}}")</t>
        </r>
      </text>
    </comment>
    <comment ref="D78" authorId="0">
      <text>
        <r>
          <rPr>
            <sz val="9"/>
            <color indexed="81"/>
            <rFont val="宋体"/>
            <family val="2"/>
          </rPr>
          <t>#Input("炼化公司_常压装置轻质油收率_月计划_榆炼",":key{{dw}}")</t>
        </r>
      </text>
    </comment>
    <comment ref="G78" authorId="0">
      <text>
        <r>
          <rPr>
            <sz val="9"/>
            <color indexed="81"/>
            <rFont val="宋体"/>
            <family val="2"/>
          </rPr>
          <t>#Input("炼化公司生产月报1_装置收率_常压装置轻质油收率_年计划_榆炼",":key{{dw}}")</t>
        </r>
      </text>
    </comment>
    <comment ref="J7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#Input("炼化公司生产月报1_去年同期_本月_常压装置轻质油收率_榆炼",":key{{dw}}")</t>
        </r>
      </text>
    </comment>
    <comment ref="K7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#Input("炼化公司生产月报1_去年同期_本年_常压装置轻质油收率_榆炼",":key{{dw}}")</t>
        </r>
      </text>
    </comment>
    <comment ref="D79" authorId="0">
      <text>
        <r>
          <rPr>
            <sz val="9"/>
            <color indexed="81"/>
            <rFont val="宋体"/>
            <family val="2"/>
          </rPr>
          <t>#Input("炼化公司_催化装置汽柴液总收率_月计划_榆炼",":key{{dw}}")</t>
        </r>
      </text>
    </comment>
    <comment ref="G79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#Input("炼化公司生产月报1_装置收率_催化装置汽柴液总收率_年月完成_榆炼",":key{{dw}}")
</t>
        </r>
      </text>
    </comment>
    <comment ref="J7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#Input("炼化公司生产月报1_去年同期_本月_催化装置汽柴液总收率_榆炼",":key{{dw}}")</t>
        </r>
      </text>
    </comment>
    <comment ref="K7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#Input("炼化公司生产月报1_去年同期_本年_催化装置汽柴液总收率_榆炼",":key{{dw}}")</t>
        </r>
      </text>
    </comment>
    <comment ref="D80" authorId="0">
      <text>
        <r>
          <rPr>
            <sz val="9"/>
            <color indexed="81"/>
            <rFont val="宋体"/>
            <family val="2"/>
          </rPr>
          <t>#Input("炼化公司_催化装置轻质油收率_月计划_榆炼",":key{{dw}}")</t>
        </r>
      </text>
    </comment>
    <comment ref="G80" authorId="0">
      <text>
        <r>
          <rPr>
            <sz val="9"/>
            <color indexed="81"/>
            <rFont val="宋体"/>
            <family val="2"/>
          </rPr>
          <t xml:space="preserve">#Input("炼化公司_生产月报1_装置收率_催化装置轻质油收率_年计划_榆炼",":key{{dw}}")
</t>
        </r>
      </text>
    </comment>
    <comment ref="J8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#Input("炼化公司生产月报1_去年同期_本月_催化装置轻质油收率_榆炼",":key{{dw}}")</t>
        </r>
      </text>
    </comment>
    <comment ref="K8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#Input("炼化公司生产月报1_去年同期_本年_催化装置轻质油收率_榆炼",":key{{dw}}")</t>
        </r>
      </text>
    </comment>
    <comment ref="D81" authorId="0">
      <text>
        <r>
          <rPr>
            <sz val="9"/>
            <color indexed="81"/>
            <rFont val="宋体"/>
            <family val="2"/>
          </rPr>
          <t>#Input("炼化公司_催化装置液化气收率_月计划_榆炼",":key{{dw}}")</t>
        </r>
      </text>
    </comment>
    <comment ref="G81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#Input("炼化公司生产月报1_装置收率_催化装置液化气收率_年计划_榆炼",":key{{dw}}")
</t>
        </r>
      </text>
    </comment>
    <comment ref="J8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#Input("炼化公司生产月报1_去年同期_本月_催化装置液化气收率_榆炼",":key{{dw}}")</t>
        </r>
      </text>
    </comment>
    <comment ref="K8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#Input("炼化公司生产月报1_去年同期_本年_催化装置液化气收率_榆炼",":key{{dw}}")</t>
        </r>
      </text>
    </comment>
    <comment ref="D82" authorId="0">
      <text>
        <r>
          <rPr>
            <sz val="9"/>
            <color indexed="81"/>
            <rFont val="宋体"/>
            <family val="2"/>
          </rPr>
          <t>#Input("炼化公司_重整装置总收率_月计划_榆炼",":key{{dw}}")</t>
        </r>
      </text>
    </comment>
    <comment ref="G82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#Input("炼化公司生产月报1_装置收率_重整装置总收率_年计划_榆炼",":key{{dw}}")
</t>
        </r>
      </text>
    </comment>
    <comment ref="J8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#Input("炼化公司生产月报1_去年同期_本月_重整装置总收率_榆炼",":key{{dw}}")</t>
        </r>
      </text>
    </comment>
    <comment ref="K8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#Input("炼化公司生产月报1_去年同期_本年_重整装置总收率_榆炼",":key{{dw}}")</t>
        </r>
      </text>
    </comment>
    <comment ref="D83" authorId="0">
      <text>
        <r>
          <rPr>
            <sz val="9"/>
            <color indexed="81"/>
            <rFont val="宋体"/>
            <family val="2"/>
          </rPr>
          <t>#Input("炼化公司_气体分馏装置丙烯收率_月计划_榆炼",":key{{dw}}")</t>
        </r>
      </text>
    </comment>
    <comment ref="G83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#Input("炼化公司生产月报1_装置收率_气体分馏装置丙烯收率_年计划_榆炼",":key{{dw}}")
</t>
        </r>
      </text>
    </comment>
    <comment ref="J8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#Input("炼化公司生产月报1_去年同期_本月_气体分馏装置丙烯收率_榆炼",":key{{dw}}")</t>
        </r>
      </text>
    </comment>
    <comment ref="K8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#Input("炼化公司生产月报1_去年同期_本年_气体分馏装置丙烯收率_榆炼",":key{{dw}}")</t>
        </r>
      </text>
    </comment>
    <comment ref="D84" authorId="0">
      <text>
        <r>
          <rPr>
            <sz val="9"/>
            <color indexed="81"/>
            <rFont val="宋体"/>
            <family val="2"/>
          </rPr>
          <t>#Input("炼化公司_MTBE装置MTBE收率_月计划_榆炼",":key{{dw}}")</t>
        </r>
      </text>
    </comment>
    <comment ref="G84" authorId="0">
      <text>
        <r>
          <rPr>
            <sz val="9"/>
            <color indexed="81"/>
            <rFont val="宋体"/>
            <family val="2"/>
          </rPr>
          <t xml:space="preserve">#Input("炼化公司生产月报1_装置收率_MTBE装置MTBE收率_年计划_榆炼",":key{{dw}}")
</t>
        </r>
      </text>
    </comment>
    <comment ref="J8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#Input("炼化公司生产月报1_去年同期_本月_MTBE装置MTBE收率_榆炼",":key{{dw}}")</t>
        </r>
      </text>
    </comment>
    <comment ref="K8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#Input("炼化公司生产月报1_去年同期_本年_MTBE装置MTBE收率_榆炼",":key{{dw}}")</t>
        </r>
      </text>
    </comment>
    <comment ref="D85" authorId="0">
      <text>
        <r>
          <rPr>
            <sz val="9"/>
            <color indexed="81"/>
            <rFont val="宋体"/>
            <family val="2"/>
          </rPr>
          <t>#Input("炼化公司_醋酸仲丁酯收率_月计划_榆炼",":key{{dw}}")</t>
        </r>
      </text>
    </comment>
    <comment ref="G85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#Input("炼化公司生产月报1_装置收率_醋酸仲丁酯收率_年计划_榆炼",":key{{dw}}")
</t>
        </r>
      </text>
    </comment>
    <comment ref="J8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#Input("炼化公司生产月报1_去年同期_本月_醋酸仲丁酯收率_榆炼",":key{{dw}}")</t>
        </r>
      </text>
    </comment>
    <comment ref="K8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#Input("炼化公司生产月报1_去年同期_本年_醋酸仲丁酯收率_榆炼",":key{{dw}}")</t>
        </r>
      </text>
    </comment>
    <comment ref="D86" authorId="0">
      <text>
        <r>
          <rPr>
            <sz val="9"/>
            <color indexed="81"/>
            <rFont val="宋体"/>
            <family val="2"/>
          </rPr>
          <t>#Input("炼化公司_聚丙烯装置收率_月计划_榆炼",":key{{dw}}")</t>
        </r>
      </text>
    </comment>
    <comment ref="G86" authorId="0">
      <text>
        <r>
          <rPr>
            <sz val="9"/>
            <color indexed="81"/>
            <rFont val="宋体"/>
            <family val="2"/>
          </rPr>
          <t xml:space="preserve">#Input("炼化公司生产月报1_装置收率_聚丙烯装置收率_年计划_榆炼",":key{{dw}}")
</t>
        </r>
      </text>
    </comment>
    <comment ref="J8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#Input("炼化公司生产月报1_去年同期_本月_聚丙烯装置收率_榆炼",":key{{dw}}")</t>
        </r>
      </text>
    </comment>
    <comment ref="K8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#Input("炼化公司生产月报1_去年同期_本年_聚丙烯装置收率_榆炼",":key{{dw}}")</t>
        </r>
      </text>
    </comment>
    <comment ref="D87" authorId="0">
      <text>
        <r>
          <rPr>
            <sz val="9"/>
            <color indexed="81"/>
            <rFont val="宋体"/>
            <family val="2"/>
          </rPr>
          <t>#Input("炼化公司_汽油加氢精制总收率_月计划_榆炼",":key{{dw}}")</t>
        </r>
      </text>
    </comment>
    <comment ref="G87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#Input("炼化公司生产月报1_装置收率_汽油加氢精制总收率_年计划_榆炼",":key{{dw}}")
</t>
        </r>
      </text>
    </comment>
    <comment ref="J8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#Input("炼化公司生产月报1_去年同期_本月_汽油加氢精制总收率_榆炼",":key{{dw}}")</t>
        </r>
      </text>
    </comment>
    <comment ref="K8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#Input("炼化公司生产月报1_去年同期_本年_汽油加氢精制总收率_榆炼",":key{{dw}}")</t>
        </r>
      </text>
    </comment>
    <comment ref="D88" authorId="0">
      <text>
        <r>
          <rPr>
            <sz val="9"/>
            <color indexed="81"/>
            <rFont val="宋体"/>
            <family val="2"/>
          </rPr>
          <t>#Input("炼化公司_柴油加氢精制总收率_月计划_榆炼",":key{{dw}}")</t>
        </r>
      </text>
    </comment>
    <comment ref="G88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#Input("炼化公司生产月报1_装置收率_柴油加氢精制总收率_年计划_榆炼",":key{{dw}}")
</t>
        </r>
      </text>
    </comment>
    <comment ref="J8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#Input("炼化公司生产月报1_去年同期_本月_柴油加氢精制总收率_榆炼",":key{{dw}}")</t>
        </r>
      </text>
    </comment>
    <comment ref="K8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#Input("炼化公司生产月报1_去年同期_本年_柴油加氢精制总收率_榆炼",":key{{dw}}")</t>
        </r>
      </text>
    </comment>
    <comment ref="C90" authorId="0">
      <text>
        <r>
          <rPr>
            <sz val="9"/>
            <color indexed="81"/>
            <rFont val="宋体"/>
            <family val="2"/>
          </rPr>
          <t>#Input("炼化公司生产月报1_榆炼_备注_榆炼",":key{{dw}}")</t>
        </r>
      </text>
    </comment>
    <comment ref="C94" authorId="0">
      <text>
        <r>
          <rPr>
            <sz val="9"/>
            <color indexed="81"/>
            <rFont val="宋体"/>
            <family val="2"/>
          </rPr>
          <t>#Input("炼化公司生产月报1_炼化公司_主管领导榆炼_榆炼",":key{{dw}}")</t>
        </r>
      </text>
    </comment>
    <comment ref="F94" authorId="0">
      <text>
        <r>
          <rPr>
            <sz val="9"/>
            <color indexed="81"/>
            <rFont val="宋体"/>
            <family val="2"/>
          </rPr>
          <t>#Input("炼化公司生产月报1_部门负责人榆炼_榆炼",":key{{dw}}")</t>
        </r>
      </text>
    </comment>
    <comment ref="H94" authorId="0">
      <text>
        <r>
          <rPr>
            <sz val="9"/>
            <color indexed="81"/>
            <rFont val="宋体"/>
            <family val="2"/>
          </rPr>
          <t xml:space="preserve">#Input("炼化公司生产月报1_审核人榆炼_榆炼",":key{{dw}}")
</t>
        </r>
      </text>
    </comment>
    <comment ref="K94" authorId="0">
      <text>
        <r>
          <rPr>
            <sz val="9"/>
            <color indexed="81"/>
            <rFont val="宋体"/>
            <family val="2"/>
          </rPr>
          <t xml:space="preserve">#Input("炼化公司生产月报1_编制榆炼_榆炼",":key{{dw}}")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sz val="9"/>
            <color indexed="81"/>
            <rFont val="宋体"/>
            <family val="2"/>
          </rPr>
          <t>#Input("炼化公司生产月报1_装置加工量_原料加工量_月计划_石化",":key{{dw}}")</t>
        </r>
      </text>
    </comment>
    <comment ref="G6" authorId="0">
      <text>
        <r>
          <rPr>
            <sz val="9"/>
            <color indexed="81"/>
            <rFont val="宋体"/>
            <family val="2"/>
          </rPr>
          <t>#Input("炼化公司生产月报1_装置加工量_原料加工量_年计划_石化",":key{{dw}}")</t>
        </r>
      </text>
    </comment>
    <comment ref="J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#Input("炼化公司生产月报1_去年同期_本月_1、原料油（气）加工量_石化",":key{{dw}}")</t>
        </r>
      </text>
    </comment>
    <comment ref="K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#Input("炼化公司生产月报1_去年同期_本年_1、原料油（气）加工量_石化",":key{{dw}}")</t>
        </r>
      </text>
    </comment>
    <comment ref="D7" authorId="0">
      <text>
        <r>
          <rPr>
            <sz val="9"/>
            <color indexed="81"/>
            <rFont val="宋体"/>
            <family val="2"/>
          </rPr>
          <t>#Input("炼化公司生产月报1_装置加工量_原油_月计划_石化",":key{{dw}}")</t>
        </r>
      </text>
    </comment>
    <comment ref="G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#Input("炼化公司生产月报1_装置加工量_原油_年计划_石化",":key{{dw}}")
</t>
        </r>
      </text>
    </comment>
    <comment ref="J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#Input("炼化公司生产月报1_去年同期_本月_其中：原油_石化",":key{{dw}}")</t>
        </r>
      </text>
    </comment>
    <comment ref="K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#Input("炼化公司生产月报1_去年同期_本年_其中：原油_石化",":key{{dw}}")</t>
        </r>
      </text>
    </comment>
    <comment ref="D8" authorId="0">
      <text>
        <r>
          <rPr>
            <sz val="9"/>
            <color indexed="81"/>
            <rFont val="宋体"/>
            <family val="2"/>
          </rPr>
          <t>#Input("炼化公司生产月报1_装置加工量_甲醇_月计划_石化",":key{{dw}}")</t>
        </r>
      </text>
    </comment>
    <comment ref="G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#Input("炼化公司生产月报1_装置加工量_甲醇_年计划_石化",":key{{dw}}")
</t>
        </r>
      </text>
    </comment>
    <comment ref="J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#Input("炼化公司生产月报1_去年同期_本月_甲醇_石化",":key{{dw}}")</t>
        </r>
      </text>
    </comment>
    <comment ref="K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#Input("炼化公司生产月报1_去年同期_本年_甲醇_石化",":key{{dw}}")</t>
        </r>
      </text>
    </comment>
    <comment ref="D9" authorId="0">
      <text>
        <r>
          <rPr>
            <sz val="9"/>
            <color indexed="81"/>
            <rFont val="宋体"/>
            <family val="2"/>
          </rPr>
          <t>#Input("炼化公司生产月报1_装置加工量_MTBE_月计划_石化",":key{{dw}}")</t>
        </r>
      </text>
    </comment>
    <comment ref="G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#Input("炼化公司生产月报1_装置加工量_MTBE_年计划_石化",":key{{dw}}")
</t>
        </r>
      </text>
    </comment>
    <comment ref="J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#Input("炼化公司生产月报1_去年同期_本月_MTBE_石化",":key{{dw}}")</t>
        </r>
      </text>
    </comment>
    <comment ref="K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#Input("炼化公司生产月报1_去年同期_本年_MTBE_石化",":key{{dw}}")</t>
        </r>
      </text>
    </comment>
    <comment ref="D10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#Input("炼化公司生产月报1_装置加工量_1#渣油_月计划_石化",":key{{dw}}")
</t>
        </r>
      </text>
    </comment>
    <comment ref="G10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#Input("炼化公司生产月报1_装置加工量_1#渣油_年计划_石化",":key{{dw}}")
</t>
        </r>
      </text>
    </comment>
    <comment ref="J1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#Input("炼化公司生产月报1_去年同期_本月_1#渣油_石化",":key{{dw}}")</t>
        </r>
      </text>
    </comment>
    <comment ref="K1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#Input("炼化公司生产月报1_去年同期_本年_1#渣油_石化",":key{{dw}}")</t>
        </r>
      </text>
    </comment>
    <comment ref="D11" authorId="0">
      <text>
        <r>
          <rPr>
            <sz val="9"/>
            <color indexed="81"/>
            <rFont val="宋体"/>
            <family val="2"/>
          </rPr>
          <t>#Input("炼化公司生产月报1_装置加工量_裂解石脑油_月计划_石化",":key{{dw}}")</t>
        </r>
      </text>
    </comment>
    <comment ref="G11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#Input("炼化公司生产月报1_装置加工量_裂解石脑油_年计划_石化",":key{{dw}}")
</t>
        </r>
      </text>
    </comment>
    <comment ref="J1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#Input("炼化公司生产月报1_去年同期_本月_裂解石脑油_石化",":key{{dw}}")</t>
        </r>
      </text>
    </comment>
    <comment ref="K1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#Input("炼化公司生产月报1_去年同期_本年_裂解石脑油_石化",":key{{dw}}")</t>
        </r>
      </text>
    </comment>
    <comment ref="D12" authorId="0">
      <text>
        <r>
          <rPr>
            <sz val="9"/>
            <color indexed="81"/>
            <rFont val="宋体"/>
            <family val="2"/>
          </rPr>
          <t>#Input("炼化公司生产月报1_装置加工量_上古液化气_月计划_石化",":key{{dw}}")</t>
        </r>
      </text>
    </comment>
    <comment ref="G12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#Input("炼化公司生产月报1_装置加工量_上古液化气_年计划_石化",":key{{dw}}")
</t>
        </r>
      </text>
    </comment>
    <comment ref="J1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#Input("炼化公司生产月报1_去年同期_本月_上古液化气_石化",":key{{dw}}")</t>
        </r>
      </text>
    </comment>
    <comment ref="K1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#Input("炼化公司生产月报1_去年同期_本年_上古液化气_石化",":key{{dw}}")</t>
        </r>
      </text>
    </comment>
    <comment ref="D13" authorId="0">
      <text>
        <r>
          <rPr>
            <sz val="9"/>
            <color indexed="81"/>
            <rFont val="宋体"/>
            <family val="2"/>
          </rPr>
          <t>#Input("炼化公司生产月报1_装置加工量_醋酸_月计划_石化",":key{{dw}}")</t>
        </r>
      </text>
    </comment>
    <comment ref="G13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#Input("炼化公司生产月报1_装置加工量_醋酸_年计划_石化",":key{{dw}}")
</t>
        </r>
      </text>
    </comment>
    <comment ref="J1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#Input("炼化公司生产月报1_去年同期_本月_醋酸_石化",":key{{dw}}")</t>
        </r>
      </text>
    </comment>
    <comment ref="K1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#Input("炼化公司生产月报1_去年同期_本年_醋酸_石化",":key{{dw}}")</t>
        </r>
      </text>
    </comment>
    <comment ref="D14" authorId="0">
      <text>
        <r>
          <rPr>
            <sz val="9"/>
            <color indexed="81"/>
            <rFont val="宋体"/>
            <family val="2"/>
          </rPr>
          <t>#Input("炼化公司生产月报1_装置加工量_异辛烷组分_月计划_石化",":key{{dw}}")</t>
        </r>
      </text>
    </comment>
    <comment ref="G14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#Input("炼化公司生产月报1_装置加工量_异辛烷组分_年计划_石化",":key{{dw}}")
</t>
        </r>
      </text>
    </comment>
    <comment ref="J1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#Input("炼化公司生产月报1_去年同期_本月_异辛烷组分_石化",":key{{dw}}")</t>
        </r>
      </text>
    </comment>
    <comment ref="K1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#Input("炼化公司生产月报1_去年同期_本年_异辛烷组分_石化",":key{{dw}}")</t>
        </r>
      </text>
    </comment>
    <comment ref="D15" authorId="0">
      <text>
        <r>
          <rPr>
            <sz val="9"/>
            <color indexed="81"/>
            <rFont val="宋体"/>
            <family val="2"/>
          </rPr>
          <t>#Input("炼化公司生产月报1_装置加工量_异丁烷_月计划_石化",":key{{dw}}")</t>
        </r>
      </text>
    </comment>
    <comment ref="G15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#Input("炼化公司生产月报1_装置加工量_异丁烷_年计划_石化",":key{{dw}}")
</t>
        </r>
      </text>
    </comment>
    <comment ref="J1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#Input("炼化公司生产月报1_去年同期_本月_异丁烷_石化",":key{{dw}}")</t>
        </r>
      </text>
    </comment>
    <comment ref="K1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#Input("炼化公司生产月报1_去年同期_本年_异丁烷_石化",":key{{dw}}")</t>
        </r>
      </text>
    </comment>
    <comment ref="D16" authorId="0">
      <text>
        <r>
          <rPr>
            <sz val="9"/>
            <color indexed="81"/>
            <rFont val="宋体"/>
            <family val="2"/>
          </rPr>
          <t>#Input("炼化公司生产月报1_装置加工量_常压加工量_月计划_石化",":key{{dw}}")</t>
        </r>
      </text>
    </comment>
    <comment ref="G16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#Input("炼化公司生产月报1_装置加工量_常压加工量_年计划_石化",":key{{dw}}")
</t>
        </r>
      </text>
    </comment>
    <comment ref="J1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#Input("炼化公司生产月报1_去年同期_本月_常压装置加工量_石化",":key{{dw}}")</t>
        </r>
      </text>
    </comment>
    <comment ref="K1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#Input("炼化公司生产月报1_去年同期_本年_常压装置加工量_石化",":key{{dw}}")</t>
        </r>
      </text>
    </comment>
    <comment ref="D17" authorId="0">
      <text>
        <r>
          <rPr>
            <sz val="9"/>
            <color indexed="81"/>
            <rFont val="宋体"/>
            <family val="2"/>
          </rPr>
          <t>#Input("炼化公司生产月报1_装置加工量_原油加工量_月计划_石化",":key{{dw}}")</t>
        </r>
      </text>
    </comment>
    <comment ref="G1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#Input("炼化公司生产月报1_装置加工量_原油加工量_年计划_石化",":key{{dw}}")
</t>
        </r>
      </text>
    </comment>
    <comment ref="J1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#Input("炼化公司生产月报1_去年同期_本月_原油加工量_石化",":key{{dw}}")</t>
        </r>
      </text>
    </comment>
    <comment ref="K1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#Input("炼化公司生产月报1_去年同期_本年_原油加工量_石化",":key{{dw}}")</t>
        </r>
      </text>
    </comment>
    <comment ref="D18" authorId="0">
      <text>
        <r>
          <rPr>
            <sz val="9"/>
            <color indexed="81"/>
            <rFont val="宋体"/>
            <family val="2"/>
          </rPr>
          <t>#Input("炼化公司生产月报1_装置加工量_进口原油加工量_月计划_石化",":key{{dw}}")</t>
        </r>
      </text>
    </comment>
    <comment ref="E1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#Input("炼化公司生产月报1_装置加工量_进口原油加工量_月完成_石化",":key{{dw}}")
</t>
        </r>
      </text>
    </comment>
    <comment ref="G1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#Input("炼化公司生产月报1_装置加工量_进口原油加工量_年计划_石化",":key{{dw}}")
</t>
        </r>
      </text>
    </comment>
    <comment ref="H18" authorId="0">
      <text>
        <r>
          <rPr>
            <sz val="9"/>
            <color indexed="81"/>
            <rFont val="宋体"/>
            <family val="2"/>
          </rPr>
          <t>#Input("炼化公司生产月报1_装置加工量_进口原油加工量_年完成_石化",":key{{dw}}")</t>
        </r>
      </text>
    </comment>
    <comment ref="J1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#Input("炼化公司生产月报1_去年同期_本月_进口原油加工量_石化",":key{{dw}}")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#Input("炼化公司生产月报1_去年同期_本年_进口原油加工量_石化",":key{{dw}}")</t>
        </r>
      </text>
    </comment>
    <comment ref="D19" authorId="0">
      <text>
        <r>
          <rPr>
            <sz val="9"/>
            <color indexed="81"/>
            <rFont val="宋体"/>
            <family val="2"/>
          </rPr>
          <t>#Input("炼化公司生产月报1_装置加工量_催化装置加工量_月计划_石化",":key{{dw}}")</t>
        </r>
      </text>
    </comment>
    <comment ref="G1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#Input("炼化公司生产月报1_装置加工量_催化装置加工量_年计划_石化",":key{{dw}}")
</t>
        </r>
      </text>
    </comment>
    <comment ref="J1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#Input("炼化公司生产月报1_去年同期_本月_催化装置加工量_石化",":key{{dw}}")</t>
        </r>
      </text>
    </comment>
    <comment ref="K1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#Input("炼化公司生产月报1_去年同期_本年_催化装置加工量_石化",":key{{dw}}")</t>
        </r>
      </text>
    </comment>
    <comment ref="D20" authorId="0">
      <text>
        <r>
          <rPr>
            <sz val="9"/>
            <color indexed="81"/>
            <rFont val="宋体"/>
            <family val="2"/>
          </rPr>
          <t>#Input("炼化公司生产月报1_装置加工量_1#渣油加工量_月计划_石化",":key{{dw}}")</t>
        </r>
      </text>
    </comment>
    <comment ref="G20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#Input("炼化公司生产月报1_装置加工量_1#渣油加工量_年计划_石化",":key{{dw}}")
</t>
        </r>
      </text>
    </comment>
    <comment ref="J2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#Input("炼化公司生产月报1_去年同期_本月_1#渣油加工量_石化",":key{{dw}}")</t>
        </r>
      </text>
    </comment>
    <comment ref="K2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#Input("炼化公司生产月报1_去年同期_本年_1#渣油加工量_石化",":key{{dw}}")</t>
        </r>
      </text>
    </comment>
    <comment ref="D21" authorId="0">
      <text>
        <r>
          <rPr>
            <sz val="9"/>
            <color indexed="81"/>
            <rFont val="宋体"/>
            <family val="2"/>
          </rPr>
          <t>#Input("炼化公司生产月报1_装置加工量_重整装置处理量_月计划_石化",":key{{dw}}")</t>
        </r>
      </text>
    </comment>
    <comment ref="G21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#Input("炼化公司生产月报1_装置加工量_重整装置处理量_年计划_石化",":key{{dw}}")
</t>
        </r>
      </text>
    </comment>
    <comment ref="J2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#Input("炼化公司生产月报1_去年同期_本月_重整装置处理量_石化",":key{{dw}}")</t>
        </r>
      </text>
    </comment>
    <comment ref="K2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#Input("炼化公司生产月报1_去年同期_本年_重整装置处理量_石化",":key{{dw}}")</t>
        </r>
      </text>
    </comment>
    <comment ref="D22" authorId="0">
      <text>
        <r>
          <rPr>
            <sz val="9"/>
            <color indexed="81"/>
            <rFont val="宋体"/>
            <family val="2"/>
          </rPr>
          <t>#Input("炼化公司生产月报1_装置加工量_DCC石脑油加氢处理量_月计划_石化",":key{{dw}}")</t>
        </r>
      </text>
    </comment>
    <comment ref="G22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#Input("炼化公司生产月报1_装置加工量_DCC石脑油加氢处理量_年计划_石化",":key{{dw}}")
</t>
        </r>
      </text>
    </comment>
    <comment ref="J2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#Input("炼化公司生产月报1_去年同期_本月_DCC石脑油加氢处理量_石化",":key{{dw}}")</t>
        </r>
      </text>
    </comment>
    <comment ref="K2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#Input("炼化公司生产月报1_去年同期_本年_DCC石脑油加氢处理量_石化",":key{{dw}}")</t>
        </r>
      </text>
    </comment>
    <comment ref="D23" authorId="0">
      <text>
        <r>
          <rPr>
            <sz val="9"/>
            <color indexed="81"/>
            <rFont val="宋体"/>
            <family val="2"/>
          </rPr>
          <t>#Input("炼化公司生产月报1_装置加工量_DCC裂解轻油加氢处理量_月计划_石化",":key{{dw}}")</t>
        </r>
      </text>
    </comment>
    <comment ref="G23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#Input("炼化公司生产月报1_装置加工量_DCC裂解轻油加氢处理量_年计划_石化",":key{{dw}}")
</t>
        </r>
      </text>
    </comment>
    <comment ref="J2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#Input("炼化公司生产月报1_去年同期_本月_DCC裂解轻油加氢处理量_石化",":key{{dw}}")</t>
        </r>
      </text>
    </comment>
    <comment ref="K2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#Input("炼化公司生产月报1_去年同期_本年_DCC裂解轻油加氢处理量_石化",":key{{dw}}")</t>
        </r>
      </text>
    </comment>
    <comment ref="D24" authorId="0">
      <text>
        <r>
          <rPr>
            <sz val="9"/>
            <color indexed="81"/>
            <rFont val="宋体"/>
            <family val="2"/>
          </rPr>
          <t>#Input("炼化公司生产月报1_装置加工量_汽油加氢处理量_月计划_石化",":key{{dw}}")</t>
        </r>
      </text>
    </comment>
    <comment ref="G24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#Input("炼化公司生产月报1_装置加工量_汽油加氢处理量_年计划_石化",":key{{dw}}")
</t>
        </r>
      </text>
    </comment>
    <comment ref="J2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#Input("炼化公司生产月报1_去年同期_本月_汽油加氢精制处理量_石化",":key{{dw}}")</t>
        </r>
      </text>
    </comment>
    <comment ref="K2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#Input("炼化公司生产月报1_去年同期_本年_汽油加氢精制处理量_石化",":key{{dw}}")</t>
        </r>
      </text>
    </comment>
    <comment ref="D25" authorId="0">
      <text>
        <r>
          <rPr>
            <sz val="9"/>
            <color indexed="81"/>
            <rFont val="宋体"/>
            <family val="2"/>
          </rPr>
          <t>#Input("炼化公司生产月报1_装置加工量_柴油加氢处理量_月计划_石化",":key{{dw}}")</t>
        </r>
      </text>
    </comment>
    <comment ref="G25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#Input("炼化公司生产月报1_装置加工量_柴油加氢处理量_年计划_石化",":key{{dw}}")
</t>
        </r>
      </text>
    </comment>
    <comment ref="J2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#Input("炼化公司生产月报1_去年同期_本月_柴油加氢精制处理量_石化",":key{{dw}}")</t>
        </r>
      </text>
    </comment>
    <comment ref="K2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#Input("炼化公司生产月报1_去年同期_本年_柴油加氢精制处理量_石化",":key{{dw}}")</t>
        </r>
      </text>
    </comment>
    <comment ref="D26" authorId="0">
      <text>
        <r>
          <rPr>
            <sz val="9"/>
            <color indexed="81"/>
            <rFont val="宋体"/>
            <family val="2"/>
          </rPr>
          <t>#Input("炼化公司生产月报1_装置加工量_气分装置加工量_月计划_石化",":key{{dw}}")</t>
        </r>
      </text>
    </comment>
    <comment ref="G26" authorId="0">
      <text>
        <r>
          <rPr>
            <sz val="9"/>
            <color indexed="81"/>
            <rFont val="宋体"/>
            <family val="2"/>
          </rPr>
          <t>#Input("炼化公司生产月报1_装置加工量_气分装置加工量_年计划_石化",":key{{dw}}")</t>
        </r>
      </text>
    </comment>
    <comment ref="J2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#Input("炼化公司生产月报1_去年同期_本月_气分装置加工量_石化",":key{{dw}}")</t>
        </r>
      </text>
    </comment>
    <comment ref="K2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#Input("炼化公司生产月报1_去年同期_本年_气分装置加工量_石化",":key{{dw}}")</t>
        </r>
      </text>
    </comment>
    <comment ref="D2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#Input("炼化公司生产月报1_装置加工量_航煤装置处理量_月计划_石化",":key{{dw}}")
</t>
        </r>
      </text>
    </comment>
    <comment ref="G27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#Input("炼化公司生产月报1_装置加工量_航煤装置处理量_年计划_石化",":key{{dw}}")
</t>
        </r>
      </text>
    </comment>
    <comment ref="J2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#Input("炼化公司生产月报1_去年同期_本月_航煤装置处理量_石化",":key{{dw}}")</t>
        </r>
      </text>
    </comment>
    <comment ref="K2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#Input("炼化公司生产月报1_去年同期_本年_航煤装置处理量_石化",":key{{dw}}")</t>
        </r>
      </text>
    </comment>
    <comment ref="D2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#Input("炼化公司生产月报1_装置加工量_烷基化装置处理量_月计划_石化",":key{{dw}}")
</t>
        </r>
      </text>
    </comment>
    <comment ref="G28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#Input("炼化公司生产月报1_装置加工量_烷基化装置处理量_年计划_石化",":key{{dw}}")
</t>
        </r>
      </text>
    </comment>
    <comment ref="J2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#Input("炼化公司生产月报1_去年同期_本月_烷基化装置处理量_石化",":key{{dw}}")</t>
        </r>
      </text>
    </comment>
    <comment ref="K2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#Input("炼化公司生产月报1_去年同期_本年_烷基化装置处理量_石化",":key{{dw}}")</t>
        </r>
      </text>
    </comment>
    <comment ref="D2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#Input("炼化公司生产月报1_装置加工量_混合脱氢处理量_月计划_石化",":key{{dw}}")
</t>
        </r>
      </text>
    </comment>
    <comment ref="G29" authorId="0">
      <text>
        <r>
          <rPr>
            <sz val="9"/>
            <color indexed="81"/>
            <rFont val="宋体"/>
            <family val="2"/>
          </rPr>
          <t xml:space="preserve">#Input("炼化公司生产月报1_装置加工量_混合脱氢处理量_年计划_石化",":key{{dw}}")
</t>
        </r>
      </text>
    </comment>
    <comment ref="J2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#Input("炼化公司生产月报1_去年同期_本月_混合脱氢装置处理量_石化",":key{{dw}}")</t>
        </r>
      </text>
    </comment>
    <comment ref="K2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#Input("炼化公司生产月报1_去年同期_本年_混合脱氢装置处理量_石化",":key{{dw}}")</t>
        </r>
      </text>
    </comment>
    <comment ref="D3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#Input("炼化公司生产月报1_油气产品产销量_汽油产量_月计划_石化",":key{{dw}}")
</t>
        </r>
      </text>
    </comment>
    <comment ref="G3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#Input("炼化公司生产月报1_油气产品产销量_汽油产量_年计划_石化",":key{{dw}}")
</t>
        </r>
      </text>
    </comment>
    <comment ref="J3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#Input("炼化公司生产月报1_去年同期_本月_汽油产量_石化",":key{{dw}}")</t>
        </r>
      </text>
    </comment>
    <comment ref="K3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#Input("炼化公司生产月报1_去年同期_本年_汽油产量_石化",":key{{dw}}")</t>
        </r>
      </text>
    </comment>
    <comment ref="D32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#Input("炼化公司生产月报1_油气产品产销量_汽油产量_92#VI_月计划_石化",":key{{dw}}")</t>
        </r>
      </text>
    </comment>
    <comment ref="G32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#Input("炼化公司生产月报1_油气产品产销量_汽油产量_92#VI_年计划_石化",":key{{dw}}")
</t>
        </r>
      </text>
    </comment>
    <comment ref="J3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#Input("炼化公司生产月报1_去年同期_本月_92#VI_石化",":key{{dw}}")</t>
        </r>
      </text>
    </comment>
    <comment ref="K3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#Input("炼化公司生产月报1_去年同期_本年_92#VI_石化",":key{{dw}}")</t>
        </r>
      </text>
    </comment>
    <comment ref="D33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#Input("炼化公司生产月报1_油气产品产销量_汽油产量_95#VI_月计划_石化",":key{{dw}}")</t>
        </r>
      </text>
    </comment>
    <comment ref="G33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#Input("炼化公司生产月报1_油气产品产销量_汽油产量_95#VI_年计划_石化",":key{{dw}}")
</t>
        </r>
      </text>
    </comment>
    <comment ref="J3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#Input("炼化公司生产月报1_去年同期_本月_95#VI_石化",":key{{dw}}")</t>
        </r>
      </text>
    </comment>
    <comment ref="K3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#Input("炼化公司生产月报1_去年同期_本年_95#VI_石化",":key{{dw}}")</t>
        </r>
      </text>
    </comment>
    <comment ref="D34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#Input("炼化公司生产月报1_油气产品产销量_汽油产量_98#VI_月计划_石化",":key{{dw}}")</t>
        </r>
      </text>
    </comment>
    <comment ref="G34" authorId="0">
      <text>
        <r>
          <rPr>
            <sz val="9"/>
            <color indexed="81"/>
            <rFont val="宋体"/>
            <family val="2"/>
          </rPr>
          <t>#Input("炼化公司生产月报1_油气产品产销量_汽油产量_98#VI_年计划_石化",":key{{dw}}")</t>
        </r>
      </text>
    </comment>
    <comment ref="J3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#Input("炼化公司生产月报1_去年同期_本月_98#Ⅵ_石化",":key{{dw}}")</t>
        </r>
      </text>
    </comment>
    <comment ref="K3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#Input("炼化公司生产月报1_去年同期_本年_98#Ⅵ_石化",":key{{dw}}")</t>
        </r>
      </text>
    </comment>
    <comment ref="D35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#Input("炼化公司生产月报1_油气产品产销量_柴油产量_月计划_石化",":key{{dw}}")</t>
        </r>
      </text>
    </comment>
    <comment ref="G35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#Input("炼化公司生产月报1_油气产品产销量_柴油产量_年计划_石化",":key{{dw}}")</t>
        </r>
      </text>
    </comment>
    <comment ref="J3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#Input("炼化公司生产月报1_去年同期_本月_柴油产量_石化",":key{{dw}}")</t>
        </r>
      </text>
    </comment>
    <comment ref="K3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#Input("炼化公司生产月报1_去年同期_本年_柴油产量_石化",":key{{dw}}")</t>
        </r>
      </text>
    </comment>
    <comment ref="D36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#Input("炼化公司生产月报1_油气产品产销量_柴油产量_军用柴油_月计划_石化",":key{{dw}}")</t>
        </r>
      </text>
    </comment>
    <comment ref="G36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#Input("炼化公司生产月报1_油气产品产销量_柴油产量_军用柴油_年计划_石化",":key{{dw}}")</t>
        </r>
      </text>
    </comment>
    <comment ref="J3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#Input("炼化公司生产月报1_去年同期_本月_军用柴油_石化",":key{{dw}}")</t>
        </r>
      </text>
    </comment>
    <comment ref="K3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#Input("炼化公司生产月报1_去年同期_本年_军用柴油_石化",":key{{dw}}")</t>
        </r>
      </text>
    </comment>
    <comment ref="D37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#Input("炼化公司生产月报1_油气产品产销量_柴油产量_0#VI_月计划_石化",":key{{dw}}")</t>
        </r>
      </text>
    </comment>
    <comment ref="G37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#Input("炼化公司生产月报1_油气产品产销量_柴油产量_0#VI_年计划_石化",":key{{dw}}")</t>
        </r>
      </text>
    </comment>
    <comment ref="J3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#Input("炼化公司生产月报1_去年同期_本月_0#VI_石化",":key{{dw}}")</t>
        </r>
      </text>
    </comment>
    <comment ref="K3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#Input("炼化公司生产月报1_去年同期_本年_0#VI_石化",":key{{dw}}")</t>
        </r>
      </text>
    </comment>
    <comment ref="D38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#Input("炼化公司生产月报1_油气产品产销量_柴油产量_10#VI_月计划_石化",":key{{dw}}")</t>
        </r>
      </text>
    </comment>
    <comment ref="G38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#Input("炼化公司生产月报1_油气产品产销量_柴油产量_10#VI_年计划_石化",":key{{dw}}")</t>
        </r>
      </text>
    </comment>
    <comment ref="J3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#Input("炼化公司生产月报1_去年同期_本月_-10#VI_石化",":key{{dw}}")</t>
        </r>
      </text>
    </comment>
    <comment ref="K3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#Input("炼化公司生产月报1_去年同期_本年_-10#VI_石化",":key{{dw}}")</t>
        </r>
      </text>
    </comment>
    <comment ref="D39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#Input("炼化公司生产月报1_油气产品产销量_柴油产量_20#VI_月计划_石化",":key{{dw}}")</t>
        </r>
      </text>
    </comment>
    <comment ref="G39" authorId="0">
      <text>
        <r>
          <rPr>
            <sz val="9"/>
            <color indexed="81"/>
            <rFont val="宋体"/>
            <family val="2"/>
          </rPr>
          <t>#Input("炼化公司生产月报1_油气产品产销量_柴油产量_20#VI_年计划_石化",":key{{dw}}")</t>
        </r>
      </text>
    </comment>
    <comment ref="J3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#Input("炼化公司生产月报1_去年同期_本月_-20#VI_石化",":key{{dw}}")</t>
        </r>
      </text>
    </comment>
    <comment ref="K3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#Input("炼化公司生产月报1_去年同期_本年_-20#VI_石化",":key{{dw}}")</t>
        </r>
      </text>
    </comment>
    <comment ref="D4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#Input("炼化公司生产月报1_油气产品产销量_柴油产量_35#VI_月计划_石化",":key{{dw}}")
</t>
        </r>
      </text>
    </comment>
    <comment ref="G4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#Input("炼化公司生产月报1_油气产品产销量_柴油产量_35#VI_年计划_石化",":key{{dw}}")
</t>
        </r>
      </text>
    </comment>
    <comment ref="J4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#Input("炼化公司生产月报1_去年同期_本月_-35#VI_石化",":key{{dw}}")</t>
        </r>
      </text>
    </comment>
    <comment ref="K4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#Input("炼化公司生产月报1_去年同期_本年_-35#VI_石化",":key{{dw}}")</t>
        </r>
      </text>
    </comment>
    <comment ref="D4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#Input("炼化公司生产月报1_油气产品产销量_3#喷气燃料销量（航煤)_月计划_石化",":key{{dw}}")
</t>
        </r>
      </text>
    </comment>
    <comment ref="G4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#Input("炼化公司生产月报1_油气产品产销量_3#喷气燃料销量（航煤)_年计划_石化",":key{{dw}}")
</t>
        </r>
      </text>
    </comment>
    <comment ref="J4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#Input("炼化公司生产月报1_去年同期_本月_3#喷气燃料销量（航煤）_石化",":key{{dw}}")</t>
        </r>
      </text>
    </comment>
    <comment ref="K4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#Input("炼化公司生产月报1_去年同期_本年_3#喷气燃料销量（航煤）_石化",":key{{dw}}")</t>
        </r>
      </text>
    </comment>
    <comment ref="D42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#Input("炼化公司生产月报1_油气产品产销量_石脑油销售量_月计划_石化",":key{{dw}}")</t>
        </r>
      </text>
    </comment>
    <comment ref="G42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#Input("炼化公司生产月报1_油气产品产销量_石脑油销售量_年计划_石化",":key{{dw}}")</t>
        </r>
      </text>
    </comment>
    <comment ref="J4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#Input("炼化公司生产月报1_去年同期_本月_石脑油销售量_石化",":key{{dw}}")</t>
        </r>
      </text>
    </comment>
    <comment ref="K4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#Input("炼化公司生产月报1_去年同期_本年_石脑油销售量_石化",":key{{dw}}")</t>
        </r>
      </text>
    </comment>
    <comment ref="D43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#Input("炼化公司生产月报1_油气产品产销量_石脑油销售量_石脑油1_月计划_石化",":key{{dw}}")
</t>
        </r>
      </text>
    </comment>
    <comment ref="G43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#Input("炼化公司生产月报1_油气产品产销量_石脑油销售量_石脑油1_年计划_石化",":key{{dw}}")
</t>
        </r>
      </text>
    </comment>
    <comment ref="J4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#Input("炼化公司生产月报1_去年同期_本月_石脑油Ⅰ_石化",":key{{dw}}")</t>
        </r>
      </text>
    </comment>
    <comment ref="K4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#Input("炼化公司生产月报1_去年同期_本年_石脑油Ⅰ_石化",":key{{dw}}")</t>
        </r>
      </text>
    </comment>
    <comment ref="D44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#Input("炼化公司生产月报1_油气产品产销量_石脑油销售量_石脑油2_月计划_石化",":key{{dw}}")</t>
        </r>
      </text>
    </comment>
    <comment ref="G44" authorId="0">
      <text>
        <r>
          <rPr>
            <sz val="9"/>
            <color indexed="81"/>
            <rFont val="宋体"/>
            <family val="2"/>
          </rPr>
          <t>#Input("炼化公司生产月报1_油气产品产销量_石脑油销售量_石脑油2_年计划_石化",":key{{dw}}")</t>
        </r>
      </text>
    </comment>
    <comment ref="J4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#Input("炼化公司生产月报1_去年同期_本月_石脑油Ⅱ_石化",":key{{dw}}")</t>
        </r>
      </text>
    </comment>
    <comment ref="K4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#Input("炼化公司生产月报1_去年同期_本年_石脑油Ⅱ_石化",":key{{dw}}")</t>
        </r>
      </text>
    </comment>
    <comment ref="D45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#Input("炼化公司生产月报1_油气产品产销量_石脑油销售量_石脑油3_月计划_石化",":key{{dw}}")
</t>
        </r>
      </text>
    </comment>
    <comment ref="G45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#Input("炼化公司生产月报1_油气产品产销量_石脑油销售量_石脑油3_年计划_石化",":key{{dw}}")
</t>
        </r>
      </text>
    </comment>
    <comment ref="J4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#Input("炼化公司生产月报1_去年同期_本月_石脑油Ⅲ_石化",":key{{dw}}")</t>
        </r>
      </text>
    </comment>
    <comment ref="K4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#Input("炼化公司生产月报1_去年同期_本年_石脑油Ⅲ_石化",":key{{dw}}")</t>
        </r>
      </text>
    </comment>
    <comment ref="D46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#Input("炼化公司生产月报1_油气产品产销量_液化气销量_月计划_石化",":key{{dw}}")
</t>
        </r>
      </text>
    </comment>
    <comment ref="G46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#Input("炼化公司生产月报1_油气产品产销量_液化气销量_年计划_石化",":key{{dw}}")
</t>
        </r>
      </text>
    </comment>
    <comment ref="J4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#Input("炼化公司生产月报1_去年同期_本月_液化气销量_石化",":key{{dw}}")</t>
        </r>
      </text>
    </comment>
    <comment ref="K4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#Input("炼化公司生产月报1_去年同期_本年_液化气销量_石化",":key{{dw}}")</t>
        </r>
      </text>
    </comment>
    <comment ref="D47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#Input("炼化公司生产月报1_油气产品产销量_液化气销量_催化液化气_月计划_石化",":key{{dw}}")</t>
        </r>
      </text>
    </comment>
    <comment ref="G47" authorId="0">
      <text>
        <r>
          <rPr>
            <sz val="9"/>
            <color indexed="81"/>
            <rFont val="宋体"/>
            <family val="2"/>
          </rPr>
          <t>#Input("炼化公司生产月报1_油气产品产销量_液化气销量_催化液化气_年计划_石化",":key{{dw}}")</t>
        </r>
      </text>
    </comment>
    <comment ref="J4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#Input("炼化公司生产月报1_去年同期_本月_催化液化气_石化",":key{{dw}}")</t>
        </r>
      </text>
    </comment>
    <comment ref="K4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#Input("炼化公司生产月报1_去年同期_本年_催化液化气_石化",":key{{dw}}")</t>
        </r>
      </text>
    </comment>
    <comment ref="D48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#Input("炼化公司生产月报1_油气产品产销量_液化气销量_醚后碳四_月计划_石化",":key{{dw}}")
</t>
        </r>
      </text>
    </comment>
    <comment ref="G48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#Input("炼化公司生产月报1_油气产品产销量_液化气销量_醚后碳四_年计划_石化",":key{{dw}}")
</t>
        </r>
      </text>
    </comment>
    <comment ref="J4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#Input("炼化公司生产月报1_去年同期_本月_醚后碳四_石化",":key{{dw}}")</t>
        </r>
      </text>
    </comment>
    <comment ref="K4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#Input("炼化公司生产月报1_去年同期_本年_醚后碳四_石化",":key{{dw}}")</t>
        </r>
      </text>
    </comment>
    <comment ref="D49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#Input("炼化公司生产月报1_油气产品产销量_液化气销量_民用液化气_月计划_石化",":key{{dw}}")
</t>
        </r>
      </text>
    </comment>
    <comment ref="G49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#Input("炼化公司生产月报1_油气产品产销量_液化气销量_民用液化气_年计划_石化",":key{{dw}}")
</t>
        </r>
      </text>
    </comment>
    <comment ref="J4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#Input("炼化公司生产月报1_去年同期_本月_民用液化气_石化",":key{{dw}}")</t>
        </r>
      </text>
    </comment>
    <comment ref="K4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#Input("炼化公司生产月报1_去年同期_本年_民用液化气_石化",":key{{dw}}")</t>
        </r>
      </text>
    </comment>
    <comment ref="D5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#Input("炼化公司生产月报1_油气产品产销量_液化气销量_正丁烷_月计划_石化",":key{{dw}}")
</t>
        </r>
      </text>
    </comment>
    <comment ref="G5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#Input("炼化公司生产月报1_油气产品产销量_液化气销量_正丁烷_年计划_石化",":key{{dw}}")
</t>
        </r>
      </text>
    </comment>
    <comment ref="J5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#Input("炼化公司生产月报1_去年同期_本月_正丁烷_石化",":key{{dw}}")</t>
        </r>
      </text>
    </comment>
    <comment ref="K5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#Input("炼化公司生产月报1_去年同期_本年_正丁烷_石化",":key{{dw}}")</t>
        </r>
      </text>
    </comment>
    <comment ref="D5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#Input("炼化公司生产月报1_油气产品产销量_1#渣油销量_月计划_石化",":key{{dw}}")
</t>
        </r>
      </text>
    </comment>
    <comment ref="G5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#Input("炼化公司生产月报1_油气产品产销量_1#渣油销量_年计划_石化",":key{{dw}}")
</t>
        </r>
      </text>
    </comment>
    <comment ref="J5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#Input("炼化公司生产月报1_去年同期_本月_1#渣油销量（供榆能化）_石化",":key{{dw}}")</t>
        </r>
      </text>
    </comment>
    <comment ref="K5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#Input("炼化公司生产月报1_去年同期_本年_1#渣油销量（供榆能化）_石化",":key{{dw}}")</t>
        </r>
      </text>
    </comment>
    <comment ref="D52" authorId="0">
      <text>
        <r>
          <rPr>
            <sz val="9"/>
            <color indexed="81"/>
            <rFont val="宋体"/>
            <family val="2"/>
          </rPr>
          <t>#Input("炼化公司生产月报1_油气产品产销量_2#渣油销量_月计划_石化",":key{{dw}}")</t>
        </r>
      </text>
    </comment>
    <comment ref="G52" authorId="0">
      <text>
        <r>
          <rPr>
            <sz val="9"/>
            <color indexed="81"/>
            <rFont val="宋体"/>
            <family val="2"/>
          </rPr>
          <t>#Input("炼化公司生产月报1_油气产品产销量_2#渣油销量_年计划_石化",":key{{dw}}")</t>
        </r>
      </text>
    </comment>
    <comment ref="J5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#Input("炼化公司生产月报1_去年同期_本月_2#渣油销量_石化",":key{{dw}}")</t>
        </r>
      </text>
    </comment>
    <comment ref="K5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#Input("炼化公司生产月报1_去年同期_本年_2#渣油销量_石化",":key{{dw}}")</t>
        </r>
      </text>
    </comment>
    <comment ref="D53" authorId="0">
      <text>
        <r>
          <rPr>
            <sz val="9"/>
            <color indexed="81"/>
            <rFont val="宋体"/>
            <family val="2"/>
          </rPr>
          <t>#Input("炼化公司生产月报1_油气产品产销量_聚丙烯产量_月计划_石化",":key{{dw}}")</t>
        </r>
      </text>
    </comment>
    <comment ref="G53" authorId="0">
      <text>
        <r>
          <rPr>
            <sz val="9"/>
            <color indexed="81"/>
            <rFont val="宋体"/>
            <family val="2"/>
          </rPr>
          <t>#Input("炼化公司生产月报1_油气产品产销量_聚丙烯产量_年计划_石化",":key{{dw}}")</t>
        </r>
      </text>
    </comment>
    <comment ref="J5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#Input("炼化公司生产月报1_去年同期_本月_聚丙烯产量_石化",":key{{dw}}")</t>
        </r>
      </text>
    </comment>
    <comment ref="K5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#Input("炼化公司生产月报1_去年同期_本年_聚丙烯产量_石化",":key{{dw}}")</t>
        </r>
      </text>
    </comment>
    <comment ref="D54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#Input("炼化公司生产月报1_油气产品产销量_苯乙烯产量_月计划_石化",":key{{dw}}")
</t>
        </r>
      </text>
    </comment>
    <comment ref="G54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#Input("炼化公司生产月报1_油气产品产销量_苯乙烯产量_年计划_石化",":key{{dw}}")
</t>
        </r>
      </text>
    </comment>
    <comment ref="J5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#Input("炼化公司生产月报1_去年同期_本月_苯乙烯产量_石化",":key{{dw}}")</t>
        </r>
      </text>
    </comment>
    <comment ref="K5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#Input("炼化公司生产月报1_去年同期_本年_苯乙烯产量_石化",":key{{dw}}")</t>
        </r>
      </text>
    </comment>
    <comment ref="D55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#Input("炼化公司生产月报1_油气产品产销量_苯销量_月计划_石化",":key{{dw}}")
</t>
        </r>
      </text>
    </comment>
    <comment ref="G55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#Input("炼化公司生产月报1_油气产品产销量_苯销量_年计划_石化",":key{{dw}}")
</t>
        </r>
      </text>
    </comment>
    <comment ref="J5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#Input("炼化公司生产月报1_去年同期_本月_苯销量_石化",":key{{dw}}")</t>
        </r>
      </text>
    </comment>
    <comment ref="K5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#Input("炼化公司生产月报1_去年同期_本年_苯销量_石化",":key{{dw}}")</t>
        </r>
      </text>
    </comment>
    <comment ref="D56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#Input("炼化公司生产月报1_油气产品产销量_二甲苯销量_月计划_石化",":key{{dw}}")
</t>
        </r>
      </text>
    </comment>
    <comment ref="G56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#Input("炼化公司生产月报1_油气产品产销量_二甲苯销量_年计划_石化",":key{{dw}}")
</t>
        </r>
      </text>
    </comment>
    <comment ref="J5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#Input("炼化公司生产月报1_去年同期_本月_二甲苯销量_石化",":key{{dw}}")</t>
        </r>
      </text>
    </comment>
    <comment ref="K5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#Input("炼化公司生产月报1_去年同期_本年_二甲苯销量_石化",":key{{dw}}")</t>
        </r>
      </text>
    </comment>
    <comment ref="D57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#Input("炼化公司生产月报1_油气产品产销量_醋酸仲丁酯产量_月计划_石化",":key{{dw}}")
</t>
        </r>
      </text>
    </comment>
    <comment ref="G57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#Input("炼化公司生产月报1_油气产品产销量_醋酸仲丁酯产量_年计划_石化",":key{{dw}}")
</t>
        </r>
      </text>
    </comment>
    <comment ref="J5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#Input("炼化公司生产月报1_去年同期_本月_醋酸仲丁酯产量_石化",":key{{dw}}")</t>
        </r>
      </text>
    </comment>
    <comment ref="K5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#Input("炼化公司生产月报1_去年同期_本年_醋酸仲丁酯产量_石化",":key{{dw}}")</t>
        </r>
      </text>
    </comment>
    <comment ref="D58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#Input("炼化公司生产月报1_油气产品产销量_精制硫磺销量_月计划_石化",":key{{dw}}")
</t>
        </r>
      </text>
    </comment>
    <comment ref="G58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#Input("炼化公司生产月报1_油气产品产销量_精制硫磺销量_年计划_石化",":key{{dw}}")
</t>
        </r>
      </text>
    </comment>
    <comment ref="J5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#Input("炼化公司生产月报1_去年同期_本月_精制硫磺销量_石化",":key{{dw}}")</t>
        </r>
      </text>
    </comment>
    <comment ref="K5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#Input("炼化公司生产月报1_去年同期_本年_精制硫磺销量_石化",":key{{dw}}")</t>
        </r>
      </text>
    </comment>
    <comment ref="D59" authorId="0">
      <text>
        <r>
          <rPr>
            <sz val="9"/>
            <color indexed="81"/>
            <rFont val="宋体"/>
            <family val="2"/>
          </rPr>
          <t>#Input("炼化公司生产月报1_油气产品产销量_粗硫磺销量_月计划_石化",":key{{dw}}")</t>
        </r>
      </text>
    </comment>
    <comment ref="G59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#Input("炼化公司生产月报1_油气产品产销量_粗硫磺销量_年计划_石化",":key{{dw}}")
</t>
        </r>
      </text>
    </comment>
    <comment ref="J5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#Input("炼化公司生产月报1_去年同期_本月_粗硫磺销量_石化",":key{{dw}}")</t>
        </r>
      </text>
    </comment>
    <comment ref="K5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#Input("炼化公司生产月报1_去年同期_本年_粗硫磺销量_石化",":key{{dw}}")</t>
        </r>
      </text>
    </comment>
    <comment ref="D60" authorId="0">
      <text>
        <r>
          <rPr>
            <sz val="9"/>
            <color indexed="81"/>
            <rFont val="宋体"/>
            <family val="2"/>
          </rPr>
          <t>#Input("炼化公司生产月报1_油气产品产销量_丙烯销量_月计划_石化",":key{{dw}}")</t>
        </r>
      </text>
    </comment>
    <comment ref="G60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#Input("炼化公司生产月报1_油气产品产销量_丙烯销量_年计划_石化",":key{{dw}}")
</t>
        </r>
      </text>
    </comment>
    <comment ref="J6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#Input("炼化公司生产月报1_去年同期_本月_丙烯销量_石化",":key{{dw}}")</t>
        </r>
      </text>
    </comment>
    <comment ref="K6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#Input("炼化公司生产月报1_去年同期_本年_丙烯销量_石化",":key{{dw}}")</t>
        </r>
      </text>
    </comment>
    <comment ref="D61" authorId="0">
      <text>
        <r>
          <rPr>
            <sz val="9"/>
            <color indexed="81"/>
            <rFont val="宋体"/>
            <family val="2"/>
          </rPr>
          <t>#Input("炼化公司生产月报1_油气产品产销量_硫酸铵销量_月计划_石化",":key{{dw}}")</t>
        </r>
      </text>
    </comment>
    <comment ref="G61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#Input("炼化公司生产月报1_油气产品产销量_硫酸铵销量_年计划_石化",":key{{dw}}")
</t>
        </r>
      </text>
    </comment>
    <comment ref="J6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#Input("炼化公司生产月报1_去年同期_本月_硫酸铵销量_石化",":key{{dw}}")</t>
        </r>
      </text>
    </comment>
    <comment ref="K6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#Input("炼化公司生产月报1_去年同期_本年_硫酸铵销量_石化",":key{{dw}}")</t>
        </r>
      </text>
    </comment>
    <comment ref="D62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#Input("炼化公司生产月报1_油气产品产销量_异辛烷组分产量_月计划_石化",":key{{dw}}")</t>
        </r>
      </text>
    </comment>
    <comment ref="G62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#Input("炼化公司生产月报1_油气产品产销量_异辛烷组分产量_年计划_石化",":key{{dw}}")</t>
        </r>
      </text>
    </comment>
    <comment ref="J6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#Input("炼化公司生产月报1_去年同期_本月_异辛烷组分产量_石化",":key{{dw}}")</t>
        </r>
      </text>
    </comment>
    <comment ref="K6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#Input("炼化公司生产月报1_去年同期_本年_异辛烷组分产量_石化",":key{{dw}}")</t>
        </r>
      </text>
    </comment>
    <comment ref="D63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#Input("炼化公司生产月报1_油气产品产销量_异辛烷组分销量_月计划_石化",":key{{dw}}")</t>
        </r>
      </text>
    </comment>
    <comment ref="G63" authorId="0">
      <text>
        <r>
          <rPr>
            <sz val="9"/>
            <color indexed="81"/>
            <rFont val="宋体"/>
            <family val="2"/>
          </rPr>
          <t>#Input("炼化公司生产月报1_油气产品产销量_异辛烷组分销量_年计划_石化",":key{{dw}}")</t>
        </r>
      </text>
    </comment>
    <comment ref="J6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#Input("炼化公司生产月报1_去年同期_本月_异辛烷组分销量_石化",":key{{dw}}")</t>
        </r>
      </text>
    </comment>
    <comment ref="K6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#Input("炼化公司生产月报1_去年同期_本年_异辛烷组分销量_石化",":key{{dw}}")</t>
        </r>
      </text>
    </comment>
    <comment ref="D64" authorId="0">
      <text>
        <r>
          <rPr>
            <sz val="9"/>
            <color indexed="81"/>
            <rFont val="宋体"/>
            <family val="2"/>
          </rPr>
          <t>#Input("炼化公司生产月报1_油气产品产销量_MTBE产量_月计划_石化",":key{{dw}}")</t>
        </r>
      </text>
    </comment>
    <comment ref="G64" authorId="0">
      <text>
        <r>
          <rPr>
            <sz val="9"/>
            <color indexed="81"/>
            <rFont val="宋体"/>
            <family val="2"/>
          </rPr>
          <t>#Input("炼化公司生产月报1_油气产品产销量_MTBE产量_年计划_石化",":key{{dw}}")</t>
        </r>
      </text>
    </comment>
    <comment ref="J6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#Input("炼化公司生产月报1_去年同期_本月_MTBE产量_石化",":key{{dw}}")</t>
        </r>
      </text>
    </comment>
    <comment ref="K6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#Input("炼化公司生产月报1_去年同期_本年_MTBE产量_石化",":key{{dw}}")</t>
        </r>
      </text>
    </comment>
    <comment ref="D65" authorId="0">
      <text>
        <r>
          <rPr>
            <sz val="9"/>
            <color indexed="81"/>
            <rFont val="宋体"/>
            <family val="2"/>
          </rPr>
          <t>#Input("炼化公司生产月报1_油气产品产销量_MTBE销量_月计划_石化",":key{{dw}}")</t>
        </r>
      </text>
    </comment>
    <comment ref="G65" authorId="0">
      <text>
        <r>
          <rPr>
            <sz val="9"/>
            <color indexed="81"/>
            <rFont val="宋体"/>
            <family val="2"/>
          </rPr>
          <t>#Input("炼化公司生产月报1_油气产品产销量_MTBE销量_年计划_石化",":key{{dw}}")</t>
        </r>
      </text>
    </comment>
    <comment ref="J6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#Input("炼化公司生产月报1_去年同期_本月_MTBE销量_石化",":key{{dw}}")</t>
        </r>
      </text>
    </comment>
    <comment ref="K6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#Input("炼化公司生产月报1_去年同期_本年_MTBE销量_石化",":key{{dw}}")</t>
        </r>
      </text>
    </comment>
    <comment ref="D66" authorId="0">
      <text>
        <r>
          <rPr>
            <sz val="9"/>
            <color indexed="81"/>
            <rFont val="宋体"/>
            <family val="2"/>
          </rPr>
          <t>#Input("炼化公司生产月报1_油气产品产销量_液氨销量_月计划_石化",":key{{dw}}")</t>
        </r>
      </text>
    </comment>
    <comment ref="G66" authorId="0">
      <text>
        <r>
          <rPr>
            <sz val="9"/>
            <color indexed="81"/>
            <rFont val="宋体"/>
            <family val="2"/>
          </rPr>
          <t>#Input("炼化公司生产月报1_油气产品产销量_液氨销量_年计划_石化",":key{{dw}}")</t>
        </r>
      </text>
    </comment>
    <comment ref="J6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#Input("炼化公司生产月报1_去年同期_本月_液氨销量_石化",":key{{dw}}")</t>
        </r>
      </text>
    </comment>
    <comment ref="K6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#Input("炼化公司生产月报1_去年同期_本年_液氨销量_石化",":key{{dw}}")</t>
        </r>
      </text>
    </comment>
    <comment ref="D67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#Input("炼化公司生产月报1_油气产品产销量_3#喷气燃料产量_月计划_石化",":key{{dw}}")
</t>
        </r>
      </text>
    </comment>
    <comment ref="E67" authorId="0">
      <text>
        <r>
          <rPr>
            <sz val="9"/>
            <color indexed="81"/>
            <rFont val="宋体"/>
            <family val="2"/>
          </rPr>
          <t>#Input("炼化公司_月完成_3#喷气燃料产量_石化",":key{{dw}}")</t>
        </r>
      </text>
    </comment>
    <comment ref="G67" authorId="0">
      <text>
        <r>
          <rPr>
            <sz val="9"/>
            <color indexed="81"/>
            <rFont val="宋体"/>
            <family val="2"/>
          </rPr>
          <t xml:space="preserve">#Input("炼化公司生产月报1_油气产品产销量_3#喷气燃料产量_年计划_石化",":key{{dw}}")
</t>
        </r>
      </text>
    </comment>
    <comment ref="H67" authorId="0">
      <text>
        <r>
          <rPr>
            <sz val="9"/>
            <color indexed="81"/>
            <rFont val="宋体"/>
            <family val="2"/>
          </rPr>
          <t>#Input("炼化公司_年完成_3#喷气燃料产量_石化",":key{{dw}}")</t>
        </r>
      </text>
    </comment>
    <comment ref="J6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#Input("炼化公司生产月报1_去年同期_本月_3#喷气燃料产量_石化",":key{{dw}}")</t>
        </r>
      </text>
    </comment>
    <comment ref="K6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#Input("炼化公司生产月报1_去年同期_本年_3#喷气燃料产量_石化",":key{{dw}}")</t>
        </r>
      </text>
    </comment>
    <comment ref="D69" authorId="0">
      <text>
        <r>
          <rPr>
            <sz val="9"/>
            <color indexed="81"/>
            <rFont val="宋体"/>
            <family val="2"/>
          </rPr>
          <t xml:space="preserve">#Input("炼化公司生产月报1_综合指标_成品油产量(汽油+柴油+航煤)_月计划_石化",":key{{dw}}")
</t>
        </r>
      </text>
    </comment>
    <comment ref="G69" authorId="0">
      <text>
        <r>
          <rPr>
            <sz val="9"/>
            <color indexed="81"/>
            <rFont val="宋体"/>
            <family val="2"/>
          </rPr>
          <t xml:space="preserve">#Input("炼化公司生产月报1_综合指标_成品油产量(汽油+柴油+航煤)_年计划_石化",":key{{dw}}")
</t>
        </r>
      </text>
    </comment>
    <comment ref="J6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#Input("炼化公司生产月报1_去年同期_本月_成品油产量_石化",":key{{dw}}")</t>
        </r>
      </text>
    </comment>
    <comment ref="K6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#Input("炼化公司生产月报1_去年同期_本年_成品油产量_石化",":key{{dw}}")</t>
        </r>
      </text>
    </comment>
    <comment ref="D70" authorId="0">
      <text>
        <r>
          <rPr>
            <sz val="9"/>
            <color indexed="81"/>
            <rFont val="宋体"/>
            <family val="2"/>
          </rPr>
          <t>#Input("炼化公司生产月报1_综合指标_3#喷气燃料产量_月计划_石化",":key{{dw}}")</t>
        </r>
      </text>
    </comment>
    <comment ref="G70" authorId="0">
      <text>
        <r>
          <rPr>
            <sz val="9"/>
            <color indexed="81"/>
            <rFont val="宋体"/>
            <family val="2"/>
          </rPr>
          <t>#Input("炼化公司生产月报1_综合指标_3#喷气燃料产量_年计划_石化",":key{{dw}}")</t>
        </r>
      </text>
    </comment>
    <comment ref="J7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#Input("炼化公司生产月报1_去年同期_本月_综合商品量_石化",":key{{dw}}")</t>
        </r>
      </text>
    </comment>
    <comment ref="K7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#Input("炼化公司生产月报1_去年同期_本年_综合商品量_石化",":key{{dw}}")</t>
        </r>
      </text>
    </comment>
    <comment ref="D71" authorId="0">
      <text>
        <r>
          <rPr>
            <sz val="9"/>
            <color indexed="81"/>
            <rFont val="宋体"/>
            <family val="2"/>
          </rPr>
          <t>#Input("炼化公司生产月报1_综合指标_综合商品量_月计划_石化",":key{{dw}}")</t>
        </r>
      </text>
    </comment>
    <comment ref="G71" authorId="0">
      <text>
        <r>
          <rPr>
            <sz val="9"/>
            <color indexed="81"/>
            <rFont val="宋体"/>
            <family val="2"/>
          </rPr>
          <t>#Input("炼化公司生产月报1_综合指标_综合商品量_年计划_石化",":key{{dw}}")</t>
        </r>
      </text>
    </comment>
    <comment ref="J7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#Input("炼化公司生产月报1_去年同期_本月_综合商品率_石化",":key{{dw}}")</t>
        </r>
      </text>
    </comment>
    <comment ref="K7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#Input("炼化公司生产月报1_去年同期_本年_综合商品率_石化",":key{{dw}}")</t>
        </r>
      </text>
    </comment>
    <comment ref="D72" authorId="0">
      <text>
        <r>
          <rPr>
            <sz val="9"/>
            <color indexed="81"/>
            <rFont val="宋体"/>
            <family val="2"/>
          </rPr>
          <t>#Input("炼化公司生产月报1_综合指标_综合自用率_月计划_石化",":key{{dw}}")</t>
        </r>
      </text>
    </comment>
    <comment ref="G72" authorId="0">
      <text>
        <r>
          <rPr>
            <sz val="9"/>
            <color indexed="81"/>
            <rFont val="宋体"/>
            <family val="2"/>
          </rPr>
          <t>#Input("炼化公司生产月报1_综合指标_综合自用率_年计划_石化",":key{{dw}}")</t>
        </r>
      </text>
    </comment>
    <comment ref="J7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#Input("炼化公司生产月报1_去年同期_本月_综合自用率_石化",":key{{dw}}")</t>
        </r>
      </text>
    </comment>
    <comment ref="K7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#Input("炼化公司生产月报1_去年同期_本年_综合自用率_石化",":key{{dw}}")</t>
        </r>
      </text>
    </comment>
    <comment ref="D73" authorId="0">
      <text>
        <r>
          <rPr>
            <sz val="9"/>
            <color indexed="81"/>
            <rFont val="宋体"/>
            <family val="2"/>
          </rPr>
          <t>#Input("炼化公司生产月报1_综合指标_综合加工损失率_月计划_石化",":key{{dw}}")</t>
        </r>
      </text>
    </comment>
    <comment ref="G73" authorId="0">
      <text>
        <r>
          <rPr>
            <sz val="9"/>
            <color indexed="81"/>
            <rFont val="宋体"/>
            <family val="2"/>
          </rPr>
          <t>#Input("炼化公司生产月报1_综合指标_综合加工损失率_年计划_石化",":key{{dw}}")</t>
        </r>
      </text>
    </comment>
    <comment ref="J7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#Input("炼化公司生产月报1_去年同期_本月_综合加工损失率_石化",":key{{dw}}")</t>
        </r>
      </text>
    </comment>
    <comment ref="K7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#Input("炼化公司生产月报1_去年同期_本年_综合加工损失率_石化",":key{{dw}}")</t>
        </r>
      </text>
    </comment>
    <comment ref="D74" authorId="0">
      <text>
        <r>
          <rPr>
            <sz val="9"/>
            <color indexed="81"/>
            <rFont val="宋体"/>
            <family val="2"/>
          </rPr>
          <t>#Input("炼化公司生产月报1_综合指标_炼油综合能耗_月计划_石化",":key{{dw}}")</t>
        </r>
      </text>
    </comment>
    <comment ref="G74" authorId="0">
      <text>
        <r>
          <rPr>
            <sz val="9"/>
            <color indexed="81"/>
            <rFont val="宋体"/>
            <family val="2"/>
          </rPr>
          <t>#Input("炼化公司生产月报1_综合指标_炼油综合能耗_年计划_石化",":key{{dw}}")</t>
        </r>
      </text>
    </comment>
    <comment ref="J7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#Input("炼化公司生产月报1_去年同期_本月_炼油综合能耗_石化",":key{{dw}}")</t>
        </r>
      </text>
    </comment>
    <comment ref="K7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#Input("炼化公司生产月报1_去年同期_本年_炼油综合能耗_石化",":key{{dw}}")</t>
        </r>
      </text>
    </comment>
    <comment ref="D75" authorId="0">
      <text>
        <r>
          <rPr>
            <sz val="9"/>
            <color indexed="81"/>
            <rFont val="宋体"/>
            <family val="2"/>
          </rPr>
          <t>#Input("炼化公司生产月报1_综合指标_丙烯单耗_月计划_石化",":key{{dw}}")</t>
        </r>
      </text>
    </comment>
    <comment ref="G75" authorId="0">
      <text>
        <r>
          <rPr>
            <sz val="9"/>
            <color indexed="81"/>
            <rFont val="宋体"/>
            <family val="2"/>
          </rPr>
          <t>#Input("炼化公司生产月报1_综合指标_丙烯单耗_年计划_石化",":key{{dw}}")</t>
        </r>
      </text>
    </comment>
    <comment ref="J7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#Input("炼化公司生产月报1_去年同期_本月_丙烯单耗_石化",":key{{dw}}")</t>
        </r>
      </text>
    </comment>
    <comment ref="K7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#Input("炼化公司生产月报1_去年同期_本年_丙烯单耗_石化",":key{{dw}}")</t>
        </r>
      </text>
    </comment>
    <comment ref="D76" authorId="0">
      <text>
        <r>
          <rPr>
            <sz val="9"/>
            <color indexed="81"/>
            <rFont val="宋体"/>
            <family val="2"/>
          </rPr>
          <t>#Input("炼化公司生产月报1_综合指标_石油产品出厂合格率_月计划_石化",":key{{dw}}")</t>
        </r>
      </text>
    </comment>
    <comment ref="G76" authorId="0">
      <text>
        <r>
          <rPr>
            <sz val="9"/>
            <color indexed="81"/>
            <rFont val="宋体"/>
            <family val="2"/>
          </rPr>
          <t>#Input("炼化公司生产月报1_综合指标_石油产品出厂合格率_年计划_石化",":key{{dw}}")</t>
        </r>
      </text>
    </comment>
    <comment ref="J7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#Input("炼化公司生产月报1_去年同期_本月_石油产品出厂合格率_石化",":key{{dw}}")</t>
        </r>
      </text>
    </comment>
    <comment ref="K7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#Input("炼化公司生产月报1_去年同期_本年_石油产品出厂合格率_石化",":key{{dw}}")</t>
        </r>
      </text>
    </comment>
    <comment ref="D78" authorId="0">
      <text>
        <r>
          <rPr>
            <sz val="9"/>
            <color indexed="81"/>
            <rFont val="宋体"/>
            <family val="2"/>
          </rPr>
          <t>#Input("炼化公司生产月报1_装置收率_常压装置轻质油收率_月计划_石化",":key{{dw}}")</t>
        </r>
      </text>
    </comment>
    <comment ref="G78" authorId="0">
      <text>
        <r>
          <rPr>
            <sz val="9"/>
            <color indexed="81"/>
            <rFont val="宋体"/>
            <family val="2"/>
          </rPr>
          <t>#Input("炼化公司生产月报1_装置收率_常压装置轻质油收率_年计划_石化",":key{{dw}}")</t>
        </r>
      </text>
    </comment>
    <comment ref="J7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#Input("炼化公司生产月报1_去年同期_本月_常压装置轻质油收率_石化",":key{{dw}}")</t>
        </r>
      </text>
    </comment>
    <comment ref="K7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#Input("炼化公司生产月报1_去年同期_本年_常压装置轻质油收率_石化",":key{{dw}}")</t>
        </r>
      </text>
    </comment>
    <comment ref="D79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#Input("炼化公司生产月报1_装置收率_催化装置汽柴液总收率_月计划_石化厂",":key{{dw}}")
</t>
        </r>
      </text>
    </comment>
    <comment ref="G79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#Input("炼化公司生产月报1_装置收率_催化装置汽柴液总收率_年月完成_石化",":key{{dw}}")
</t>
        </r>
      </text>
    </comment>
    <comment ref="J79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#Input("炼化公司生产月报1_去年同期_本月_催化装置汽柴液总收率_石化",":key{{dw}}")</t>
        </r>
      </text>
    </comment>
    <comment ref="K79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#Input("炼化公司生产月报1_去年同期_本年_催化装置汽柴液总收率_石化",":key{{dw}}")</t>
        </r>
      </text>
    </comment>
    <comment ref="D80" authorId="0">
      <text>
        <r>
          <rPr>
            <sz val="9"/>
            <color indexed="81"/>
            <rFont val="宋体"/>
            <family val="2"/>
          </rPr>
          <t xml:space="preserve">#Input("炼化公司_生产月报1_装置收率_催化装置轻质油收率_月计划_石化",":key{{dw}}")
</t>
        </r>
      </text>
    </comment>
    <comment ref="G80" authorId="0">
      <text>
        <r>
          <rPr>
            <sz val="9"/>
            <color indexed="81"/>
            <rFont val="宋体"/>
            <family val="2"/>
          </rPr>
          <t xml:space="preserve">#Input("炼化公司_生产月报1_装置收率_催化装置轻质油收率_年计划_石化",":key{{dw}}")
</t>
        </r>
      </text>
    </comment>
    <comment ref="J80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#Input("炼化公司生产月报1_去年同期_本月_催化装置轻质油收率_石化",":key{{dw}}")</t>
        </r>
      </text>
    </comment>
    <comment ref="K80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#Input("炼化公司生产月报1_去年同期_本年_催化装置轻质油收率_石化",":key{{dw}}")</t>
        </r>
      </text>
    </comment>
    <comment ref="D81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#Input("炼化公司生产月报1_装置收率_催化装置液化气收率_月计划_石化",":key{{dw}}")
</t>
        </r>
      </text>
    </comment>
    <comment ref="G81" authorId="0">
      <text>
        <r>
          <rPr>
            <sz val="9"/>
            <color indexed="81"/>
            <rFont val="宋体"/>
            <family val="2"/>
          </rPr>
          <t xml:space="preserve">#Input("炼化公司生产月报1_装置收率_催化装置液化气收率_年计划_石化",":key{{dw}}")
</t>
        </r>
      </text>
    </comment>
    <comment ref="J81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#Input("炼化公司生产月报1_去年同期_本月_催化装置液化气收率_石化",":key{{dw}}")</t>
        </r>
      </text>
    </comment>
    <comment ref="K81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#Input("炼化公司生产月报1_去年同期_本年_催化装置液化气收率_石化",":key{{dw}}")</t>
        </r>
      </text>
    </comment>
    <comment ref="D82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#Input("炼化公司生产月报1_装置收率_重整装置总收率_月计划_石化",":key{{dw}}")
</t>
        </r>
      </text>
    </comment>
    <comment ref="G82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#Input("炼化公司生产月报1_装置收率_重整装置总收率_年计划_石化",":key{{dw}}")
</t>
        </r>
      </text>
    </comment>
    <comment ref="J82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#Input("炼化公司生产月报1_去年同期_本月_重整装置总收率_石化",":key{{dw}}")</t>
        </r>
      </text>
    </comment>
    <comment ref="K82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#Input("炼化公司生产月报1_去年同期_本年_重整装置总收率_石化",":key{{dw}}")</t>
        </r>
      </text>
    </comment>
    <comment ref="D83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#Input("炼化公司生产月报1_装置收率_气体分馏装置丙烯收率_月计划_石化",":key{{dw}}")
</t>
        </r>
      </text>
    </comment>
    <comment ref="G83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#Input("炼化公司生产月报1_装置收率_气体分馏装置丙烯收率_年计划_石化",":key{{dw}}")
</t>
        </r>
      </text>
    </comment>
    <comment ref="J83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#Input("炼化公司生产月报1_去年同期_本月_气体分馏装置丙烯收率_石化",":key{{dw}}")</t>
        </r>
      </text>
    </comment>
    <comment ref="K83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#Input("炼化公司生产月报1_去年同期_本年_气体分馏装置丙烯收率_石化",":key{{dw}}")</t>
        </r>
      </text>
    </comment>
    <comment ref="D84" authorId="0">
      <text>
        <r>
          <rPr>
            <sz val="9"/>
            <color indexed="81"/>
            <rFont val="宋体"/>
            <family val="2"/>
          </rPr>
          <t xml:space="preserve">#Input("炼化公司生产月报1_装置收率_MTBE装置MTBE收率_月计划_石化",":key{{dw}}")
</t>
        </r>
      </text>
    </comment>
    <comment ref="G84" authorId="0">
      <text>
        <r>
          <rPr>
            <sz val="9"/>
            <color indexed="81"/>
            <rFont val="宋体"/>
            <family val="2"/>
          </rPr>
          <t xml:space="preserve">#Input("炼化公司生产月报1_装置收率_MTBE装置MTBE收率_年计划_石化",":key{{dw}}")
</t>
        </r>
      </text>
    </comment>
    <comment ref="J84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#Input("炼化公司生产月报1_去年同期_本月_MTBE装置MTBE收率_石化",":key{{dw}}")</t>
        </r>
      </text>
    </comment>
    <comment ref="K84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#Input("炼化公司生产月报1_去年同期_本年_MTBE装置MTBE收率_石化",":key{{dw}}")</t>
        </r>
      </text>
    </comment>
    <comment ref="D85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#Input("炼化公司生产月报1_装置收率_醋酸仲丁酯收率_月计划_石化",":key{{dw}}")
</t>
        </r>
      </text>
    </comment>
    <comment ref="G85" authorId="0">
      <text>
        <r>
          <rPr>
            <sz val="9"/>
            <color indexed="81"/>
            <rFont val="宋体"/>
            <family val="2"/>
          </rPr>
          <t xml:space="preserve">#Input("炼化公司生产月报1_装置收率_醋酸仲丁酯收率_年计划_石化",":key{{dw}}")
</t>
        </r>
      </text>
    </comment>
    <comment ref="J85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#Input("炼化公司生产月报1_去年同期_本月_醋酸仲丁酯收率_石化",":key{{dw}}")</t>
        </r>
      </text>
    </comment>
    <comment ref="K85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#Input("炼化公司生产月报1_去年同期_本年_醋酸仲丁酯收率_石化",":key{{dw}}")</t>
        </r>
      </text>
    </comment>
    <comment ref="D86" authorId="0">
      <text>
        <r>
          <rPr>
            <sz val="9"/>
            <color indexed="81"/>
            <rFont val="宋体"/>
            <family val="2"/>
          </rPr>
          <t xml:space="preserve">#Input("炼化公司生产月报1_装置收率_聚丙烯装置收率_月计划_石化",":key{{dw}}")
</t>
        </r>
      </text>
    </comment>
    <comment ref="G86" authorId="0">
      <text>
        <r>
          <rPr>
            <sz val="9"/>
            <color indexed="81"/>
            <rFont val="宋体"/>
            <family val="2"/>
          </rPr>
          <t xml:space="preserve">#Input("炼化公司生产月报1_装置收率_聚丙烯装置收率_年计划_石化",":key{{dw}}")
</t>
        </r>
      </text>
    </comment>
    <comment ref="J86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#Input("炼化公司生产月报1_去年同期_本月_聚丙烯装置收率_石化",":key{{dw}}")</t>
        </r>
      </text>
    </comment>
    <comment ref="K86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#Input("炼化公司生产月报1_去年同期_本年_聚丙烯装置收率_石化",":key{{dw}}")</t>
        </r>
      </text>
    </comment>
    <comment ref="D87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#Input("炼化公司生产月报1_装置收率_汽油加氢精制总收率_月计划_石化",":key{{dw}}")
</t>
        </r>
      </text>
    </comment>
    <comment ref="G87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#Input("炼化公司生产月报1_装置收率_汽油加氢精制总收率_年计划_石化",":key{{dw}}")
</t>
        </r>
      </text>
    </comment>
    <comment ref="J87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#Input("炼化公司生产月报1_去年同期_本月_汽油加氢精制总收率_石化",":key{{dw}}")</t>
        </r>
      </text>
    </comment>
    <comment ref="K87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#Input("炼化公司生产月报1_去年同期_本年_汽油加氢精制总收率_石化",":key{{dw}}")</t>
        </r>
      </text>
    </comment>
    <comment ref="D88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#Input("炼化公司生产月报1_装置收率_柴油加氢精制总收率_月计划_石化",":key{{dw}}")
</t>
        </r>
      </text>
    </comment>
    <comment ref="G88" authorId="0">
      <text>
        <r>
          <rPr>
            <sz val="9"/>
            <color indexed="81"/>
            <rFont val="宋体"/>
            <family val="2"/>
          </rPr>
          <t xml:space="preserve">#Input("炼化公司生产月报1_装置收率_柴油加氢精制总收率_年计划_石化",":key{{dw}}")
</t>
        </r>
      </text>
    </comment>
    <comment ref="J88" authorId="0">
      <text>
        <r>
          <rPr>
            <b/>
            <sz val="9"/>
            <color indexed="81"/>
            <rFont val="宋体"/>
            <family val="2"/>
          </rPr>
          <t>#Input("炼化公司生产月报1_去年同期_本月_柴油加氢精制总收率_石化",":key{{dw}}")</t>
        </r>
      </text>
    </comment>
    <comment ref="K88" authorId="0">
      <text>
        <r>
          <rPr>
            <b/>
            <sz val="9"/>
            <color indexed="81"/>
            <rFont val="宋体"/>
            <family val="2"/>
          </rPr>
          <t>#Input("炼化公司生产月报1_去年同期_本年_柴油加氢精制总收率_石化",":key{{dw}}")</t>
        </r>
      </text>
    </comment>
    <comment ref="C90" authorId="0">
      <text>
        <r>
          <rPr>
            <sz val="9"/>
            <color indexed="81"/>
            <rFont val="宋体"/>
            <family val="2"/>
          </rPr>
          <t>#Input("炼化公司生产月报1_石化_备注_石化",":key{{dw}}")</t>
        </r>
      </text>
    </comment>
    <comment ref="C94" authorId="0">
      <text>
        <r>
          <rPr>
            <sz val="9"/>
            <color indexed="81"/>
            <rFont val="宋体"/>
            <family val="2"/>
          </rPr>
          <t>#Input("炼化公司生产月报1_炼化公司_主管领导石化_石化",":key{{dw}}")</t>
        </r>
      </text>
    </comment>
    <comment ref="F94" authorId="0">
      <text>
        <r>
          <rPr>
            <sz val="9"/>
            <color indexed="81"/>
            <rFont val="宋体"/>
            <family val="2"/>
          </rPr>
          <t>#Input("炼化公司生产月报1_部门负责人石化_石化",":key{{dw}}")</t>
        </r>
      </text>
    </comment>
    <comment ref="H94" authorId="0">
      <text>
        <r>
          <rPr>
            <sz val="9"/>
            <color indexed="81"/>
            <rFont val="宋体"/>
            <family val="2"/>
          </rPr>
          <t xml:space="preserve">#Input("炼化公司生产月报1_审核人石化_石化",":key{{dw}}")
</t>
        </r>
      </text>
    </comment>
    <comment ref="K94" authorId="0">
      <text>
        <r>
          <rPr>
            <sz val="9"/>
            <color indexed="81"/>
            <rFont val="宋体"/>
            <family val="2"/>
          </rPr>
          <t xml:space="preserve">#Input("炼化公司生产月报1_编制石化_石化",":key{{dw}}")
</t>
        </r>
      </text>
    </comment>
  </commentList>
</comments>
</file>

<file path=xl/sharedStrings.xml><?xml version="1.0" encoding="utf-8"?>
<sst xmlns="http://schemas.openxmlformats.org/spreadsheetml/2006/main" count="2178" uniqueCount="462">
  <si>
    <t>炼化公司生产月报表</t>
  </si>
  <si>
    <t>填报单位：炼化公司</t>
  </si>
  <si>
    <t>2025-11</t>
  </si>
  <si>
    <t>陕油统 炼化B-401</t>
  </si>
  <si>
    <t>指标名称</t>
  </si>
  <si>
    <t>单位</t>
  </si>
  <si>
    <t>本月生产</t>
  </si>
  <si>
    <t>本年生产</t>
  </si>
  <si>
    <t>去年同期</t>
  </si>
  <si>
    <t>同比
增长</t>
  </si>
  <si>
    <t>月计划</t>
  </si>
  <si>
    <t>月完成</t>
  </si>
  <si>
    <t>完成率%</t>
  </si>
  <si>
    <t>年计划</t>
  </si>
  <si>
    <t>年完成</t>
  </si>
  <si>
    <t>本月</t>
  </si>
  <si>
    <t>本年</t>
  </si>
  <si>
    <t>一、装置加工量</t>
  </si>
  <si>
    <t xml:space="preserve"> 1、原料油（气）加工量</t>
  </si>
  <si>
    <t>吨</t>
  </si>
  <si>
    <t xml:space="preserve">    其中：原油</t>
  </si>
  <si>
    <t xml:space="preserve">          甲醇</t>
  </si>
  <si>
    <t xml:space="preserve">          MTBE</t>
  </si>
  <si>
    <t xml:space="preserve">          1#渣油</t>
  </si>
  <si>
    <t xml:space="preserve">          裂解石脑油</t>
  </si>
  <si>
    <t xml:space="preserve">          上古液化气</t>
  </si>
  <si>
    <t xml:space="preserve">          醋酸</t>
  </si>
  <si>
    <t xml:space="preserve">          异辛烷组分</t>
  </si>
  <si>
    <t xml:space="preserve">          异丁烷</t>
  </si>
  <si>
    <t xml:space="preserve"> 2、常压装置加工量</t>
  </si>
  <si>
    <t xml:space="preserve">      原油加工量</t>
  </si>
  <si>
    <t xml:space="preserve">            其中：进口原油加工量</t>
  </si>
  <si>
    <t xml:space="preserve"> 3、催化装置加工量</t>
  </si>
  <si>
    <r>
      <rPr>
        <charset val="134"/>
        <rFont val="等线"/>
        <sz val="10"/>
      </rPr>
      <t xml:space="preserve">    其中：1</t>
    </r>
    <r>
      <rPr>
        <charset val="134"/>
        <rFont val="等线"/>
        <sz val="10"/>
        <vertAlign val="superscript"/>
      </rPr>
      <t>#</t>
    </r>
    <r>
      <rPr>
        <charset val="134"/>
        <rFont val="等线"/>
        <sz val="10"/>
      </rPr>
      <t>渣油加工量</t>
    </r>
  </si>
  <si>
    <t xml:space="preserve"> 4、重整装置处理量</t>
  </si>
  <si>
    <t xml:space="preserve"> 5、DCC石脑油加氢处理量</t>
  </si>
  <si>
    <t xml:space="preserve"> 6、DCC裂解轻油加氢处理量</t>
  </si>
  <si>
    <t xml:space="preserve"> 7、汽油加氢精制处理量</t>
  </si>
  <si>
    <t xml:space="preserve"> 8、柴油加氢精制处理量</t>
  </si>
  <si>
    <t xml:space="preserve"> 9、气分装置加工量</t>
  </si>
  <si>
    <t>10、航煤装置处理量</t>
  </si>
  <si>
    <t>11、烷基化装置处理量</t>
  </si>
  <si>
    <t>12、混合脱氢装置处理量</t>
  </si>
  <si>
    <t>二、油气产品产销量</t>
  </si>
  <si>
    <t xml:space="preserve"> 1、汽油产量</t>
  </si>
  <si>
    <t xml:space="preserve"> ⑴ 92#VI</t>
  </si>
  <si>
    <t xml:space="preserve"> ⑵ 95#VI</t>
  </si>
  <si>
    <t xml:space="preserve"> ⑶ 98#Ⅵ</t>
  </si>
  <si>
    <t xml:space="preserve"> 2、柴油产量</t>
  </si>
  <si>
    <t xml:space="preserve"> ⑴ 军用柴油</t>
  </si>
  <si>
    <t xml:space="preserve"> ⑵   0#VI</t>
  </si>
  <si>
    <t xml:space="preserve"> ⑶ -10#VI</t>
  </si>
  <si>
    <t xml:space="preserve"> ⑷ -20#VI</t>
  </si>
  <si>
    <t xml:space="preserve"> ⑸ -35#VI</t>
  </si>
  <si>
    <t xml:space="preserve"> 3、3#喷气燃料销量（航煤）</t>
  </si>
  <si>
    <t xml:space="preserve"> 4.石脑油销售量</t>
  </si>
  <si>
    <t xml:space="preserve"> ⑴ 石脑油Ⅰ</t>
  </si>
  <si>
    <t xml:space="preserve"> ⑵ 石脑油Ⅱ</t>
  </si>
  <si>
    <t xml:space="preserve"> ⑶ 石脑油Ⅲ</t>
  </si>
  <si>
    <t xml:space="preserve"> 5、液化气销量</t>
  </si>
  <si>
    <t xml:space="preserve"> ⑴ 催化液化气</t>
  </si>
  <si>
    <t xml:space="preserve"> ⑵ 醚后碳四</t>
  </si>
  <si>
    <t xml:space="preserve"> ⑶ 民用液化气</t>
  </si>
  <si>
    <t xml:space="preserve"> ⑷ 正丁烷</t>
  </si>
  <si>
    <t xml:space="preserve"> 6、1#渣油销量（供榆能化）</t>
  </si>
  <si>
    <r>
      <rPr>
        <charset val="134"/>
        <rFont val="等线"/>
        <sz val="10"/>
      </rPr>
      <t xml:space="preserve"> 7、2</t>
    </r>
    <r>
      <rPr>
        <charset val="134"/>
        <rFont val="等线"/>
        <sz val="10"/>
        <vertAlign val="superscript"/>
      </rPr>
      <t>#</t>
    </r>
    <r>
      <rPr>
        <charset val="134"/>
        <rFont val="等线"/>
        <sz val="10"/>
      </rPr>
      <t>渣油销量</t>
    </r>
  </si>
  <si>
    <t xml:space="preserve"> 8、聚丙烯产量</t>
  </si>
  <si>
    <t xml:space="preserve"> 9、苯乙烯产量</t>
  </si>
  <si>
    <t xml:space="preserve"> 10、苯销量</t>
  </si>
  <si>
    <t xml:space="preserve"> 11、二甲苯销量</t>
  </si>
  <si>
    <t xml:space="preserve"> 12、醋酸仲丁酯产量</t>
  </si>
  <si>
    <t xml:space="preserve"> 13、精制硫磺销量</t>
  </si>
  <si>
    <t xml:space="preserve"> 14、粗硫磺销量</t>
  </si>
  <si>
    <t xml:space="preserve"> 15、丙烯销量</t>
  </si>
  <si>
    <t xml:space="preserve"> 16、硫酸铵销量</t>
  </si>
  <si>
    <t xml:space="preserve"> 17、异辛烷组分产量</t>
  </si>
  <si>
    <t xml:space="preserve"> 18、异辛烷组分销量</t>
  </si>
  <si>
    <t xml:space="preserve"> 19、MTBE产量</t>
  </si>
  <si>
    <t xml:space="preserve"> 20、MTBE销量</t>
  </si>
  <si>
    <t xml:space="preserve"> 21、液氨销量</t>
  </si>
  <si>
    <t xml:space="preserve"> 22、3#喷气燃料产量</t>
  </si>
  <si>
    <t>三、综合指标</t>
  </si>
  <si>
    <t xml:space="preserve"> 1、成品油产量(汽油+柴油+航煤)</t>
  </si>
  <si>
    <t xml:space="preserve"> 2、综合商品量</t>
  </si>
  <si>
    <t xml:space="preserve"> 3、综合商品率</t>
  </si>
  <si>
    <t>%</t>
  </si>
  <si>
    <t xml:space="preserve"> 4、综合自用率</t>
  </si>
  <si>
    <t xml:space="preserve"> 5、综合加工损失率</t>
  </si>
  <si>
    <t xml:space="preserve"> 6、炼油综合能耗</t>
  </si>
  <si>
    <t>kg标油/t</t>
  </si>
  <si>
    <t xml:space="preserve"> 7、丙烯单耗</t>
  </si>
  <si>
    <t>t/t</t>
  </si>
  <si>
    <t xml:space="preserve"> 8、石油产品出厂合格率</t>
  </si>
  <si>
    <t>四、装置收率</t>
  </si>
  <si>
    <t xml:space="preserve"> 1、常压装置轻质油收率</t>
  </si>
  <si>
    <t xml:space="preserve"> 2、催化装置汽柴液总收率</t>
  </si>
  <si>
    <t xml:space="preserve">    其中：催化装置轻质油收率</t>
  </si>
  <si>
    <t xml:space="preserve">          催化装置液化气收率</t>
  </si>
  <si>
    <t xml:space="preserve"> 3、重整装置总收率</t>
  </si>
  <si>
    <t xml:space="preserve"> 4、气体分馏装置丙烯收率</t>
  </si>
  <si>
    <t xml:space="preserve"> 5、MTBE装置MTBE收率</t>
  </si>
  <si>
    <t xml:space="preserve"> 6、醋酸仲丁酯收率</t>
  </si>
  <si>
    <t xml:space="preserve"> 7、聚丙烯装置收率</t>
  </si>
  <si>
    <t xml:space="preserve"> 8、汽油加氢精制总收率</t>
  </si>
  <si>
    <t xml:space="preserve"> 9、柴油加氢精制总收率</t>
  </si>
  <si>
    <t>10、苯乙烯收率</t>
  </si>
  <si>
    <t>备注</t>
  </si>
  <si>
    <t>主管领导：</t>
  </si>
  <si>
    <t>曹培宽</t>
  </si>
  <si>
    <t xml:space="preserve"> 部门负责人：</t>
  </si>
  <si>
    <t>郝新宇</t>
  </si>
  <si>
    <t xml:space="preserve">  审核人：</t>
  </si>
  <si>
    <t>陈雄伟</t>
  </si>
  <si>
    <t>编制：</t>
  </si>
  <si>
    <t>肖璇</t>
  </si>
  <si>
    <t>月</t>
  </si>
  <si>
    <t>年</t>
  </si>
  <si>
    <t>延炼</t>
  </si>
  <si>
    <t>永炼</t>
  </si>
  <si>
    <t>榆炼</t>
  </si>
  <si>
    <t>石化</t>
  </si>
  <si>
    <t>合计</t>
  </si>
  <si>
    <t>自用率</t>
  </si>
  <si>
    <t>损失率</t>
  </si>
  <si>
    <t>炼油综合能耗</t>
  </si>
  <si>
    <t>石脑油 常压</t>
  </si>
  <si>
    <t>重整氢汽油</t>
  </si>
  <si>
    <t>炼化公司生产月报表（延炼）</t>
  </si>
  <si>
    <t>汽油</t>
  </si>
  <si>
    <t>柴油</t>
  </si>
  <si>
    <t xml:space="preserve">    原油加工量</t>
  </si>
  <si>
    <t xml:space="preserve">        其中：进口原油加工量</t>
  </si>
  <si>
    <r>
      <rPr>
        <charset val="134"/>
        <rFont val="宋体"/>
        <sz val="9"/>
      </rPr>
      <t xml:space="preserve">    其中：1</t>
    </r>
    <r>
      <rPr>
        <charset val="134"/>
        <rFont val="宋体"/>
        <sz val="9"/>
        <vertAlign val="superscript"/>
      </rPr>
      <t>#</t>
    </r>
    <r>
      <rPr>
        <charset val="134"/>
        <rFont val="宋体"/>
        <sz val="9"/>
      </rPr>
      <t>渣油加工量</t>
    </r>
  </si>
  <si>
    <r>
      <rPr>
        <charset val="134"/>
        <rFont val="宋体"/>
        <sz val="9"/>
      </rPr>
      <t xml:space="preserve"> 7、2</t>
    </r>
    <r>
      <rPr>
        <charset val="134"/>
        <rFont val="宋体"/>
        <sz val="9"/>
        <vertAlign val="superscript"/>
      </rPr>
      <t>#</t>
    </r>
    <r>
      <rPr>
        <charset val="134"/>
        <rFont val="宋体"/>
        <sz val="9"/>
      </rPr>
      <t>渣油销量</t>
    </r>
  </si>
  <si>
    <r>
      <rPr>
        <charset val="134"/>
        <rFont val="宋体"/>
        <sz val="9"/>
      </rPr>
      <t xml:space="preserve"> </t>
    </r>
    <r>
      <rPr>
        <charset val="134"/>
        <rFont val="宋体"/>
        <sz val="9"/>
      </rPr>
      <t>3</t>
    </r>
    <r>
      <rPr>
        <charset val="134"/>
        <rFont val="宋体"/>
        <sz val="9"/>
      </rPr>
      <t>、综合商品率</t>
    </r>
  </si>
  <si>
    <r>
      <rPr>
        <charset val="134"/>
        <rFont val="宋体"/>
        <sz val="9"/>
      </rPr>
      <t xml:space="preserve"> </t>
    </r>
    <r>
      <rPr>
        <charset val="134"/>
        <rFont val="宋体"/>
        <sz val="9"/>
      </rPr>
      <t>4</t>
    </r>
    <r>
      <rPr>
        <charset val="134"/>
        <rFont val="宋体"/>
        <sz val="9"/>
      </rPr>
      <t>、综合自用率</t>
    </r>
  </si>
  <si>
    <r>
      <rPr>
        <charset val="134"/>
        <rFont val="宋体"/>
        <sz val="9"/>
      </rPr>
      <t xml:space="preserve"> </t>
    </r>
    <r>
      <rPr>
        <charset val="134"/>
        <rFont val="宋体"/>
        <sz val="9"/>
      </rPr>
      <t>5</t>
    </r>
    <r>
      <rPr>
        <charset val="134"/>
        <rFont val="宋体"/>
        <sz val="9"/>
      </rPr>
      <t>、综合加工损失率</t>
    </r>
  </si>
  <si>
    <t>备注： 1、本月延炼催化装置轻质油收率69.78%，其中催化汽柴油收率69.35%，回炼油收率0.43；延炼催化装置轻质油累计收率69.78%，</t>
  </si>
  <si>
    <r>
      <rPr>
        <charset val="134"/>
        <rFont val="宋体"/>
        <sz val="9"/>
      </rPr>
      <t>其中催化汽柴油收率69.35%，回炼油收率</t>
    </r>
    <r>
      <rPr>
        <charset val="134"/>
        <rFont val="宋体"/>
        <sz val="9"/>
      </rPr>
      <t>0.</t>
    </r>
    <r>
      <rPr>
        <charset val="134"/>
        <rFont val="宋体"/>
        <sz val="9"/>
      </rPr>
      <t>43%。</t>
    </r>
  </si>
  <si>
    <t xml:space="preserve">       2、延炼当月剔除掺炼丙烯0吨，丙烯收率为29.36%；全年剔除掺炼丙烯0吨，丙烯收率为29.36%。  </t>
  </si>
  <si>
    <t xml:space="preserve">    </t>
  </si>
  <si>
    <t>主管领导：段子明</t>
  </si>
  <si>
    <t xml:space="preserve">  部门负责人：王震</t>
  </si>
  <si>
    <t xml:space="preserve">  审核人：陈雄伟</t>
  </si>
  <si>
    <t>编制：程清明</t>
  </si>
  <si>
    <t>原料处理量</t>
  </si>
  <si>
    <t>石脑油Ⅲ产量</t>
  </si>
  <si>
    <t>汽油产量</t>
  </si>
  <si>
    <t>柴油产量</t>
  </si>
  <si>
    <t>综合商品量</t>
  </si>
  <si>
    <t>进口原油加工量</t>
  </si>
  <si>
    <t>炼化公司生产月报表（永炼）</t>
  </si>
  <si>
    <t>原油</t>
  </si>
  <si>
    <t xml:space="preserve"> 12、醋酸仲丁酯销量</t>
  </si>
  <si>
    <t>.</t>
  </si>
  <si>
    <t>新增石脑油1的取值和计划（2023-4-7）</t>
  </si>
  <si>
    <t>进口原油</t>
  </si>
  <si>
    <t>炼化公司生产月报表（榆炼）</t>
  </si>
  <si>
    <t xml:space="preserve">             其中：进口原油加工量</t>
  </si>
  <si>
    <t>25、综合商品量</t>
  </si>
  <si>
    <t>备注：</t>
  </si>
  <si>
    <t xml:space="preserve">      </t>
  </si>
  <si>
    <t>批注在</t>
  </si>
  <si>
    <t>原料产品平衡表</t>
  </si>
  <si>
    <t>石脑油1</t>
  </si>
  <si>
    <t>炼化公司生产月报表（石化厂）</t>
  </si>
  <si>
    <t xml:space="preserve">           其中：进口原油加工量</t>
  </si>
  <si>
    <t>石化厂</t>
  </si>
  <si>
    <t>取值来源</t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</si>
  <si>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_原油_装置加工量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</si>
  <si>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_原油加工量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</si>
  <si>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_原油_装置加工量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</si>
  <si>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_原油_装置加工量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</si>
  <si>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_甲醇_外购量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</si>
  <si>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_甲醇外购量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</si>
  <si>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_甲醇外购量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</si>
  <si>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_甲醇_外购量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</si>
  <si>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_MTBE_外购量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</si>
  <si>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_MTBE外购量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</si>
  <si>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_MTBE_外购量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</si>
  <si>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_MTBE外购量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</si>
  <si>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_1#渣油_外购量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</si>
  <si>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_1#渣油外购量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</si>
  <si>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_1#渣油外购量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</si>
  <si>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_1#渣油外购量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</si>
  <si>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原料成品收拨平衡表_</t>
    </r>
    <r>
      <rPr>
        <charset val="134"/>
        <color rgb="FF000000"/>
        <rFont val="等线"/>
        <sz val="10"/>
      </rPr>
      <t xml:space="preserve"> DCC裂解石脑油_外购量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</si>
  <si>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_DCC裂解石脑油外购量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</si>
  <si>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_DCC裂解石脑油_外购量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</si>
  <si>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_DCC裂解石脑油外购量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</si>
  <si>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_催化液化气_外购量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</si>
  <si>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_催化液化气外购量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</si>
  <si>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_催化原料液化气_外购量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</si>
  <si>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_催化液化气外购量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</si>
  <si>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_醋酸_外购量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</si>
  <si>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_醋酸外购量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</si>
  <si>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_醋酸外购量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</si>
  <si>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_醋酸外购量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</si>
  <si>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_烷基化油_外购量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</si>
  <si>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_烷基化油外购量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</si>
  <si>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_烷基化油外购量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</si>
  <si>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_烷基化油外购量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</si>
  <si>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_异丁烷_外购量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</si>
  <si>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_异丁烷外购量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</si>
  <si>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_异丁烷外购量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</si>
  <si>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_异丁烷_外购量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</si>
  <si>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_常压装置原油加工量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</si>
  <si>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_常压装置原油加工量</t>
    </r>
  </si>
  <si>
    <t xml:space="preserve">    其中：原油加工量</t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</si>
  <si>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_催化装置加工量</t>
    </r>
  </si>
  <si>
    <r>
      <rPr>
        <charset val="134"/>
        <color rgb="FF000000"/>
        <rFont val="等线"/>
        <sz val="10"/>
      </rPr>
      <t>永炼_炼油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_催化装置加工量_本月完成值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</si>
  <si>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_催化装置加工量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</si>
  <si>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_催化装置加工量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</si>
  <si>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_1#渣油_装置加工量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</si>
  <si>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_1#渣油加工量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</si>
  <si>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_1#渣油加工量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</si>
  <si>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_1#渣油加工量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</si>
  <si>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_重整装置加工量</t>
    </r>
  </si>
  <si>
    <r>
      <rPr>
        <charset val="134"/>
        <color rgb="FF000000"/>
        <rFont val="等线"/>
        <sz val="10"/>
      </rPr>
      <t>永炼_炼油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_重整装置处理量_本月完成值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</si>
  <si>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_重整装置处理量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</si>
  <si>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_重整装置处理量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</si>
  <si>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_DCC石脑油加氢加工量</t>
    </r>
  </si>
  <si>
    <r>
      <rPr>
        <charset val="134"/>
        <color rgb="FF000000"/>
        <rFont val="等线"/>
        <sz val="10"/>
      </rPr>
      <t>永炼_炼油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_DCC石脑油加氢_本月完成值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</si>
  <si>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_DCC裂解石脑油装置加工量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</si>
  <si>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_DCC裂解石脑油装置加工量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</si>
  <si>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_DCC裂解轻油加氢加工量</t>
    </r>
  </si>
  <si>
    <r>
      <rPr>
        <charset val="134"/>
        <color rgb="FF000000"/>
        <rFont val="等线"/>
        <sz val="10"/>
      </rPr>
      <t>永炼_炼油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_DCC裂解轻油加氢_本月完成值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</si>
  <si>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_DCC裂解轻油加氢加工量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</si>
  <si>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_DCC裂解轻油加氢加工量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</si>
  <si>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_汽油加氢精制加工量</t>
    </r>
  </si>
  <si>
    <r>
      <rPr>
        <charset val="134"/>
        <color rgb="FF000000"/>
        <rFont val="等线"/>
        <sz val="10"/>
      </rPr>
      <t>永炼_炼油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_汽油精制装置加工量_本月完成值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</si>
  <si>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_汽油精制装置加工量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</si>
  <si>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_汽油精制装置总收率_母项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</si>
  <si>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_柴油加氢精制加工量</t>
    </r>
  </si>
  <si>
    <r>
      <rPr>
        <charset val="134"/>
        <color rgb="FF000000"/>
        <rFont val="等线"/>
        <sz val="10"/>
      </rPr>
      <t>永炼_炼油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_柴油加氢精制装置加工量_本月完成值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</si>
  <si>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_柴油精制装置加工量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</si>
  <si>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_柴油精制装置加工量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</si>
  <si>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_气体分馏装置加工量</t>
    </r>
  </si>
  <si>
    <r>
      <rPr>
        <charset val="134"/>
        <color rgb="FF000000"/>
        <rFont val="等线"/>
        <sz val="10"/>
      </rPr>
      <t>永炼_炼油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_气体分馏装置_本月完成值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</si>
  <si>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_气体分馏装置加工量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</si>
  <si>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_气体分馏装置加工量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</si>
  <si>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_航煤加氢装置加工量</t>
    </r>
  </si>
  <si>
    <r>
      <rPr>
        <charset val="134"/>
        <color rgb="FF000000"/>
        <rFont val="等线"/>
        <sz val="10"/>
      </rPr>
      <t>永炼_炼油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_加氢装置处理量_本月完成值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</si>
  <si>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_航煤装置加工量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</si>
  <si>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_航煤装置加工量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</si>
  <si>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_烷基化装置加工量</t>
    </r>
  </si>
  <si>
    <r>
      <rPr>
        <charset val="134"/>
        <color rgb="FF000000"/>
        <rFont val="等线"/>
        <sz val="10"/>
      </rPr>
      <t>永炼_炼油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_烷基化装置_本月完成值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</si>
  <si>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_烷基化装置加工量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</si>
  <si>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_烷基化装置加工量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</si>
  <si>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_混合脱氢装置加工量</t>
    </r>
  </si>
  <si>
    <r>
      <rPr>
        <charset val="134"/>
        <color rgb="FF000000"/>
        <rFont val="等线"/>
        <sz val="10"/>
      </rPr>
      <t>永炼_炼油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_混合脱氢装置_本月完成值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</si>
  <si>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_混合脱氢装置加工量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</si>
  <si>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_混合脱氢装置加工量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</si>
  <si>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_92#_生产量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</si>
  <si>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_92#入库量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</si>
  <si>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_92#_生产量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</si>
  <si>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_92#生产量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</si>
  <si>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_95#_生产量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</si>
  <si>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_95#入库量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</si>
  <si>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_95#_生产量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</si>
  <si>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_95#生产量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</si>
  <si>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_98#_生产量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</si>
  <si>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_98#入库量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</si>
  <si>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_98#_生产量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</si>
  <si>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_98#生产量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</si>
  <si>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_军柴原料_生产量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</si>
  <si>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_军柴原料_生产量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</si>
  <si>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_军用柴油（原常二线）_生产量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</si>
  <si>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_军柴原料_生产量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</si>
  <si>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_0#_生产量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</si>
  <si>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_0#入库量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</si>
  <si>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_0#_生产量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</si>
  <si>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_0#生产量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</si>
  <si>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_-10#_生产量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</si>
  <si>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_-10#入库量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</si>
  <si>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_-10#_生产量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</si>
  <si>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_-10#生产量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</si>
  <si>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_-20#_生产量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</si>
  <si>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_-20#入库量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</si>
  <si>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_-20#_生产量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</si>
  <si>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_-20#生产量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</si>
  <si>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_-35#_生产量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</si>
  <si>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_-35#入库量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</si>
  <si>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_-35#_生产量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</si>
  <si>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_-35#生产量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</si>
  <si>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_3#喷气燃料_销售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</si>
  <si>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_航煤销售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</si>
  <si>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_3#喷气燃料_生产量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</si>
  <si>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_航煤销售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</si>
  <si>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_石脑油Ⅰ_销售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</si>
  <si>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_石脑油Ⅰ销售量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</si>
  <si>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_石脑油Ⅰ（常压石脑油）_销售</t>
    </r>
  </si>
  <si>
    <r>
      <rPr>
        <charset val="134"/>
        <color rgb="FF000000"/>
        <rFont val="等线"/>
        <sz val="10"/>
      </rPr>
      <t>延安石油化工厂_生产计划部__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_石脑油Ⅰ销售量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</si>
  <si>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_石脑油Ⅱ_销售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</si>
  <si>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_石脑油Ⅱ销售量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</si>
  <si>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_石脑油号Ⅱ（拔头油）_销售</t>
    </r>
  </si>
  <si>
    <r>
      <rPr>
        <charset val="134"/>
        <color rgb="FF000000"/>
        <rFont val="等线"/>
        <sz val="10"/>
      </rPr>
      <t>延安石油化工厂_生产计划部__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_石脑油Ⅱ销售量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</si>
  <si>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_石脑油III_销售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</si>
  <si>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_石脑油III_销售量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</si>
  <si>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_石脑油III_销售</t>
    </r>
  </si>
  <si>
    <r>
      <rPr>
        <charset val="134"/>
        <color rgb="FF000000"/>
        <rFont val="等线"/>
        <sz val="10"/>
      </rPr>
      <t>延安石油化工厂_生产计划部__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_石脑油III_销售量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</si>
  <si>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_催化液化气_销售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</si>
  <si>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_催化液化气销售量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</si>
  <si>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_催化原料液化气_销售</t>
    </r>
  </si>
  <si>
    <r>
      <rPr>
        <charset val="134"/>
        <color rgb="FF000000"/>
        <rFont val="等线"/>
        <sz val="10"/>
      </rPr>
      <t>延安石油化工厂_生产计划部__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_催化液化气销售量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</si>
  <si>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_醚后C4_销售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</si>
  <si>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_醚后C5_销售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</si>
  <si>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_醚后碳四_销售</t>
    </r>
  </si>
  <si>
    <r>
      <rPr>
        <charset val="134"/>
        <color rgb="FF000000"/>
        <rFont val="等线"/>
        <sz val="10"/>
      </rPr>
      <t>延安石油化工厂_生产计划部__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_醚后C5_销售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</si>
  <si>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_民用液化气_销售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</si>
  <si>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_民用液化气_销售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</si>
  <si>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_饱和液化气_销售</t>
    </r>
  </si>
  <si>
    <r>
      <rPr>
        <charset val="134"/>
        <color rgb="FF000000"/>
        <rFont val="等线"/>
        <sz val="10"/>
      </rPr>
      <t>延安石油化工厂_生产计划部__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_民用液化气_销售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</si>
  <si>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_正丁烷_销售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</si>
  <si>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_正丁烷_销售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</si>
  <si>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_正丁烷_销售</t>
    </r>
  </si>
  <si>
    <r>
      <rPr>
        <charset val="134"/>
        <color rgb="FF000000"/>
        <rFont val="等线"/>
        <sz val="10"/>
      </rPr>
      <t>延安石油化工厂_生产计划部__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_正丁烷_销售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</si>
  <si>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_1#渣油_销售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</si>
  <si>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_1#渣油销售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</si>
  <si>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_常压1#渣油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</si>
  <si>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#渣油销售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</si>
  <si>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_2#渣油_销售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</si>
  <si>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_2#渣油销售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</si>
  <si>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原料油、成品收拨平衡表_2</t>
    </r>
    <r>
      <rPr>
        <charset val="134"/>
        <color rgb="FF000000"/>
        <rFont val="等线"/>
        <sz val="10"/>
      </rPr>
      <t>#渣油_销售_管道+公路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</si>
  <si>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_聚丙烯_生产量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</si>
  <si>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_聚丙烯_生产量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</si>
  <si>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原料油、成品收拨平衡表_</t>
    </r>
    <r>
      <rPr>
        <charset val="134"/>
        <color rgb="FF000000"/>
        <rFont val="等线"/>
        <sz val="10"/>
      </rPr>
      <t>聚丙烯_生产量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</si>
  <si>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_聚丙烯（生产量）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</si>
  <si>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_苯乙烯_生产量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</si>
  <si>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_苯乙烯_生产量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</si>
  <si>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原料油、成品收拨平衡表_</t>
    </r>
    <r>
      <rPr>
        <charset val="134"/>
        <color rgb="FF000000"/>
        <rFont val="等线"/>
        <sz val="10"/>
      </rPr>
      <t>苯乙烯_生产量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</si>
  <si>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原料产品收拨平衡表_</t>
    </r>
    <r>
      <rPr>
        <charset val="134"/>
        <color rgb="FF000000"/>
        <rFont val="等线"/>
        <sz val="10"/>
      </rPr>
      <t>苯乙烯_生产量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</si>
  <si>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_苯_销售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</si>
  <si>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_苯_销售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</si>
  <si>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_苯_销售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</si>
  <si>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_苯_销售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</si>
  <si>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_二甲苯_销售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</si>
  <si>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_二甲苯_销售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</si>
  <si>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_二甲苯_销售</t>
    </r>
  </si>
  <si>
    <r>
      <rPr>
        <charset val="134"/>
        <color rgb="FF000000"/>
        <rFont val="等线"/>
        <sz val="10"/>
      </rPr>
      <t>延安石油化工厂_生产计划部__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_二甲苯_销售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</si>
  <si>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_醋酸仲丁酯_生产量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</si>
  <si>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_醋酸仲丁酯_生产量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</si>
  <si>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_醋酸仲丁酯_生产量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</si>
  <si>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_醋酸仲丁酯_生产量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</si>
  <si>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_精制硫磺销量_生产量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</si>
  <si>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_精制硫磺销量_生产量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</si>
  <si>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_精制硫磺_销售_公路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</si>
  <si>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_精制硫磺_销售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</si>
  <si>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_粗硫磺_销售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</si>
  <si>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_粗硫磺销售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</si>
  <si>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_粗硫磺销售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</si>
  <si>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_粗硫磺销售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</si>
  <si>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_丙烯_销售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</si>
  <si>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_丙烯_销售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</si>
  <si>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_丙烯_销售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</si>
  <si>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_硫酸铵_销售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</si>
  <si>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_硫酸铵_销售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</si>
  <si>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_硫酸铵_销售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</si>
  <si>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_硫酸铵_销售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</si>
  <si>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_烷基化油_生产量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</si>
  <si>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_烷基化油_生产量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</si>
  <si>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_烷基化油_生产量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</si>
  <si>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_异辛烷组分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</si>
  <si>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_烷基化油_销售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</si>
  <si>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_烷基化油_销售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</si>
  <si>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_烷基化油_销售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</si>
  <si>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_烷基化油_销售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</si>
  <si>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_MTBE_生产量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</si>
  <si>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_MTBE_生产量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</si>
  <si>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_MTBE_生产量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</si>
  <si>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_MTBE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</si>
  <si>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_MTBE_生销量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</si>
  <si>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_MTBE_生销量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</si>
  <si>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半成品收拨平衡表</t>
    </r>
    <r>
      <rPr>
        <charset val="134"/>
        <color rgb="FF000000"/>
        <rFont val="等线"/>
        <sz val="10"/>
      </rPr>
      <t>_MTBE_生销量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</si>
  <si>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_MTBE_销售</t>
    </r>
  </si>
  <si>
    <r>
      <rPr>
        <charset val="134"/>
        <color rgb="FF000000"/>
        <rFont val="等线"/>
        <sz val="10"/>
      </rPr>
      <t>延炼_生产计划部_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_液氨_销售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</si>
  <si>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_液氨_销售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</si>
  <si>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_液氨_销售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</si>
  <si>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_液氨_销售</t>
    </r>
  </si>
  <si>
    <r>
      <rPr>
        <charset val="134"/>
        <color rgb="FF000000"/>
        <rFont val="等线"/>
        <sz val="10"/>
      </rPr>
      <t>永炼_生产计划部_</t>
    </r>
    <r>
      <rPr>
        <b/>
        <charset val="134"/>
        <color rgb="FF000000"/>
        <rFont val="等线"/>
        <sz val="10"/>
      </rPr>
      <t>原料成品收拨平衡表</t>
    </r>
    <r>
      <rPr>
        <charset val="134"/>
        <color rgb="FF000000"/>
        <rFont val="等线"/>
        <sz val="10"/>
      </rPr>
      <t>_3#喷气燃料_销售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</si>
  <si>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原料油、成品收拨平衡表</t>
    </r>
    <r>
      <rPr>
        <charset val="134"/>
        <color rgb="FF000000"/>
        <rFont val="等线"/>
        <sz val="10"/>
      </rPr>
      <t>_3#喷气燃料_销售</t>
    </r>
  </si>
  <si>
    <r>
      <rPr>
        <charset val="134"/>
        <color rgb="FF000000"/>
        <rFont val="等线"/>
        <sz val="10"/>
      </rPr>
      <t>延安石油化工厂_生产计划部_</t>
    </r>
    <r>
      <rPr>
        <b/>
        <charset val="134"/>
        <color rgb="FF000000"/>
        <rFont val="等线"/>
        <sz val="10"/>
      </rPr>
      <t>原料产品收拨平衡表</t>
    </r>
    <r>
      <rPr>
        <charset val="134"/>
        <color rgb="FF000000"/>
        <rFont val="等线"/>
        <sz val="10"/>
      </rPr>
      <t>_3#喷气燃料_销售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</si>
  <si>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_综合商品量</t>
    </r>
  </si>
  <si>
    <r>
      <rPr>
        <charset val="134"/>
        <color rgb="FF000000"/>
        <rFont val="等线"/>
        <sz val="10"/>
      </rPr>
      <t>永炼_炼油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_综合商品量_本月完成值</t>
    </r>
  </si>
  <si>
    <r>
      <rPr>
        <charset val="134"/>
        <color rgb="FF000000"/>
        <rFont val="等线"/>
        <sz val="10"/>
      </rPr>
      <t>榆炼_炼油</t>
    </r>
    <r>
      <rPr>
        <b/>
        <charset val="134"/>
        <color rgb="FF000000"/>
        <rFont val="等线"/>
        <sz val="10"/>
      </rPr>
      <t>装置加工量及主要产品产量表</t>
    </r>
    <r>
      <rPr>
        <charset val="134"/>
        <color rgb="FF000000"/>
        <rFont val="等线"/>
        <sz val="10"/>
      </rPr>
      <t>_综合商品量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</si>
  <si>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装置加工量及主要产品产量月报</t>
    </r>
    <r>
      <rPr>
        <charset val="134"/>
        <color rgb="FF000000"/>
        <rFont val="等线"/>
        <sz val="10"/>
      </rPr>
      <t>_综合商品量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</si>
  <si>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_石油产品可比综合商品率_月子项/月母项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</si>
  <si>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_石油产品可比综合商品率_本月子项/本月母项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</si>
  <si>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_石油产品可比综合商品率_本月子项/本月母项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</si>
  <si>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_吨原料油（气）耗新鲜水_可比综合商品率_子项/母项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</si>
  <si>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_石油产品综合自用率_月子项/月母项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</si>
  <si>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_石油产品综合自用率_本月子项/本月母项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</si>
  <si>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_石油产品综合自用率_本月子项/本月母项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</si>
  <si>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_吨原料油（气）耗新鲜水_石油产品综合自用率_子项/母项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</si>
  <si>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_原油加工损失率_月子项/月母项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</si>
  <si>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_原油加工损失率_本月子项/本月母项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</si>
  <si>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_原油加工损失率_本月子项/本月母项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</si>
  <si>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_吨原料油（气）耗新鲜水_综合加工损失率_子项/母项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</si>
  <si>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_炼油综合能耗_月子项/月母项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</si>
  <si>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_综合能耗_本月子项/本月母项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</si>
  <si>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_加工一吨原油综合能耗_本月子项/本月母项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</si>
  <si>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_炼油综合能耗_子项/母项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</si>
  <si>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_丙烯单耗_月子项/月母项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</si>
  <si>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_丙烯单耗_月子项/月母项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</si>
  <si>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_丙烯单耗_月子项/月母项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</si>
  <si>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_聚丙烯装置收率_子项/母项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</si>
  <si>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_石油产品出厂合格率_月子项/月母项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</si>
  <si>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_石油产品出厂合格率_月子项/月母项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</si>
  <si>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_石油产品出厂合格率_月子项/月母项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</si>
  <si>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_石油产品出厂合格率_子项/母项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</si>
  <si>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_常压装置轻质油收率_月子项/月母项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</si>
  <si>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_常压装置轻质油收率_本月子项/本月母项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</si>
  <si>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主要技术经济指标（续）</t>
    </r>
    <r>
      <rPr>
        <charset val="134"/>
        <color rgb="FF000000"/>
        <rFont val="等线"/>
        <sz val="10"/>
      </rPr>
      <t>_常压装置轻质油收率_子项/母项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</si>
  <si>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_常压装置轻质油收率_子项/母项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</si>
  <si>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_催化装置总拔出率_月子项/月母项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</si>
  <si>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_催化装置总拔出率_本月子项/本月母项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</si>
  <si>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主要技术经济指标（续）</t>
    </r>
    <r>
      <rPr>
        <charset val="134"/>
        <color rgb="FF000000"/>
        <rFont val="等线"/>
        <sz val="10"/>
      </rPr>
      <t>_催化装置总拔出率_子项/母项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</si>
  <si>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_催化装置总拔出率_子项/母项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</si>
  <si>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_催化装置液化气收率_月子项/月母项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</si>
  <si>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_催化装置液化气收率_本月子项/本月母项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</si>
  <si>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主要技术经济指标（续）</t>
    </r>
    <r>
      <rPr>
        <charset val="134"/>
        <color rgb="FF000000"/>
        <rFont val="等线"/>
        <sz val="10"/>
      </rPr>
      <t>_催化装置液化气收率_子项/母项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</si>
  <si>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_催化装置液化气收率_子项/母项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</si>
  <si>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_重整装置总收率_月子项/月母项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</si>
  <si>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_重整装置总收率_本月子项/本月母项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</si>
  <si>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主要技术经济指标（续）</t>
    </r>
    <r>
      <rPr>
        <charset val="134"/>
        <color rgb="FF000000"/>
        <rFont val="等线"/>
        <sz val="10"/>
      </rPr>
      <t>_重整装置总收率_子项/母项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</si>
  <si>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_重整装置总收率_子项/母项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</si>
  <si>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_气体分馏装置丙烯收率1_月子项/月母项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</si>
  <si>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_气体分馏装置丙烯收率1_月子项/月母项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</si>
  <si>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主要技术经济指标（续）</t>
    </r>
    <r>
      <rPr>
        <charset val="134"/>
        <color rgb="FF000000"/>
        <rFont val="等线"/>
        <sz val="10"/>
      </rPr>
      <t>_气体分馏装置丙烯收率1_月子项/月母项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</si>
  <si>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_丙烯收率_子项/母项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</si>
  <si>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_MTBE装置MTBE收率_月子项/月母项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</si>
  <si>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_MTBE装置MTBE收率_月子项/月母项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</si>
  <si>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主要技术经济指标（续）</t>
    </r>
    <r>
      <rPr>
        <charset val="134"/>
        <color rgb="FF000000"/>
        <rFont val="等线"/>
        <sz val="10"/>
      </rPr>
      <t>_MTBE装置MTBE收率_月子项/月母项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</si>
  <si>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_两套MTBE收率_子项/母项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</si>
  <si>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_醋酸仲丁酯收率_月子项/月母项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</si>
  <si>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_醋酸仲丁酯收率_月子项/月母项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</si>
  <si>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主要技术经济指标（续）</t>
    </r>
    <r>
      <rPr>
        <charset val="134"/>
        <color rgb="FF000000"/>
        <rFont val="等线"/>
        <sz val="10"/>
      </rPr>
      <t>_醋酸仲丁酯收率_月子项/月母项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</si>
  <si>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_醋酸仲丁酯收率_子项/母项</t>
    </r>
  </si>
  <si>
    <r>
      <rPr>
        <charset val="134"/>
        <color rgb="FF000000"/>
        <rFont val="等线"/>
        <sz val="10"/>
      </rPr>
      <t>延炼_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_聚丙烯装置收率_月子项/月母项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</si>
  <si>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_聚丙烯装置收率_月子项/月母项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</si>
  <si>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主要技术经济指标（续）</t>
    </r>
    <r>
      <rPr>
        <charset val="134"/>
        <color rgb="FF000000"/>
        <rFont val="等线"/>
        <sz val="10"/>
      </rPr>
      <t>_聚丙烯装置收率_月子项/月母项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</si>
  <si>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_汽油精制装置总收率_本月子项/本月母项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</si>
  <si>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_90万吨汽油精制装置总收率_本月子项/本月母项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</si>
  <si>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主要技术经济指标（续）</t>
    </r>
    <r>
      <rPr>
        <charset val="134"/>
        <color rgb="FF000000"/>
        <rFont val="等线"/>
        <sz val="10"/>
      </rPr>
      <t>_汽油精制装置收率_子项/母项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</si>
  <si>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_汽油精制装置总收率_子项/母项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</si>
  <si>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_柴油加氢精制总收率_本月子项/本月母项</t>
    </r>
  </si>
  <si>
    <r>
      <rPr>
        <charset val="134"/>
        <color rgb="FF000000"/>
        <rFont val="等线"/>
        <sz val="10"/>
      </rPr>
      <t>永炼_</t>
    </r>
    <r>
      <rPr>
        <b/>
        <charset val="134"/>
        <color rgb="FF000000"/>
        <rFont val="等线"/>
        <sz val="10"/>
      </rPr>
      <t>主要技术经济指标</t>
    </r>
    <r>
      <rPr>
        <charset val="134"/>
        <color rgb="FF000000"/>
        <rFont val="等线"/>
        <sz val="10"/>
      </rPr>
      <t>_140万吨加氢精制装置总收率_本月子项/本月母项</t>
    </r>
  </si>
  <si>
    <r>
      <rPr>
        <charset val="134"/>
        <color rgb="FF000000"/>
        <rFont val="等线"/>
        <sz val="10"/>
      </rPr>
      <t>榆炼_</t>
    </r>
    <r>
      <rPr>
        <b/>
        <charset val="134"/>
        <color rgb="FF000000"/>
        <rFont val="等线"/>
        <sz val="10"/>
      </rPr>
      <t>主要技术经济指标（续</t>
    </r>
    <r>
      <rPr>
        <charset val="134"/>
        <color rgb="FF000000"/>
        <rFont val="等线"/>
        <sz val="10"/>
      </rPr>
      <t>）_柴油精制装置收率_子项/母项</t>
    </r>
  </si>
  <si>
    <r>
      <rPr>
        <charset val="134"/>
        <color rgb="FF000000"/>
        <rFont val="等线"/>
        <sz val="10"/>
      </rPr>
      <t>延安石油化工厂_生产_</t>
    </r>
    <r>
      <rPr>
        <b/>
        <charset val="134"/>
        <color rgb="FF000000"/>
        <rFont val="等线"/>
        <sz val="10"/>
      </rPr>
      <t>主要技术指标</t>
    </r>
    <r>
      <rPr>
        <charset val="134"/>
        <color rgb="FF000000"/>
        <rFont val="等线"/>
        <sz val="10"/>
      </rPr>
      <t>_柴油加氢精制收率_子项/母项</t>
    </r>
  </si>
  <si>
    <t>原料、成品收拨平衡表</t>
  </si>
  <si>
    <t>原料油、产品收拨平衡统计月报表</t>
  </si>
  <si>
    <t>半成品收拨平衡表</t>
  </si>
  <si>
    <t>半成品平衡表</t>
  </si>
  <si>
    <t>半成品收拨平衡月统计表</t>
  </si>
  <si>
    <t>装置加工量及主要产品产量表</t>
  </si>
  <si>
    <t>装置加工量及主要产品</t>
  </si>
  <si>
    <t>炼油装置加工量及主要产品产量表</t>
  </si>
  <si>
    <t>主要技术经济指标</t>
  </si>
  <si>
    <t>技术经济指标（一）</t>
  </si>
  <si>
    <t>技术经济指标（二）</t>
  </si>
  <si>
    <t>主要技术经济指标（续）</t>
  </si>
  <si>
    <t xml:space="preserve">       其中：进口原油加工量</t>
  </si>
  <si>
    <r>
      <rPr>
        <charset val="134"/>
        <rFont val="宋体"/>
        <sz val="9"/>
      </rPr>
      <t>备注：1、当月剔除掺炼丙烯320</t>
    </r>
    <r>
      <rPr>
        <charset val="134"/>
        <rFont val="宋体"/>
        <sz val="9"/>
      </rPr>
      <t>吨，丙烯收率为</t>
    </r>
    <r>
      <rPr>
        <charset val="134"/>
        <rFont val="宋体"/>
        <sz val="9"/>
      </rPr>
      <t>25.23</t>
    </r>
    <r>
      <rPr>
        <charset val="134"/>
        <rFont val="宋体"/>
        <sz val="9"/>
      </rPr>
      <t>%；全年剔除掺炼丙烯</t>
    </r>
    <r>
      <rPr>
        <charset val="134"/>
        <rFont val="宋体"/>
        <sz val="9"/>
      </rPr>
      <t>320</t>
    </r>
    <r>
      <rPr>
        <charset val="134"/>
        <rFont val="宋体"/>
        <sz val="9"/>
      </rPr>
      <t>吨，丙烯收率为</t>
    </r>
    <r>
      <rPr>
        <charset val="134"/>
        <rFont val="宋体"/>
        <sz val="9"/>
      </rPr>
      <t>25.23</t>
    </r>
    <r>
      <rPr>
        <charset val="134"/>
        <rFont val="宋体"/>
        <sz val="9"/>
      </rPr>
      <t>%</t>
    </r>
    <r>
      <rPr>
        <charset val="134"/>
        <rFont val="宋体"/>
        <sz val="9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</si>
</sst>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71" formatCode="yyyy&quot;年&quot;m&quot;月&quot;;@"/>
    <numFmt numFmtId="172" formatCode="_ &quot;￥&quot;* #,##0.00_ ;_ &quot;￥&quot;* \-#,##0.00_ ;_ &quot;￥&quot;* &quot;-&quot;??_ ;_ @_ "/>
    <numFmt numFmtId="173" formatCode="0_ "/>
    <numFmt numFmtId="174" formatCode="0.00_ "/>
    <numFmt numFmtId="175" formatCode="0.00_);[Red]\(0.00\)"/>
    <numFmt numFmtId="176" formatCode="0;_?"/>
    <numFmt numFmtId="177" formatCode="0.00;\-0.00"/>
    <numFmt numFmtId="178" formatCode="0.00;_?"/>
    <numFmt numFmtId="179" formatCode="#,##0.00_ ;[Red]\-#,##0.00\ "/>
    <numFmt numFmtId="180" formatCode="0;[Red]0"/>
    <numFmt numFmtId="181" formatCode="0;\-0"/>
    <numFmt numFmtId="182" formatCode="_(* #,##0.00_);_(* \(#,##0.00\);_(* &quot;-&quot;??_);_(@_)"/>
    <numFmt numFmtId="183" formatCode="_(* #,##0_);_(* \(#,##0\);_(* &quot;-&quot;_);_(@_)"/>
    <numFmt numFmtId="184" formatCode="_(&quot;$&quot;* #,##0.00_);_(&quot;$&quot;* \(#,##0.00\);_(&quot;$&quot;* &quot;-&quot;??_);_(@_)"/>
    <numFmt numFmtId="185" formatCode="_(&quot;$&quot;* #,##0_);_(&quot;$&quot;* \(#,##0\);_(&quot;$&quot;* &quot;-&quot;_);_(@_)"/>
  </numFmts>
  <fonts count="39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0"/>
      <color auto="1"/>
      <name val="Arial"/>
    </font>
    <font>
      <sz val="12"/>
      <color auto="1"/>
      <name val="宋体"/>
    </font>
    <font>
      <b/>
      <sz val="20"/>
      <color auto="1"/>
      <name val="宋体"/>
    </font>
    <font>
      <sz val="9"/>
      <color auto="1"/>
      <name val="宋体"/>
    </font>
    <font>
      <b/>
      <sz val="9"/>
      <color auto="1"/>
      <name val="宋体"/>
    </font>
    <font>
      <sz val="10"/>
      <color auto="1"/>
      <name val="等线"/>
    </font>
    <font>
      <sz val="10"/>
      <color rgb="FF000000"/>
      <name val="等线"/>
    </font>
    <font>
      <sz val="10"/>
      <color auto="1"/>
      <name val="宋体"/>
    </font>
    <font>
      <sz val="11"/>
      <color rgb="FF000000"/>
      <name val="宋体"/>
    </font>
    <font>
      <sz val="11"/>
      <color rgb="FF000000"/>
      <name val="Calibri"/>
    </font>
    <font>
      <sz val="11"/>
      <color rgb="FF000000"/>
      <name val="Calibri Light"/>
      <scheme val="major"/>
    </font>
    <font>
      <b/>
      <sz val="10"/>
      <color auto="1"/>
      <name val="等线"/>
    </font>
    <font>
      <b/>
      <sz val="10"/>
      <color rgb="FF000000"/>
      <name val="等线"/>
    </font>
    <font>
      <b/>
      <sz val="20"/>
      <color auto="1"/>
      <name val="等线"/>
    </font>
    <font>
      <sz val="11"/>
      <color rgb="FF000000"/>
      <name val="等线"/>
    </font>
    <font>
      <sz val="10"/>
      <color auto="1"/>
      <name val="微软雅黑"/>
    </font>
    <font>
      <sz val="10"/>
      <color rgb="FF505050"/>
      <name val="等线"/>
    </font>
    <font>
      <b/>
      <u/>
      <sz val="11"/>
      <color rgb="FF0563C1"/>
      <name val="Arial"/>
    </font>
  </fonts>
  <fills count="37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FF0000"/>
      </patternFill>
    </fill>
  </fills>
  <borders count="40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54">
    <xf numFmtId="0" fontId="0" fillId="0" borderId="0" applyFont="1" applyFill="0" applyBorder="0">
      <alignment vertical="top"/>
    </xf>
    <xf numFmtId="0" fontId="1" fillId="2" borderId="0" applyFont="1" applyFill="1" applyBorder="0">
      <alignment vertical="top"/>
    </xf>
    <xf numFmtId="0" fontId="1" fillId="3" borderId="0" applyFont="1" applyFill="1" applyBorder="0">
      <alignment vertical="top"/>
    </xf>
    <xf numFmtId="0" fontId="1" fillId="4" borderId="0" applyFont="1" applyFill="1" applyBorder="0">
      <alignment vertical="top"/>
    </xf>
    <xf numFmtId="0" fontId="1" fillId="5" borderId="0" applyFont="1" applyFill="1" applyBorder="0">
      <alignment vertical="top"/>
    </xf>
    <xf numFmtId="0" fontId="1" fillId="6" borderId="0" applyFont="1" applyFill="1" applyBorder="0">
      <alignment vertical="top"/>
    </xf>
    <xf numFmtId="0" fontId="1" fillId="7" borderId="0" applyFont="1" applyFill="1" applyBorder="0">
      <alignment vertical="top"/>
    </xf>
    <xf numFmtId="0" fontId="1" fillId="8" borderId="0" applyFont="1" applyFill="1" applyBorder="0">
      <alignment vertical="top"/>
    </xf>
    <xf numFmtId="0" fontId="1" fillId="9" borderId="0" applyFont="1" applyFill="1" applyBorder="0">
      <alignment vertical="top"/>
    </xf>
    <xf numFmtId="0" fontId="1" fillId="10" borderId="0" applyFont="1" applyFill="1" applyBorder="0">
      <alignment vertical="top"/>
    </xf>
    <xf numFmtId="0" fontId="1" fillId="11" borderId="0" applyFont="1" applyFill="1" applyBorder="0">
      <alignment vertical="top"/>
    </xf>
    <xf numFmtId="0" fontId="1" fillId="12" borderId="0" applyFont="1" applyFill="1" applyBorder="0">
      <alignment vertical="top"/>
    </xf>
    <xf numFmtId="0" fontId="1" fillId="13" borderId="0" applyFont="1" applyFill="1" applyBorder="0">
      <alignment vertical="top"/>
    </xf>
    <xf numFmtId="0" fontId="2" fillId="14" borderId="0" applyFont="1" applyFill="1" applyBorder="0">
      <alignment vertical="top"/>
    </xf>
    <xf numFmtId="0" fontId="2" fillId="15" borderId="0" applyFont="1" applyFill="1" applyBorder="0">
      <alignment vertical="top"/>
    </xf>
    <xf numFmtId="0" fontId="2" fillId="16" borderId="0" applyFont="1" applyFill="1" applyBorder="0">
      <alignment vertical="top"/>
    </xf>
    <xf numFmtId="0" fontId="2" fillId="17" borderId="0" applyFont="1" applyFill="1" applyBorder="0">
      <alignment vertical="top"/>
    </xf>
    <xf numFmtId="0" fontId="2" fillId="18" borderId="0" applyFont="1" applyFill="1" applyBorder="0">
      <alignment vertical="top"/>
    </xf>
    <xf numFmtId="0" fontId="2" fillId="19" borderId="0" applyFont="1" applyFill="1" applyBorder="0">
      <alignment vertical="top"/>
    </xf>
    <xf numFmtId="0" fontId="2" fillId="20" borderId="0" applyFont="1" applyFill="1" applyBorder="0">
      <alignment vertical="top"/>
    </xf>
    <xf numFmtId="0" fontId="2" fillId="21" borderId="0" applyFont="1" applyFill="1" applyBorder="0">
      <alignment vertical="top"/>
    </xf>
    <xf numFmtId="0" fontId="2" fillId="22" borderId="0" applyFont="1" applyFill="1" applyBorder="0">
      <alignment vertical="top"/>
    </xf>
    <xf numFmtId="0" fontId="2" fillId="23" borderId="0" applyFont="1" applyFill="1" applyBorder="0">
      <alignment vertical="top"/>
    </xf>
    <xf numFmtId="0" fontId="2" fillId="24" borderId="0" applyFont="1" applyFill="1" applyBorder="0">
      <alignment vertical="top"/>
    </xf>
    <xf numFmtId="0" fontId="2" fillId="25" borderId="0" applyFont="1" applyFill="1" applyBorder="0">
      <alignment vertical="top"/>
    </xf>
    <xf numFmtId="0" fontId="3" fillId="26" borderId="0" applyFont="1" applyFill="1" applyBorder="0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182" fontId="6" fillId="0" borderId="0" applyFont="0" applyFill="0" applyBorder="0" applyNumberFormat="1">
      <alignment vertical="top"/>
    </xf>
    <xf numFmtId="183" fontId="6" fillId="0" borderId="0" applyFont="0" applyFill="0" applyBorder="0" applyNumberFormat="1">
      <alignment vertical="top"/>
    </xf>
    <xf numFmtId="184" fontId="6" fillId="0" borderId="0" applyFont="0" applyFill="0" applyBorder="0" applyNumberFormat="1">
      <alignment vertical="top"/>
    </xf>
    <xf numFmtId="185" fontId="6" fillId="0" borderId="0" applyFont="0" applyFill="0" applyBorder="0" applyNumberFormat="1">
      <alignment vertical="top"/>
    </xf>
    <xf numFmtId="0" fontId="7" fillId="0" borderId="0" applyFont="1" applyFill="0" applyBorder="0">
      <alignment vertical="top"/>
    </xf>
    <xf numFmtId="0" fontId="8" fillId="29" borderId="0" applyFont="1" applyFill="1" applyBorder="0">
      <alignment vertical="top"/>
    </xf>
    <xf numFmtId="0" fontId="9" fillId="0" borderId="3" applyFont="1" applyFill="0" applyBorder="1">
      <alignment vertical="top"/>
    </xf>
    <xf numFmtId="0" fontId="10" fillId="0" borderId="4" applyFont="1" applyFill="0" applyBorder="1">
      <alignment vertical="top"/>
    </xf>
    <xf numFmtId="0" fontId="11" fillId="0" borderId="5" applyFont="1" applyFill="0" applyBorder="1">
      <alignment vertical="top"/>
    </xf>
    <xf numFmtId="0" fontId="11" fillId="0" borderId="0" applyFont="1" applyFill="0" applyBorder="0">
      <alignment vertical="top"/>
    </xf>
    <xf numFmtId="0" fontId="12" fillId="30" borderId="1" applyFont="1" applyFill="1" applyBorder="1">
      <alignment vertical="top"/>
    </xf>
    <xf numFmtId="0" fontId="13" fillId="0" borderId="6" applyFont="1" applyFill="0" applyBorder="1">
      <alignment vertical="top"/>
    </xf>
    <xf numFmtId="0" fontId="14" fillId="31" borderId="0" applyFont="1" applyFill="1" applyBorder="0">
      <alignment vertical="top"/>
    </xf>
    <xf numFmtId="0" fontId="6" fillId="32" borderId="7" applyFont="0" applyFill="1" applyBorder="1">
      <alignment vertical="top"/>
    </xf>
    <xf numFmtId="0" fontId="15" fillId="27" borderId="8" applyFont="1" applyFill="1" applyBorder="1">
      <alignment vertical="top"/>
    </xf>
    <xf numFmtId="9" fontId="6" fillId="0" borderId="0" applyFont="0" applyFill="0" applyBorder="0" applyNumberFormat="1">
      <alignment vertical="top"/>
    </xf>
    <xf numFmtId="0" fontId="16" fillId="0" borderId="0" applyFont="1" applyFill="0" applyBorder="0">
      <alignment vertical="top"/>
    </xf>
    <xf numFmtId="0" fontId="17" fillId="0" borderId="9" applyFont="1" applyFill="0" applyBorder="1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  <xf numFmtId="0" fontId="20" fillId="0" borderId="0" applyFont="1" applyFill="0" applyBorder="0">
      <alignment vertical="top"/>
    </xf>
    <xf numFmtId="0" fontId="21" fillId="0" borderId="0" applyFont="1" applyFill="0" applyBorder="0"/>
    <xf numFmtId="0" fontId="22" fillId="0" borderId="0" applyFont="1" applyFill="0" applyBorder="0">
      <alignment vertical="center"/>
    </xf>
    <xf numFmtId="0" fontId="0" fillId="0" borderId="0" applyFont="1" applyFill="0" applyBorder="0">
      <alignment vertical="center"/>
    </xf>
    <xf numFmtId="0" fontId="0" fillId="0" borderId="0" applyFont="1" applyFill="0" applyBorder="0">
      <alignment vertical="top"/>
    </xf>
    <xf numFmtId="172" fontId="6" fillId="0" borderId="0" applyFont="0" applyFill="0" applyBorder="0" applyNumberFormat="1">
      <alignment vertical="top"/>
    </xf>
  </cellStyleXfs>
  <cellXfs count="836">
    <xf numFmtId="0" fontId="0" fillId="0" borderId="0" xfId="0" applyFont="1">
      <alignment vertical="top"/>
    </xf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182" fontId="6" fillId="0" borderId="0" xfId="28" applyFont="0" applyNumberFormat="1">
      <alignment vertical="top"/>
    </xf>
    <xf numFmtId="183" fontId="6" fillId="0" borderId="0" xfId="29" applyFont="0" applyNumberFormat="1">
      <alignment vertical="top"/>
    </xf>
    <xf numFmtId="184" fontId="6" fillId="0" borderId="0" xfId="30" applyFont="0" applyNumberFormat="1">
      <alignment vertical="top"/>
    </xf>
    <xf numFmtId="185" fontId="6" fillId="0" borderId="0" xfId="31" applyFont="0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6" fillId="32" borderId="7" xfId="41" applyFont="0" applyFill="1" applyBorder="1">
      <alignment vertical="top"/>
    </xf>
    <xf numFmtId="0" fontId="15" fillId="27" borderId="8" xfId="42" applyFont="1" applyFill="1" applyBorder="1">
      <alignment vertical="top"/>
    </xf>
    <xf numFmtId="9" fontId="6" fillId="0" borderId="0" xfId="43" applyFont="0" applyNumberFormat="1">
      <alignment vertical="top"/>
    </xf>
    <xf numFmtId="0" fontId="16" fillId="0" borderId="0" xfId="44" applyFont="1">
      <alignment vertical="top"/>
    </xf>
    <xf numFmtId="0" fontId="17" fillId="0" borderId="9" xfId="45" applyFont="1" applyBorder="1">
      <alignment vertical="top"/>
    </xf>
    <xf numFmtId="0" fontId="18" fillId="0" borderId="0" xfId="46" applyFont="1">
      <alignment vertical="top"/>
    </xf>
    <xf numFmtId="0" fontId="19" fillId="0" borderId="0" xfId="47" applyFont="1">
      <alignment vertical="top"/>
    </xf>
    <xf numFmtId="0" fontId="20" fillId="0" borderId="0" xfId="48" applyFont="1">
      <alignment vertical="top"/>
    </xf>
    <xf numFmtId="0" fontId="21" fillId="0" borderId="0" xfId="49" applyFont="1"/>
    <xf numFmtId="0" fontId="22" fillId="0" borderId="0" xfId="50" applyFont="1">
      <alignment vertical="center"/>
    </xf>
    <xf numFmtId="0" fontId="0" fillId="0" borderId="0" xfId="51" applyFont="1">
      <alignment vertical="center"/>
    </xf>
    <xf numFmtId="0" fontId="0" fillId="0" borderId="0" xfId="52" applyFont="1">
      <alignment vertical="top"/>
    </xf>
    <xf numFmtId="172" fontId="6" fillId="0" borderId="0" xfId="53" applyFont="0" applyNumberFormat="1">
      <alignment vertical="top"/>
    </xf>
    <xf numFmtId="0" fontId="23" fillId="33" borderId="0" xfId="49" applyFont="1" applyFill="1">
      <alignment horizontal="center" vertical="center"/>
    </xf>
    <xf numFmtId="0" fontId="24" fillId="33" borderId="10" xfId="49" applyFont="1" applyFill="1" applyBorder="1">
      <alignment horizontal="left" vertical="center"/>
    </xf>
    <xf numFmtId="171" fontId="24" fillId="33" borderId="10" xfId="49" applyFont="1" applyFill="1" applyBorder="1" applyNumberFormat="1">
      <alignment horizontal="center" vertical="center"/>
    </xf>
    <xf numFmtId="172" fontId="24" fillId="33" borderId="11" xfId="53" applyFont="1" applyFill="1" applyBorder="1" applyNumberFormat="1">
      <alignment horizontal="center" vertical="center" wrapText="1"/>
    </xf>
    <xf numFmtId="0" fontId="24" fillId="33" borderId="12" xfId="49" applyFont="1" applyFill="1" applyBorder="1">
      <alignment horizontal="center" vertical="center" wrapText="1"/>
    </xf>
    <xf numFmtId="172" fontId="24" fillId="33" borderId="13" xfId="53" applyFont="1" applyFill="1" applyBorder="1" applyNumberFormat="1">
      <alignment horizontal="center" vertical="center" wrapText="1"/>
    </xf>
    <xf numFmtId="0" fontId="24" fillId="33" borderId="14" xfId="49" applyFont="1" applyFill="1" applyBorder="1">
      <alignment horizontal="center" vertical="center" wrapText="1"/>
    </xf>
    <xf numFmtId="0" fontId="25" fillId="33" borderId="13" xfId="49" applyFont="1" applyFill="1" applyBorder="1">
      <alignment horizontal="left" vertical="center"/>
    </xf>
    <xf numFmtId="0" fontId="24" fillId="33" borderId="14" xfId="49" applyFont="1" applyFill="1" applyBorder="1">
      <alignment horizontal="center" vertical="center"/>
    </xf>
    <xf numFmtId="0" fontId="24" fillId="33" borderId="14" xfId="49" applyFont="1" applyFill="1" applyBorder="1">
      <alignment horizontal="right" vertical="center"/>
    </xf>
    <xf numFmtId="0" fontId="24" fillId="33" borderId="13" xfId="49" applyFont="1" applyFill="1" applyBorder="1">
      <alignment horizontal="left" vertical="center"/>
    </xf>
    <xf numFmtId="173" fontId="26" fillId="33" borderId="14" xfId="49" applyFont="1" applyFill="1" applyBorder="1" applyNumberFormat="1">
      <alignment horizontal="center" vertical="center"/>
    </xf>
    <xf numFmtId="0" fontId="24" fillId="0" borderId="14" xfId="49" applyFont="1" applyBorder="1">
      <alignment horizontal="right" vertical="center" wrapText="1"/>
    </xf>
    <xf numFmtId="173" fontId="26" fillId="33" borderId="14" xfId="49" applyFont="1" applyFill="1" applyBorder="1" applyNumberFormat="1">
      <alignment horizontal="center" vertical="center" wrapText="1"/>
    </xf>
    <xf numFmtId="174" fontId="24" fillId="33" borderId="14" xfId="49" applyFont="1" applyFill="1" applyBorder="1" applyNumberFormat="1">
      <alignment horizontal="right" vertical="center"/>
    </xf>
    <xf numFmtId="173" fontId="27" fillId="0" borderId="0" xfId="0" applyFont="1" applyNumberFormat="1">
      <alignment horizontal="center" vertical="center" wrapText="1"/>
    </xf>
    <xf numFmtId="0" fontId="24" fillId="33" borderId="15" xfId="49" applyFont="1" applyFill="1" applyBorder="1">
      <alignment horizontal="left" vertical="center"/>
    </xf>
    <xf numFmtId="0" fontId="24" fillId="33" borderId="16" xfId="49" applyFont="1" applyFill="1" applyBorder="1">
      <alignment horizontal="center" vertical="center"/>
    </xf>
    <xf numFmtId="173" fontId="26" fillId="33" borderId="16" xfId="49" applyFont="1" applyFill="1" applyBorder="1" applyNumberFormat="1">
      <alignment horizontal="center" vertical="center" wrapText="1"/>
    </xf>
    <xf numFmtId="0" fontId="24" fillId="0" borderId="16" xfId="49" applyFont="1" applyBorder="1">
      <alignment horizontal="right" vertical="center" wrapText="1"/>
    </xf>
    <xf numFmtId="174" fontId="24" fillId="33" borderId="16" xfId="49" applyFont="1" applyFill="1" applyBorder="1" applyNumberFormat="1">
      <alignment horizontal="right" vertical="center"/>
    </xf>
    <xf numFmtId="0" fontId="24" fillId="34" borderId="14" xfId="49" applyFont="1" applyFill="1" applyBorder="1">
      <alignment horizontal="left" vertical="center"/>
    </xf>
    <xf numFmtId="0" fontId="24" fillId="34" borderId="14" xfId="49" applyFont="1" applyFill="1" applyBorder="1">
      <alignment horizontal="center" vertical="center"/>
    </xf>
    <xf numFmtId="173" fontId="27" fillId="34" borderId="14" xfId="0" applyFont="1" applyFill="1" applyBorder="1" applyNumberFormat="1">
      <alignment horizontal="center" vertical="center" wrapText="1"/>
    </xf>
    <xf numFmtId="0" fontId="24" fillId="34" borderId="14" xfId="49" applyFont="1" applyFill="1" applyBorder="1">
      <alignment horizontal="right" vertical="center" wrapText="1"/>
    </xf>
    <xf numFmtId="174" fontId="24" fillId="34" borderId="14" xfId="49" applyFont="1" applyFill="1" applyBorder="1" applyNumberFormat="1">
      <alignment horizontal="right" vertical="center"/>
    </xf>
    <xf numFmtId="0" fontId="24" fillId="33" borderId="11" xfId="49" applyFont="1" applyFill="1" applyBorder="1">
      <alignment horizontal="left" vertical="center"/>
    </xf>
    <xf numFmtId="0" fontId="24" fillId="33" borderId="12" xfId="49" applyFont="1" applyFill="1" applyBorder="1">
      <alignment horizontal="center" vertical="center"/>
    </xf>
    <xf numFmtId="0" fontId="24" fillId="0" borderId="12" xfId="49" applyFont="1" applyBorder="1">
      <alignment horizontal="right" vertical="center" wrapText="1"/>
    </xf>
    <xf numFmtId="174" fontId="24" fillId="33" borderId="12" xfId="49" applyFont="1" applyFill="1" applyBorder="1" applyNumberFormat="1">
      <alignment horizontal="right" vertical="center"/>
    </xf>
    <xf numFmtId="174" fontId="24" fillId="33" borderId="13" xfId="50" applyFont="1" applyFill="1" applyBorder="1" applyNumberFormat="1">
      <alignment horizontal="left" vertical="center"/>
    </xf>
    <xf numFmtId="0" fontId="24" fillId="33" borderId="13" xfId="51" applyFont="1" applyFill="1" applyBorder="1">
      <alignment horizontal="left" vertical="center"/>
    </xf>
    <xf numFmtId="0" fontId="28" fillId="0" borderId="14" xfId="49" applyFont="1" applyBorder="1">
      <alignment vertical="center" wrapText="1"/>
    </xf>
    <xf numFmtId="0" fontId="28" fillId="33" borderId="14" xfId="49" applyFont="1" applyFill="1" applyBorder="1">
      <alignment vertical="center"/>
    </xf>
    <xf numFmtId="0" fontId="0" fillId="0" borderId="14" xfId="51" applyFont="1" applyBorder="1">
      <alignment vertical="center" wrapText="1"/>
    </xf>
    <xf numFmtId="173" fontId="24" fillId="33" borderId="17" xfId="49" applyFont="1" applyFill="1" applyBorder="1" applyNumberFormat="1">
      <alignment horizontal="center" vertical="center"/>
    </xf>
    <xf numFmtId="173" fontId="24" fillId="33" borderId="18" xfId="49" applyFont="1" applyFill="1" applyBorder="1" applyNumberFormat="1">
      <alignment horizontal="center" vertical="center"/>
    </xf>
    <xf numFmtId="0" fontId="24" fillId="33" borderId="19" xfId="49" applyFont="1" applyFill="1" applyBorder="1">
      <alignment horizontal="center" vertical="center" wrapText="1"/>
    </xf>
    <xf numFmtId="173" fontId="24" fillId="33" borderId="14" xfId="49" applyFont="1" applyFill="1" applyBorder="1" applyNumberFormat="1">
      <alignment horizontal="center" vertical="center"/>
    </xf>
    <xf numFmtId="0" fontId="24" fillId="33" borderId="20" xfId="49" applyFont="1" applyFill="1" applyBorder="1">
      <alignment horizontal="center" vertical="center"/>
    </xf>
    <xf numFmtId="0" fontId="24" fillId="33" borderId="20" xfId="49" applyFont="1" applyFill="1" applyBorder="1">
      <alignment horizontal="right" vertical="center"/>
    </xf>
    <xf numFmtId="0" fontId="24" fillId="33" borderId="21" xfId="49" applyFont="1" applyFill="1" applyBorder="1">
      <alignment horizontal="right" vertical="center"/>
    </xf>
    <xf numFmtId="0" fontId="24" fillId="34" borderId="14" xfId="49" applyFont="1" applyFill="1" applyBorder="1">
      <alignment horizontal="right" vertical="center"/>
    </xf>
    <xf numFmtId="0" fontId="24" fillId="33" borderId="19" xfId="49" applyFont="1" applyFill="1" applyBorder="1">
      <alignment horizontal="right" vertical="center"/>
    </xf>
    <xf numFmtId="173" fontId="24" fillId="33" borderId="14" xfId="49" applyFont="1" applyFill="1" applyBorder="1" applyNumberFormat="1">
      <alignment horizontal="right" vertical="center"/>
    </xf>
    <xf numFmtId="174" fontId="24" fillId="33" borderId="14" xfId="50" applyFont="1" applyFill="1" applyBorder="1" applyNumberFormat="1">
      <alignment horizontal="right" vertical="center"/>
    </xf>
    <xf numFmtId="0" fontId="28" fillId="33" borderId="20" xfId="49" applyFont="1" applyFill="1" applyBorder="1">
      <alignment vertical="center"/>
    </xf>
    <xf numFmtId="0" fontId="29" fillId="0" borderId="0" xfId="0" applyFont="1"/>
    <xf numFmtId="0" fontId="24" fillId="0" borderId="14" xfId="49" applyFont="1" applyBorder="1">
      <alignment horizontal="center" vertical="center" wrapText="1"/>
    </xf>
    <xf numFmtId="175" fontId="24" fillId="0" borderId="14" xfId="49" applyFont="1" applyBorder="1" applyNumberFormat="1">
      <alignment horizontal="right" vertical="center" wrapText="1"/>
    </xf>
    <xf numFmtId="174" fontId="26" fillId="33" borderId="14" xfId="49" applyFont="1" applyFill="1" applyBorder="1" applyNumberFormat="1">
      <alignment horizontal="center" vertical="center" wrapText="1"/>
    </xf>
    <xf numFmtId="0" fontId="24" fillId="33" borderId="14" xfId="51" applyFont="1" applyFill="1" applyBorder="1">
      <alignment horizontal="center" vertical="center"/>
    </xf>
    <xf numFmtId="175" fontId="24" fillId="0" borderId="14" xfId="49" applyFont="1" applyBorder="1" applyNumberFormat="1">
      <alignment horizontal="center" vertical="center" wrapText="1"/>
    </xf>
    <xf numFmtId="175" fontId="28" fillId="0" borderId="0" xfId="49" applyFont="1" applyNumberFormat="1">
      <alignment vertical="center" wrapText="1"/>
    </xf>
    <xf numFmtId="0" fontId="24" fillId="33" borderId="22" xfId="49" applyFont="1" applyFill="1" applyBorder="1">
      <alignment horizontal="left" vertical="center"/>
    </xf>
    <xf numFmtId="0" fontId="24" fillId="33" borderId="23" xfId="49" applyFont="1" applyFill="1" applyBorder="1">
      <alignment horizontal="center" vertical="center"/>
    </xf>
    <xf numFmtId="0" fontId="24" fillId="33" borderId="23" xfId="49" applyFont="1" applyFill="1" applyBorder="1">
      <alignment horizontal="right" vertical="center"/>
    </xf>
    <xf numFmtId="0" fontId="24" fillId="33" borderId="24" xfId="49" applyFont="1" applyFill="1" applyBorder="1">
      <alignment horizontal="left" vertical="center"/>
    </xf>
    <xf numFmtId="0" fontId="24" fillId="33" borderId="0" xfId="49" applyFont="1" applyFill="1">
      <alignment horizontal="center" vertical="center"/>
    </xf>
    <xf numFmtId="0" fontId="24" fillId="33" borderId="0" xfId="49" applyFont="1" applyFill="1">
      <alignment horizontal="right" vertical="center"/>
    </xf>
    <xf numFmtId="0" fontId="24" fillId="33" borderId="25" xfId="49" applyFont="1" applyFill="1" applyBorder="1">
      <alignment horizontal="left" vertical="center"/>
    </xf>
    <xf numFmtId="0" fontId="24" fillId="33" borderId="10" xfId="49" applyFont="1" applyFill="1" applyBorder="1">
      <alignment horizontal="center" vertical="center"/>
    </xf>
    <xf numFmtId="0" fontId="24" fillId="33" borderId="10" xfId="49" applyFont="1" applyFill="1" applyBorder="1">
      <alignment horizontal="right" vertical="center"/>
    </xf>
    <xf numFmtId="0" fontId="24" fillId="33" borderId="0" xfId="49" applyFont="1" applyFill="1">
      <alignment horizontal="left" vertical="center"/>
    </xf>
    <xf numFmtId="0" fontId="0" fillId="0" borderId="0" xfId="51" applyFont="1">
      <alignment horizontal="left" vertical="center" wrapText="1"/>
    </xf>
    <xf numFmtId="0" fontId="0" fillId="0" borderId="0" xfId="0" applyFont="1">
      <alignment horizontal="left" vertical="center" wrapText="1"/>
    </xf>
    <xf numFmtId="0" fontId="29" fillId="0" borderId="0" xfId="51" applyFont="1"/>
    <xf numFmtId="172" fontId="0" fillId="0" borderId="0" xfId="51" applyFont="1" applyNumberFormat="1">
      <alignment horizontal="left" wrapText="1"/>
    </xf>
    <xf numFmtId="0" fontId="0" fillId="0" borderId="0" xfId="51" applyFont="1">
      <alignment horizontal="left" wrapText="1"/>
    </xf>
    <xf numFmtId="0" fontId="0" fillId="0" borderId="0" xfId="51" applyFont="1">
      <alignment horizontal="right" vertical="center" wrapText="1"/>
    </xf>
    <xf numFmtId="174" fontId="24" fillId="33" borderId="14" xfId="49" applyFont="1" applyFill="1" applyBorder="1" applyNumberFormat="1">
      <alignment horizontal="right" vertical="center" wrapText="1"/>
    </xf>
    <xf numFmtId="174" fontId="24" fillId="33" borderId="21" xfId="49" applyFont="1" applyFill="1" applyBorder="1" applyNumberFormat="1">
      <alignment horizontal="right" vertical="center"/>
    </xf>
    <xf numFmtId="174" fontId="24" fillId="33" borderId="20" xfId="49" applyFont="1" applyFill="1" applyBorder="1" applyNumberFormat="1">
      <alignment horizontal="right" vertical="center"/>
    </xf>
    <xf numFmtId="174" fontId="24" fillId="33" borderId="23" xfId="50" applyFont="1" applyFill="1" applyBorder="1" applyNumberFormat="1">
      <alignment horizontal="right" vertical="center"/>
    </xf>
    <xf numFmtId="0" fontId="24" fillId="33" borderId="26" xfId="49" applyFont="1" applyFill="1" applyBorder="1">
      <alignment horizontal="right" vertical="center"/>
    </xf>
    <xf numFmtId="174" fontId="24" fillId="33" borderId="0" xfId="50" applyFont="1" applyFill="1" applyNumberFormat="1">
      <alignment horizontal="right" vertical="center"/>
    </xf>
    <xf numFmtId="0" fontId="24" fillId="33" borderId="27" xfId="49" applyFont="1" applyFill="1" applyBorder="1">
      <alignment horizontal="right" vertical="center"/>
    </xf>
    <xf numFmtId="174" fontId="24" fillId="33" borderId="10" xfId="50" applyFont="1" applyFill="1" applyBorder="1" applyNumberFormat="1">
      <alignment horizontal="right" vertical="center"/>
    </xf>
    <xf numFmtId="0" fontId="24" fillId="33" borderId="28" xfId="49" applyFont="1" applyFill="1" applyBorder="1">
      <alignment horizontal="right" vertical="center"/>
    </xf>
    <xf numFmtId="0" fontId="0" fillId="0" borderId="0" xfId="51" applyFont="1">
      <alignment vertical="center" wrapText="1"/>
    </xf>
    <xf numFmtId="0" fontId="0" fillId="0" borderId="0" xfId="0" applyFont="1">
      <alignment vertical="top" wrapText="1"/>
    </xf>
    <xf numFmtId="0" fontId="18" fillId="0" borderId="0" xfId="51" applyFont="1">
      <alignment horizontal="left" vertical="center" wrapText="1"/>
    </xf>
    <xf numFmtId="0" fontId="30" fillId="0" borderId="0" xfId="51" applyFont="1">
      <alignment horizontal="left" vertical="center" wrapText="1"/>
    </xf>
    <xf numFmtId="0" fontId="31" fillId="0" borderId="0" xfId="51" applyFont="1">
      <alignment horizontal="left" vertical="center" wrapText="1"/>
    </xf>
    <xf numFmtId="0" fontId="0" fillId="0" borderId="0" xfId="51" applyFont="1">
      <alignment horizontal="left" vertical="center"/>
    </xf>
    <xf numFmtId="0" fontId="0" fillId="0" borderId="0" xfId="0" applyFont="1">
      <alignment vertical="top"/>
    </xf>
    <xf numFmtId="172" fontId="32" fillId="33" borderId="29" xfId="53" applyFont="1" applyFill="1" applyBorder="1" applyNumberFormat="1">
      <alignment horizontal="center" vertical="center" wrapText="1"/>
    </xf>
    <xf numFmtId="0" fontId="33" fillId="0" borderId="14" xfId="0" applyFont="1" applyBorder="1">
      <alignment horizontal="center" vertical="top"/>
    </xf>
    <xf numFmtId="0" fontId="33" fillId="0" borderId="14" xfId="0" applyFont="1" applyBorder="1">
      <alignment horizontal="center" vertical="top"/>
    </xf>
    <xf numFmtId="172" fontId="32" fillId="33" borderId="30" xfId="53" applyFont="1" applyFill="1" applyBorder="1" applyNumberFormat="1">
      <alignment horizontal="center" vertical="center" wrapText="1"/>
    </xf>
    <xf numFmtId="0" fontId="27" fillId="0" borderId="14" xfId="0" applyFont="1" applyBorder="1">
      <alignment horizontal="center" vertical="top"/>
    </xf>
    <xf numFmtId="0" fontId="27" fillId="0" borderId="14" xfId="0" applyFont="1" applyBorder="1">
      <alignment horizontal="center" vertical="top"/>
    </xf>
    <xf numFmtId="0" fontId="32" fillId="33" borderId="30" xfId="49" applyFont="1" applyFill="1" applyBorder="1">
      <alignment horizontal="left" vertical="center"/>
    </xf>
    <xf numFmtId="0" fontId="27" fillId="0" borderId="14" xfId="0" applyFont="1" applyBorder="1">
      <alignment vertical="top"/>
    </xf>
    <xf numFmtId="0" fontId="0" fillId="0" borderId="14" xfId="0" applyFont="1" applyBorder="1">
      <alignment vertical="top"/>
    </xf>
    <xf numFmtId="0" fontId="27" fillId="0" borderId="31" xfId="0" applyFont="1" applyBorder="1">
      <alignment vertical="top"/>
    </xf>
    <xf numFmtId="0" fontId="26" fillId="33" borderId="30" xfId="49" applyFont="1" applyFill="1" applyBorder="1">
      <alignment horizontal="left" vertical="center"/>
    </xf>
    <xf numFmtId="0" fontId="27" fillId="0" borderId="14" xfId="51" applyFont="1" applyBorder="1"/>
    <xf numFmtId="173" fontId="27" fillId="0" borderId="14" xfId="0" applyFont="1" applyBorder="1" applyNumberFormat="1">
      <alignment vertical="top"/>
    </xf>
    <xf numFmtId="0" fontId="27" fillId="0" borderId="14" xfId="0" applyFont="1" applyBorder="1">
      <alignment vertical="top"/>
    </xf>
    <xf numFmtId="0" fontId="27" fillId="0" borderId="31" xfId="0" applyFont="1" applyBorder="1">
      <alignment vertical="top"/>
    </xf>
    <xf numFmtId="0" fontId="27" fillId="0" borderId="16" xfId="0" applyFont="1" applyBorder="1">
      <alignment vertical="top"/>
    </xf>
    <xf numFmtId="0" fontId="27" fillId="0" borderId="12" xfId="0" applyFont="1" applyBorder="1">
      <alignment vertical="top"/>
    </xf>
    <xf numFmtId="174" fontId="26" fillId="33" borderId="30" xfId="50" applyFont="1" applyFill="1" applyBorder="1" applyNumberFormat="1">
      <alignment horizontal="left" vertical="center"/>
    </xf>
    <xf numFmtId="176" fontId="27" fillId="0" borderId="14" xfId="0" applyFont="1" applyBorder="1" applyNumberFormat="1">
      <alignment vertical="top"/>
    </xf>
    <xf numFmtId="176" fontId="27" fillId="0" borderId="31" xfId="0" applyFont="1" applyBorder="1" applyNumberFormat="1">
      <alignment vertical="top"/>
    </xf>
    <xf numFmtId="174" fontId="27" fillId="0" borderId="14" xfId="0" applyFont="1" applyBorder="1" applyNumberFormat="1">
      <alignment vertical="top"/>
    </xf>
    <xf numFmtId="0" fontId="26" fillId="33" borderId="30" xfId="51" applyFont="1" applyFill="1" applyBorder="1">
      <alignment horizontal="left" vertical="center"/>
    </xf>
    <xf numFmtId="173" fontId="27" fillId="0" borderId="14" xfId="0" applyFont="1" applyBorder="1" applyNumberFormat="1">
      <alignment vertical="top"/>
    </xf>
    <xf numFmtId="173" fontId="27" fillId="0" borderId="31" xfId="0" applyFont="1" applyBorder="1" applyNumberFormat="1">
      <alignment vertical="top"/>
    </xf>
    <xf numFmtId="173" fontId="27" fillId="0" borderId="31" xfId="0" applyFont="1" applyBorder="1" applyNumberFormat="1">
      <alignment vertical="top"/>
    </xf>
    <xf numFmtId="1" fontId="27" fillId="0" borderId="31" xfId="0" applyFont="1" applyBorder="1" applyNumberFormat="1">
      <alignment vertical="top"/>
    </xf>
    <xf numFmtId="1" fontId="27" fillId="0" borderId="31" xfId="0" applyFont="1" applyBorder="1" applyNumberFormat="1">
      <alignment vertical="top"/>
    </xf>
    <xf numFmtId="0" fontId="26" fillId="33" borderId="22" xfId="49" applyFont="1" applyFill="1" applyBorder="1">
      <alignment horizontal="left" vertical="center"/>
    </xf>
    <xf numFmtId="177" fontId="27" fillId="0" borderId="14" xfId="0" applyFont="1" applyBorder="1" applyNumberFormat="1">
      <alignment vertical="top"/>
    </xf>
    <xf numFmtId="174" fontId="27" fillId="0" borderId="31" xfId="0" applyFont="1" applyBorder="1" applyNumberFormat="1">
      <alignment vertical="top"/>
    </xf>
    <xf numFmtId="174" fontId="27" fillId="0" borderId="14" xfId="0" applyFont="1" applyBorder="1" applyNumberFormat="1">
      <alignment vertical="top"/>
    </xf>
    <xf numFmtId="177" fontId="27" fillId="0" borderId="14" xfId="0" applyFont="1" applyBorder="1" applyNumberFormat="1">
      <alignment vertical="top"/>
    </xf>
    <xf numFmtId="174" fontId="27" fillId="0" borderId="31" xfId="0" applyFont="1" applyBorder="1" applyNumberFormat="1">
      <alignment vertical="top"/>
    </xf>
    <xf numFmtId="175" fontId="27" fillId="0" borderId="14" xfId="0" applyFont="1" applyBorder="1" applyNumberFormat="1">
      <alignment vertical="top"/>
    </xf>
    <xf numFmtId="0" fontId="26" fillId="33" borderId="0" xfId="49" applyFont="1" applyFill="1">
      <alignment horizontal="left" vertical="center"/>
    </xf>
    <xf numFmtId="0" fontId="27" fillId="0" borderId="0" xfId="0" applyFont="1">
      <alignment vertical="top"/>
    </xf>
    <xf numFmtId="0" fontId="27" fillId="0" borderId="14" xfId="0" applyFont="1" applyBorder="1">
      <alignment horizontal="left" vertical="top"/>
    </xf>
    <xf numFmtId="0" fontId="27" fillId="0" borderId="14" xfId="0" applyFont="1" applyBorder="1">
      <alignment horizontal="left" vertical="top"/>
    </xf>
    <xf numFmtId="0" fontId="27" fillId="0" borderId="0" xfId="0" applyFont="1">
      <alignment vertical="top"/>
    </xf>
    <xf numFmtId="0" fontId="27" fillId="0" borderId="0" xfId="0" applyFont="1">
      <alignment vertical="center"/>
    </xf>
    <xf numFmtId="174" fontId="27" fillId="0" borderId="0" xfId="0" applyFont="1" applyNumberFormat="1">
      <alignment vertical="center"/>
    </xf>
    <xf numFmtId="0" fontId="34" fillId="33" borderId="0" xfId="49" applyFont="1" applyFill="1">
      <alignment horizontal="center" vertical="center"/>
    </xf>
    <xf numFmtId="174" fontId="34" fillId="33" borderId="0" xfId="49" applyFont="1" applyFill="1" applyNumberFormat="1">
      <alignment horizontal="center" vertical="center"/>
    </xf>
    <xf numFmtId="0" fontId="26" fillId="33" borderId="10" xfId="49" applyFont="1" applyFill="1" applyBorder="1">
      <alignment horizontal="left" vertical="center"/>
    </xf>
    <xf numFmtId="171" fontId="26" fillId="33" borderId="10" xfId="49" applyFont="1" applyFill="1" applyBorder="1" applyNumberFormat="1">
      <alignment horizontal="center" vertical="center"/>
    </xf>
    <xf numFmtId="172" fontId="26" fillId="33" borderId="11" xfId="53" applyFont="1" applyFill="1" applyBorder="1" applyNumberFormat="1">
      <alignment horizontal="center" vertical="center" wrapText="1"/>
    </xf>
    <xf numFmtId="0" fontId="26" fillId="33" borderId="12" xfId="49" applyFont="1" applyFill="1" applyBorder="1">
      <alignment horizontal="center" vertical="center" wrapText="1"/>
    </xf>
    <xf numFmtId="174" fontId="26" fillId="33" borderId="12" xfId="49" applyFont="1" applyFill="1" applyBorder="1" applyNumberFormat="1">
      <alignment horizontal="center" vertical="center" wrapText="1"/>
    </xf>
    <xf numFmtId="172" fontId="26" fillId="33" borderId="13" xfId="53" applyFont="1" applyFill="1" applyBorder="1" applyNumberFormat="1">
      <alignment horizontal="center" vertical="center" wrapText="1"/>
    </xf>
    <xf numFmtId="0" fontId="26" fillId="33" borderId="14" xfId="49" applyFont="1" applyFill="1" applyBorder="1">
      <alignment horizontal="center" vertical="center" wrapText="1"/>
    </xf>
    <xf numFmtId="0" fontId="32" fillId="33" borderId="13" xfId="49" applyFont="1" applyFill="1" applyBorder="1">
      <alignment horizontal="left" vertical="center"/>
    </xf>
    <xf numFmtId="0" fontId="26" fillId="33" borderId="14" xfId="49" applyFont="1" applyFill="1" applyBorder="1">
      <alignment horizontal="center" vertical="center"/>
    </xf>
    <xf numFmtId="173" fontId="26" fillId="33" borderId="16" xfId="49" applyFont="1" applyFill="1" applyBorder="1" applyNumberFormat="1">
      <alignment horizontal="center" vertical="center"/>
    </xf>
    <xf numFmtId="174" fontId="26" fillId="33" borderId="14" xfId="49" applyFont="1" applyFill="1" applyBorder="1" applyNumberFormat="1">
      <alignment horizontal="center" vertical="center"/>
    </xf>
    <xf numFmtId="173" fontId="26" fillId="33" borderId="14" xfId="0" applyFont="1" applyFill="1" applyBorder="1" applyNumberFormat="1">
      <alignment horizontal="center" vertical="center"/>
    </xf>
    <xf numFmtId="0" fontId="26" fillId="33" borderId="13" xfId="49" applyFont="1" applyFill="1" applyBorder="1">
      <alignment horizontal="left" vertical="center"/>
    </xf>
    <xf numFmtId="0" fontId="26" fillId="33" borderId="31" xfId="49" applyFont="1" applyFill="1" applyBorder="1">
      <alignment horizontal="center" vertical="center"/>
    </xf>
    <xf numFmtId="0" fontId="27" fillId="0" borderId="14" xfId="0" applyFont="1" applyBorder="1">
      <alignment horizontal="center" vertical="center"/>
    </xf>
    <xf numFmtId="173" fontId="26" fillId="33" borderId="32" xfId="49" applyFont="1" applyFill="1" applyBorder="1" applyNumberFormat="1">
      <alignment horizontal="center" vertical="center"/>
    </xf>
    <xf numFmtId="174" fontId="26" fillId="33" borderId="31" xfId="49" applyFont="1" applyFill="1" applyBorder="1" applyNumberFormat="1">
      <alignment horizontal="center" vertical="center"/>
    </xf>
    <xf numFmtId="173" fontId="26" fillId="33" borderId="32" xfId="0" applyFont="1" applyFill="1" applyBorder="1" applyNumberFormat="1">
      <alignment horizontal="center" vertical="center" wrapText="1"/>
    </xf>
    <xf numFmtId="0" fontId="27" fillId="0" borderId="14" xfId="0" applyFont="1" applyBorder="1">
      <alignment horizontal="center" vertical="center" wrapText="1"/>
    </xf>
    <xf numFmtId="173" fontId="26" fillId="33" borderId="32" xfId="49" applyFont="1" applyFill="1" applyBorder="1" applyNumberFormat="1">
      <alignment horizontal="center" vertical="center" wrapText="1"/>
    </xf>
    <xf numFmtId="0" fontId="26" fillId="0" borderId="13" xfId="49" applyFont="1" applyBorder="1">
      <alignment horizontal="left" vertical="center"/>
    </xf>
    <xf numFmtId="0" fontId="26" fillId="0" borderId="31" xfId="49" applyFont="1" applyBorder="1">
      <alignment horizontal="center" vertical="center"/>
    </xf>
    <xf numFmtId="173" fontId="26" fillId="0" borderId="32" xfId="49" applyFont="1" applyBorder="1" applyNumberFormat="1">
      <alignment horizontal="center" vertical="center" wrapText="1"/>
    </xf>
    <xf numFmtId="174" fontId="26" fillId="0" borderId="31" xfId="49" applyFont="1" applyBorder="1" applyNumberFormat="1">
      <alignment horizontal="center" vertical="center"/>
    </xf>
    <xf numFmtId="173" fontId="26" fillId="0" borderId="32" xfId="0" applyFont="1" applyBorder="1" applyNumberFormat="1">
      <alignment horizontal="center" vertical="center" wrapText="1"/>
    </xf>
    <xf numFmtId="174" fontId="26" fillId="33" borderId="13" xfId="50" applyFont="1" applyFill="1" applyBorder="1" applyNumberFormat="1">
      <alignment horizontal="left" vertical="center"/>
    </xf>
    <xf numFmtId="0" fontId="26" fillId="33" borderId="13" xfId="51" applyFont="1" applyFill="1" applyBorder="1">
      <alignment horizontal="left" vertical="center"/>
    </xf>
    <xf numFmtId="0" fontId="26" fillId="33" borderId="15" xfId="49" applyFont="1" applyFill="1" applyBorder="1">
      <alignment horizontal="left" vertical="center"/>
    </xf>
    <xf numFmtId="0" fontId="26" fillId="33" borderId="33" xfId="49" applyFont="1" applyFill="1" applyBorder="1">
      <alignment horizontal="center" vertical="center"/>
    </xf>
    <xf numFmtId="0" fontId="26" fillId="33" borderId="10" xfId="49" applyFont="1" applyFill="1" applyBorder="1">
      <alignment horizontal="right" vertical="center"/>
    </xf>
    <xf numFmtId="173" fontId="26" fillId="33" borderId="17" xfId="49" applyFont="1" applyFill="1" applyBorder="1" applyNumberFormat="1">
      <alignment horizontal="center" vertical="center"/>
    </xf>
    <xf numFmtId="173" fontId="26" fillId="33" borderId="18" xfId="49" applyFont="1" applyFill="1" applyBorder="1" applyNumberFormat="1">
      <alignment horizontal="center" vertical="center"/>
    </xf>
    <xf numFmtId="0" fontId="26" fillId="33" borderId="19" xfId="49" applyFont="1" applyFill="1" applyBorder="1">
      <alignment horizontal="center" vertical="center" wrapText="1"/>
    </xf>
    <xf numFmtId="0" fontId="26" fillId="33" borderId="20" xfId="49" applyFont="1" applyFill="1" applyBorder="1">
      <alignment horizontal="center" vertical="center"/>
    </xf>
    <xf numFmtId="173" fontId="26" fillId="33" borderId="20" xfId="49" applyFont="1" applyFill="1" applyBorder="1" applyNumberFormat="1">
      <alignment horizontal="center" vertical="center"/>
    </xf>
    <xf numFmtId="173" fontId="26" fillId="33" borderId="14" xfId="0" applyFont="1" applyFill="1" applyBorder="1" applyNumberFormat="1">
      <alignment horizontal="center" vertical="center" wrapText="1"/>
    </xf>
    <xf numFmtId="174" fontId="26" fillId="0" borderId="14" xfId="49" applyFont="1" applyBorder="1" applyNumberFormat="1">
      <alignment horizontal="center" vertical="center"/>
    </xf>
    <xf numFmtId="173" fontId="26" fillId="0" borderId="14" xfId="0" applyFont="1" applyBorder="1" applyNumberFormat="1">
      <alignment horizontal="center" vertical="center" wrapText="1"/>
    </xf>
    <xf numFmtId="173" fontId="26" fillId="0" borderId="20" xfId="49" applyFont="1" applyBorder="1" applyNumberFormat="1">
      <alignment horizontal="center" vertical="center"/>
    </xf>
    <xf numFmtId="173" fontId="26" fillId="33" borderId="16" xfId="0" applyFont="1" applyFill="1" applyBorder="1" applyNumberFormat="1">
      <alignment horizontal="center" vertical="center" wrapText="1"/>
    </xf>
    <xf numFmtId="173" fontId="27" fillId="0" borderId="14" xfId="0" applyFont="1" applyBorder="1" applyNumberFormat="1">
      <alignment horizontal="center" vertical="center" wrapText="1"/>
    </xf>
    <xf numFmtId="174" fontId="27" fillId="0" borderId="14" xfId="0" applyFont="1" applyBorder="1" applyNumberFormat="1">
      <alignment horizontal="center" vertical="center" wrapText="1"/>
    </xf>
    <xf numFmtId="174" fontId="26" fillId="33" borderId="32" xfId="49" applyFont="1" applyFill="1" applyBorder="1" applyNumberFormat="1">
      <alignment horizontal="center" vertical="center" wrapText="1"/>
    </xf>
    <xf numFmtId="174" fontId="26" fillId="33" borderId="32" xfId="0" applyFont="1" applyFill="1" applyBorder="1" applyNumberFormat="1">
      <alignment horizontal="center" vertical="center" wrapText="1"/>
    </xf>
    <xf numFmtId="0" fontId="26" fillId="33" borderId="31" xfId="51" applyFont="1" applyFill="1" applyBorder="1">
      <alignment horizontal="center" vertical="center"/>
    </xf>
    <xf numFmtId="0" fontId="26" fillId="33" borderId="31" xfId="49" applyFont="1" applyFill="1" applyBorder="1">
      <alignment horizontal="right" vertical="center"/>
    </xf>
    <xf numFmtId="174" fontId="27" fillId="0" borderId="16" xfId="0" applyFont="1" applyBorder="1" applyNumberFormat="1">
      <alignment horizontal="center" vertical="center" wrapText="1"/>
    </xf>
    <xf numFmtId="174" fontId="26" fillId="33" borderId="34" xfId="49" applyFont="1" applyFill="1" applyBorder="1" applyNumberFormat="1">
      <alignment horizontal="center" vertical="center" wrapText="1"/>
    </xf>
    <xf numFmtId="174" fontId="26" fillId="33" borderId="33" xfId="49" applyFont="1" applyFill="1" applyBorder="1" applyNumberFormat="1">
      <alignment horizontal="center" vertical="center"/>
    </xf>
    <xf numFmtId="174" fontId="26" fillId="33" borderId="34" xfId="0" applyFont="1" applyFill="1" applyBorder="1" applyNumberFormat="1">
      <alignment horizontal="center" vertical="center" wrapText="1"/>
    </xf>
    <xf numFmtId="0" fontId="26" fillId="33" borderId="22" xfId="49" applyFont="1" applyFill="1" applyBorder="1">
      <alignment horizontal="center" vertical="center"/>
    </xf>
    <xf numFmtId="0" fontId="26" fillId="33" borderId="23" xfId="49" applyFont="1" applyFill="1" applyBorder="1">
      <alignment horizontal="center" vertical="center"/>
    </xf>
    <xf numFmtId="0" fontId="26" fillId="33" borderId="0" xfId="49" applyFont="1" applyFill="1">
      <alignment horizontal="center" vertical="center"/>
    </xf>
    <xf numFmtId="0" fontId="26" fillId="33" borderId="24" xfId="49" applyFont="1" applyFill="1" applyBorder="1">
      <alignment horizontal="center" vertical="center"/>
    </xf>
    <xf numFmtId="0" fontId="26" fillId="33" borderId="25" xfId="49" applyFont="1" applyFill="1" applyBorder="1">
      <alignment horizontal="center" vertical="center"/>
    </xf>
    <xf numFmtId="0" fontId="26" fillId="33" borderId="10" xfId="49" applyFont="1" applyFill="1" applyBorder="1">
      <alignment horizontal="center" vertical="center"/>
    </xf>
    <xf numFmtId="0" fontId="26" fillId="33" borderId="0" xfId="0" applyFont="1" applyFill="1">
      <alignment horizontal="right" vertical="center" wrapText="1"/>
    </xf>
    <xf numFmtId="0" fontId="27" fillId="0" borderId="35" xfId="0" applyFont="1" applyBorder="1">
      <alignment horizontal="left" vertical="center"/>
    </xf>
    <xf numFmtId="174" fontId="26" fillId="33" borderId="35" xfId="0" applyFont="1" applyFill="1" applyBorder="1" applyNumberFormat="1">
      <alignment horizontal="left" vertical="center" wrapText="1"/>
    </xf>
    <xf numFmtId="0" fontId="26" fillId="33" borderId="35" xfId="0" applyFont="1" applyFill="1" applyBorder="1">
      <alignment horizontal="left" vertical="center" wrapText="1"/>
    </xf>
    <xf numFmtId="174" fontId="26" fillId="33" borderId="14" xfId="0" applyFont="1" applyFill="1" applyBorder="1" applyNumberFormat="1">
      <alignment horizontal="center" vertical="center" wrapText="1"/>
    </xf>
    <xf numFmtId="174" fontId="26" fillId="33" borderId="20" xfId="49" applyFont="1" applyFill="1" applyBorder="1" applyNumberFormat="1">
      <alignment horizontal="center" vertical="center"/>
    </xf>
    <xf numFmtId="174" fontId="26" fillId="33" borderId="0" xfId="0" applyFont="1" applyFill="1" applyNumberFormat="1">
      <alignment horizontal="center" vertical="center" wrapText="1"/>
    </xf>
    <xf numFmtId="174" fontId="26" fillId="33" borderId="16" xfId="0" applyFont="1" applyFill="1" applyBorder="1" applyNumberFormat="1">
      <alignment horizontal="center" vertical="center" wrapText="1"/>
    </xf>
    <xf numFmtId="0" fontId="26" fillId="33" borderId="26" xfId="49" applyFont="1" applyFill="1" applyBorder="1">
      <alignment horizontal="center" vertical="center"/>
    </xf>
    <xf numFmtId="0" fontId="26" fillId="33" borderId="27" xfId="49" applyFont="1" applyFill="1" applyBorder="1">
      <alignment horizontal="center" vertical="center"/>
    </xf>
    <xf numFmtId="0" fontId="26" fillId="33" borderId="28" xfId="49" applyFont="1" applyFill="1" applyBorder="1">
      <alignment horizontal="center" vertical="center"/>
    </xf>
    <xf numFmtId="0" fontId="26" fillId="33" borderId="0" xfId="0" applyFont="1" applyFill="1">
      <alignment horizontal="left" vertical="center" wrapText="1"/>
    </xf>
    <xf numFmtId="0" fontId="27" fillId="33" borderId="0" xfId="0" applyFont="1" applyFill="1">
      <alignment vertical="center"/>
    </xf>
    <xf numFmtId="0" fontId="0" fillId="9" borderId="0" xfId="51" applyFont="1" applyFill="1">
      <alignment vertical="center"/>
    </xf>
    <xf numFmtId="0" fontId="23" fillId="9" borderId="0" xfId="49" applyFont="1" applyFill="1">
      <alignment horizontal="center" vertical="center"/>
    </xf>
    <xf numFmtId="171" fontId="24" fillId="9" borderId="10" xfId="49" applyFont="1" applyFill="1" applyBorder="1" applyNumberFormat="1">
      <alignment horizontal="center" vertical="center"/>
    </xf>
    <xf numFmtId="0" fontId="24" fillId="9" borderId="12" xfId="49" applyFont="1" applyFill="1" applyBorder="1">
      <alignment horizontal="center" vertical="center" wrapText="1"/>
    </xf>
    <xf numFmtId="0" fontId="24" fillId="9" borderId="14" xfId="49" applyFont="1" applyFill="1" applyBorder="1">
      <alignment horizontal="center" vertical="center" wrapText="1"/>
    </xf>
    <xf numFmtId="0" fontId="24" fillId="9" borderId="14" xfId="49" applyFont="1" applyFill="1" applyBorder="1">
      <alignment horizontal="right" vertical="center"/>
    </xf>
    <xf numFmtId="0" fontId="24" fillId="9" borderId="14" xfId="49" applyFont="1" applyFill="1" applyBorder="1">
      <alignment horizontal="right" vertical="center" wrapText="1"/>
    </xf>
    <xf numFmtId="0" fontId="24" fillId="0" borderId="13" xfId="49" applyFont="1" applyBorder="1">
      <alignment horizontal="left" vertical="center"/>
    </xf>
    <xf numFmtId="0" fontId="24" fillId="9" borderId="16" xfId="49" applyFont="1" applyFill="1" applyBorder="1">
      <alignment horizontal="right" vertical="center" wrapText="1"/>
    </xf>
    <xf numFmtId="0" fontId="24" fillId="34" borderId="13" xfId="49" applyFont="1" applyFill="1" applyBorder="1">
      <alignment horizontal="left" vertical="center"/>
    </xf>
    <xf numFmtId="0" fontId="24" fillId="34" borderId="31" xfId="49" applyFont="1" applyFill="1" applyBorder="1">
      <alignment horizontal="center" vertical="center"/>
    </xf>
    <xf numFmtId="0" fontId="24" fillId="9" borderId="12" xfId="49" applyFont="1" applyFill="1" applyBorder="1">
      <alignment horizontal="right" vertical="center" wrapText="1"/>
    </xf>
    <xf numFmtId="176" fontId="24" fillId="9" borderId="14" xfId="49" applyFont="1" applyFill="1" applyBorder="1" applyNumberFormat="1">
      <alignment horizontal="right" vertical="center" wrapText="1"/>
    </xf>
    <xf numFmtId="0" fontId="28" fillId="9" borderId="14" xfId="49" applyFont="1" applyFill="1" applyBorder="1">
      <alignment vertical="center" wrapText="1"/>
    </xf>
    <xf numFmtId="174" fontId="24" fillId="33" borderId="31" xfId="49" applyFont="1" applyFill="1" applyBorder="1" applyNumberFormat="1">
      <alignment horizontal="right" vertical="center"/>
    </xf>
    <xf numFmtId="0" fontId="24" fillId="9" borderId="32" xfId="49" applyFont="1" applyFill="1" applyBorder="1">
      <alignment horizontal="right" vertical="center" wrapText="1"/>
    </xf>
    <xf numFmtId="173" fontId="26" fillId="33" borderId="12" xfId="49" applyFont="1" applyFill="1" applyBorder="1" applyNumberFormat="1">
      <alignment horizontal="center" vertical="center" wrapText="1"/>
    </xf>
    <xf numFmtId="173" fontId="24" fillId="9" borderId="14" xfId="49" applyFont="1" applyFill="1" applyBorder="1" applyNumberFormat="1">
      <alignment horizontal="right" vertical="center" wrapText="1"/>
    </xf>
    <xf numFmtId="1" fontId="24" fillId="9" borderId="16" xfId="49" applyFont="1" applyFill="1" applyBorder="1" applyNumberFormat="1">
      <alignment horizontal="right" vertical="center" wrapText="1"/>
    </xf>
    <xf numFmtId="173" fontId="24" fillId="33" borderId="12" xfId="49" applyFont="1" applyFill="1" applyBorder="1" applyNumberFormat="1">
      <alignment horizontal="center" vertical="center"/>
    </xf>
    <xf numFmtId="0" fontId="24" fillId="33" borderId="14" xfId="49" applyFont="1" applyFill="1" applyBorder="1">
      <alignment horizontal="right" vertical="center" wrapText="1"/>
    </xf>
    <xf numFmtId="0" fontId="24" fillId="33" borderId="16" xfId="49" applyFont="1" applyFill="1" applyBorder="1">
      <alignment horizontal="right" vertical="center" wrapText="1"/>
    </xf>
    <xf numFmtId="0" fontId="24" fillId="34" borderId="32" xfId="49" applyFont="1" applyFill="1" applyBorder="1">
      <alignment horizontal="right" vertical="center" wrapText="1"/>
    </xf>
    <xf numFmtId="0" fontId="24" fillId="34" borderId="20" xfId="49" applyFont="1" applyFill="1" applyBorder="1">
      <alignment horizontal="right" vertical="center"/>
    </xf>
    <xf numFmtId="0" fontId="24" fillId="33" borderId="12" xfId="49" applyFont="1" applyFill="1" applyBorder="1">
      <alignment horizontal="right" vertical="center" wrapText="1"/>
    </xf>
    <xf numFmtId="176" fontId="24" fillId="33" borderId="14" xfId="49" applyFont="1" applyFill="1" applyBorder="1" applyNumberFormat="1">
      <alignment horizontal="right" vertical="center" wrapText="1"/>
    </xf>
    <xf numFmtId="176" fontId="24" fillId="33" borderId="14" xfId="49" applyFont="1" applyFill="1" applyBorder="1" applyNumberFormat="1">
      <alignment horizontal="center" vertical="center" wrapText="1"/>
    </xf>
    <xf numFmtId="0" fontId="28" fillId="33" borderId="14" xfId="49" applyFont="1" applyFill="1" applyBorder="1">
      <alignment vertical="center" wrapText="1"/>
    </xf>
    <xf numFmtId="173" fontId="24" fillId="33" borderId="14" xfId="49" applyFont="1" applyFill="1" applyBorder="1" applyNumberFormat="1">
      <alignment horizontal="right" vertical="center" wrapText="1"/>
    </xf>
    <xf numFmtId="1" fontId="24" fillId="33" borderId="16" xfId="49" applyFont="1" applyFill="1" applyBorder="1" applyNumberFormat="1">
      <alignment horizontal="right" vertical="center" wrapText="1"/>
    </xf>
    <xf numFmtId="174" fontId="24" fillId="9" borderId="14" xfId="49" applyFont="1" applyFill="1" applyBorder="1" applyNumberFormat="1">
      <alignment horizontal="right" vertical="center" wrapText="1"/>
    </xf>
    <xf numFmtId="175" fontId="24" fillId="9" borderId="14" xfId="49" applyFont="1" applyFill="1" applyBorder="1" applyNumberFormat="1">
      <alignment horizontal="right" vertical="center" wrapText="1"/>
    </xf>
    <xf numFmtId="174" fontId="0" fillId="9" borderId="0" xfId="51" applyFont="1" applyFill="1" applyNumberFormat="1">
      <alignment vertical="center" wrapText="1"/>
    </xf>
    <xf numFmtId="175" fontId="0" fillId="9" borderId="0" xfId="51" applyFont="1" applyFill="1" applyNumberFormat="1">
      <alignment vertical="center" wrapText="1"/>
    </xf>
    <xf numFmtId="0" fontId="0" fillId="9" borderId="0" xfId="51" applyFont="1" applyFill="1">
      <alignment vertical="center" wrapText="1"/>
    </xf>
    <xf numFmtId="0" fontId="24" fillId="9" borderId="23" xfId="49" applyFont="1" applyFill="1" applyBorder="1">
      <alignment horizontal="right" vertical="center"/>
    </xf>
    <xf numFmtId="0" fontId="24" fillId="9" borderId="0" xfId="49" applyFont="1" applyFill="1">
      <alignment horizontal="right" vertical="center"/>
    </xf>
    <xf numFmtId="0" fontId="24" fillId="9" borderId="10" xfId="49" applyFont="1" applyFill="1" applyBorder="1">
      <alignment horizontal="right" vertical="center"/>
    </xf>
    <xf numFmtId="0" fontId="24" fillId="9" borderId="0" xfId="49" applyFont="1" applyFill="1">
      <alignment horizontal="left" vertical="center"/>
    </xf>
    <xf numFmtId="175" fontId="24" fillId="33" borderId="14" xfId="49" applyFont="1" applyFill="1" applyBorder="1" applyNumberFormat="1">
      <alignment horizontal="right" vertical="center" wrapText="1"/>
    </xf>
    <xf numFmtId="174" fontId="24" fillId="0" borderId="14" xfId="49" applyFont="1" applyBorder="1" applyNumberFormat="1">
      <alignment horizontal="right" vertical="center" wrapText="1"/>
    </xf>
    <xf numFmtId="174" fontId="0" fillId="0" borderId="0" xfId="51" applyFont="1" applyNumberFormat="1">
      <alignment vertical="center" wrapText="1"/>
    </xf>
    <xf numFmtId="0" fontId="0" fillId="34" borderId="0" xfId="51" applyFont="1" applyFill="1">
      <alignment vertical="center"/>
    </xf>
    <xf numFmtId="0" fontId="0" fillId="34" borderId="14" xfId="51" applyFont="1" applyFill="1" applyBorder="1">
      <alignment vertical="center" wrapText="1"/>
    </xf>
    <xf numFmtId="0" fontId="0" fillId="35" borderId="0" xfId="51" applyFont="1" applyFill="1">
      <alignment vertical="center" wrapText="1"/>
    </xf>
    <xf numFmtId="0" fontId="0" fillId="9" borderId="14" xfId="51" applyFont="1" applyFill="1" applyBorder="1">
      <alignment vertical="center" wrapText="1"/>
    </xf>
    <xf numFmtId="173" fontId="26" fillId="33" borderId="32" xfId="0" applyFont="1" applyFill="1" applyBorder="1" applyNumberFormat="1">
      <alignment horizontal="center" vertical="center"/>
    </xf>
    <xf numFmtId="173" fontId="26" fillId="0" borderId="32" xfId="49" applyFont="1" applyBorder="1" applyNumberFormat="1">
      <alignment horizontal="center" vertical="center"/>
    </xf>
    <xf numFmtId="173" fontId="26" fillId="0" borderId="32" xfId="0" applyFont="1" applyBorder="1" applyNumberFormat="1">
      <alignment horizontal="center" vertical="center"/>
    </xf>
    <xf numFmtId="173" fontId="26" fillId="33" borderId="12" xfId="49" applyFont="1" applyFill="1" applyBorder="1" applyNumberFormat="1">
      <alignment horizontal="center" vertical="center"/>
    </xf>
    <xf numFmtId="173" fontId="0" fillId="0" borderId="0" xfId="0" applyFont="1" applyNumberFormat="1">
      <alignment vertical="top"/>
    </xf>
    <xf numFmtId="173" fontId="26" fillId="0" borderId="14" xfId="0" applyFont="1" applyBorder="1" applyNumberFormat="1">
      <alignment horizontal="center" vertical="center"/>
    </xf>
    <xf numFmtId="173" fontId="27" fillId="0" borderId="14" xfId="0" applyFont="1" applyBorder="1" applyNumberFormat="1">
      <alignment horizontal="center" vertical="center"/>
    </xf>
    <xf numFmtId="174" fontId="27" fillId="0" borderId="14" xfId="0" applyFont="1" applyBorder="1" applyNumberFormat="1">
      <alignment horizontal="center" vertical="center"/>
    </xf>
    <xf numFmtId="174" fontId="26" fillId="33" borderId="32" xfId="49" applyFont="1" applyFill="1" applyBorder="1" applyNumberFormat="1">
      <alignment horizontal="center" vertical="center"/>
    </xf>
    <xf numFmtId="174" fontId="26" fillId="33" borderId="32" xfId="0" applyFont="1" applyFill="1" applyBorder="1" applyNumberFormat="1">
      <alignment horizontal="center" vertical="center"/>
    </xf>
    <xf numFmtId="174" fontId="27" fillId="0" borderId="16" xfId="0" applyFont="1" applyBorder="1" applyNumberFormat="1">
      <alignment horizontal="center" vertical="center"/>
    </xf>
    <xf numFmtId="174" fontId="26" fillId="33" borderId="34" xfId="0" applyFont="1" applyFill="1" applyBorder="1" applyNumberFormat="1">
      <alignment horizontal="center" vertical="center"/>
    </xf>
    <xf numFmtId="174" fontId="26" fillId="33" borderId="14" xfId="0" applyFont="1" applyFill="1" applyBorder="1" applyNumberFormat="1">
      <alignment horizontal="center" vertical="center"/>
    </xf>
    <xf numFmtId="174" fontId="26" fillId="33" borderId="16" xfId="49" applyFont="1" applyFill="1" applyBorder="1" applyNumberFormat="1">
      <alignment horizontal="center" vertical="center"/>
    </xf>
    <xf numFmtId="174" fontId="26" fillId="33" borderId="16" xfId="0" applyFont="1" applyFill="1" applyBorder="1" applyNumberFormat="1">
      <alignment horizontal="center" vertical="center"/>
    </xf>
    <xf numFmtId="0" fontId="23" fillId="33" borderId="0" xfId="49" applyFont="1" applyFill="1">
      <alignment horizontal="center" vertical="center" wrapText="1"/>
    </xf>
    <xf numFmtId="171" fontId="24" fillId="33" borderId="10" xfId="49" applyFont="1" applyFill="1" applyBorder="1" applyNumberFormat="1">
      <alignment horizontal="center" vertical="center" wrapText="1"/>
    </xf>
    <xf numFmtId="172" fontId="24" fillId="33" borderId="36" xfId="53" applyFont="1" applyFill="1" applyBorder="1" applyNumberFormat="1">
      <alignment horizontal="center" vertical="center" wrapText="1"/>
    </xf>
    <xf numFmtId="173" fontId="27" fillId="0" borderId="0" xfId="51" applyFont="1" applyNumberFormat="1">
      <alignment horizontal="center" vertical="center" wrapText="1"/>
    </xf>
    <xf numFmtId="173" fontId="27" fillId="34" borderId="14" xfId="51" applyFont="1" applyFill="1" applyBorder="1" applyNumberFormat="1">
      <alignment horizontal="center" vertical="center" wrapText="1"/>
    </xf>
    <xf numFmtId="0" fontId="28" fillId="33" borderId="0" xfId="49" applyFont="1" applyFill="1">
      <alignment vertical="center" wrapText="1"/>
    </xf>
    <xf numFmtId="173" fontId="26" fillId="33" borderId="31" xfId="49" applyFont="1" applyFill="1" applyBorder="1" applyNumberFormat="1">
      <alignment vertical="center" wrapText="1"/>
    </xf>
    <xf numFmtId="173" fontId="26" fillId="33" borderId="14" xfId="49" applyFont="1" applyFill="1" applyBorder="1" applyNumberFormat="1">
      <alignment vertical="center" wrapText="1"/>
    </xf>
    <xf numFmtId="173" fontId="27" fillId="33" borderId="0" xfId="0" applyFont="1" applyFill="1" applyNumberFormat="1">
      <alignment horizontal="center" vertical="center" wrapText="1"/>
    </xf>
    <xf numFmtId="173" fontId="24" fillId="33" borderId="12" xfId="49" applyFont="1" applyFill="1" applyBorder="1" applyNumberFormat="1">
      <alignment horizontal="center" vertical="center" wrapText="1"/>
    </xf>
    <xf numFmtId="173" fontId="24" fillId="33" borderId="14" xfId="49" applyFont="1" applyFill="1" applyBorder="1" applyNumberFormat="1">
      <alignment horizontal="center" vertical="center" wrapText="1"/>
    </xf>
    <xf numFmtId="0" fontId="35" fillId="0" borderId="0" xfId="0" applyFont="1">
      <alignment wrapText="1"/>
    </xf>
    <xf numFmtId="177" fontId="24" fillId="33" borderId="14" xfId="51" applyFont="1" applyFill="1" applyBorder="1" applyNumberFormat="1">
      <alignment horizontal="right" vertical="center"/>
    </xf>
    <xf numFmtId="177" fontId="24" fillId="33" borderId="14" xfId="51" applyFont="1" applyFill="1" applyBorder="1" applyNumberFormat="1">
      <alignment horizontal="right" vertical="center" wrapText="1"/>
    </xf>
    <xf numFmtId="177" fontId="24" fillId="33" borderId="14" xfId="0" applyFont="1" applyFill="1" applyBorder="1" applyNumberFormat="1">
      <alignment horizontal="right" vertical="center" wrapText="1"/>
    </xf>
    <xf numFmtId="178" fontId="24" fillId="33" borderId="14" xfId="49" applyFont="1" applyFill="1" applyBorder="1" applyNumberFormat="1">
      <alignment horizontal="right" vertical="center" wrapText="1"/>
    </xf>
    <xf numFmtId="0" fontId="24" fillId="33" borderId="23" xfId="49" applyFont="1" applyFill="1" applyBorder="1">
      <alignment horizontal="right" vertical="center" wrapText="1"/>
    </xf>
    <xf numFmtId="0" fontId="24" fillId="33" borderId="0" xfId="49" applyFont="1" applyFill="1">
      <alignment horizontal="right" vertical="center" wrapText="1"/>
    </xf>
    <xf numFmtId="0" fontId="24" fillId="33" borderId="10" xfId="49" applyFont="1" applyFill="1" applyBorder="1">
      <alignment horizontal="right" vertical="center" wrapText="1"/>
    </xf>
    <xf numFmtId="0" fontId="24" fillId="33" borderId="0" xfId="49" applyFont="1" applyFill="1">
      <alignment horizontal="left" vertical="center" wrapText="1"/>
    </xf>
    <xf numFmtId="0" fontId="0" fillId="0" borderId="14" xfId="51" applyFont="1" applyBorder="1">
      <alignment wrapText="1"/>
    </xf>
    <xf numFmtId="0" fontId="35" fillId="0" borderId="0" xfId="51" applyFont="1">
      <alignment horizontal="left" wrapText="1"/>
    </xf>
    <xf numFmtId="0" fontId="35" fillId="0" borderId="0" xfId="51" applyFont="1">
      <alignment wrapText="1"/>
    </xf>
    <xf numFmtId="174" fontId="24" fillId="33" borderId="23" xfId="50" applyFont="1" applyFill="1" applyBorder="1" applyNumberFormat="1">
      <alignment horizontal="right" vertical="center" wrapText="1"/>
    </xf>
    <xf numFmtId="174" fontId="24" fillId="33" borderId="0" xfId="50" applyFont="1" applyFill="1" applyNumberFormat="1">
      <alignment horizontal="right" vertical="center" wrapText="1"/>
    </xf>
    <xf numFmtId="174" fontId="24" fillId="33" borderId="10" xfId="50" applyFont="1" applyFill="1" applyBorder="1" applyNumberFormat="1">
      <alignment horizontal="right" vertical="center" wrapText="1"/>
    </xf>
    <xf numFmtId="0" fontId="0" fillId="0" borderId="14" xfId="51" applyFont="1" applyBorder="1"/>
    <xf numFmtId="0" fontId="0" fillId="0" borderId="14" xfId="51" applyFont="1" applyBorder="1">
      <alignment vertical="center"/>
    </xf>
    <xf numFmtId="0" fontId="0" fillId="0" borderId="0" xfId="51" applyFont="1"/>
    <xf numFmtId="175" fontId="27" fillId="0" borderId="0" xfId="0" applyFont="1" applyNumberFormat="1">
      <alignment vertical="center"/>
    </xf>
    <xf numFmtId="172" fontId="26" fillId="33" borderId="36" xfId="53" applyFont="1" applyFill="1" applyBorder="1" applyNumberFormat="1">
      <alignment horizontal="center" vertical="center" wrapText="1"/>
    </xf>
    <xf numFmtId="175" fontId="26" fillId="33" borderId="14" xfId="49" applyFont="1" applyFill="1" applyBorder="1" applyNumberFormat="1">
      <alignment horizontal="center" vertical="center" wrapText="1"/>
    </xf>
    <xf numFmtId="0" fontId="0" fillId="0" borderId="0" xfId="0" applyFont="1">
      <alignment horizontal="left" vertical="center"/>
    </xf>
    <xf numFmtId="0" fontId="23" fillId="0" borderId="0" xfId="49" applyFont="1">
      <alignment horizontal="left" vertical="center"/>
    </xf>
    <xf numFmtId="0" fontId="23" fillId="0" borderId="0" xfId="49" applyFont="1">
      <alignment horizontal="center" vertical="center"/>
    </xf>
    <xf numFmtId="171" fontId="24" fillId="0" borderId="10" xfId="49" applyFont="1" applyBorder="1" applyNumberFormat="1">
      <alignment horizontal="left" vertical="center"/>
    </xf>
    <xf numFmtId="171" fontId="24" fillId="0" borderId="10" xfId="49" applyFont="1" applyBorder="1" applyNumberFormat="1">
      <alignment horizontal="center" vertical="center"/>
    </xf>
    <xf numFmtId="0" fontId="24" fillId="0" borderId="12" xfId="49" applyFont="1" applyBorder="1">
      <alignment horizontal="left" vertical="center" wrapText="1"/>
    </xf>
    <xf numFmtId="0" fontId="24" fillId="0" borderId="12" xfId="49" applyFont="1" applyBorder="1">
      <alignment horizontal="center" vertical="center" wrapText="1"/>
    </xf>
    <xf numFmtId="0" fontId="24" fillId="0" borderId="14" xfId="49" applyFont="1" applyBorder="1">
      <alignment horizontal="left" vertical="center" wrapText="1"/>
    </xf>
    <xf numFmtId="0" fontId="24" fillId="0" borderId="14" xfId="49" applyFont="1" applyBorder="1">
      <alignment horizontal="left" vertical="center"/>
    </xf>
    <xf numFmtId="173" fontId="24" fillId="0" borderId="14" xfId="49" applyFont="1" applyBorder="1" applyNumberFormat="1">
      <alignment horizontal="left" vertical="center" wrapText="1"/>
    </xf>
    <xf numFmtId="173" fontId="27" fillId="33" borderId="0" xfId="51" applyFont="1" applyFill="1" applyNumberFormat="1">
      <alignment horizontal="center" vertical="center" wrapText="1"/>
    </xf>
    <xf numFmtId="0" fontId="24" fillId="0" borderId="16" xfId="49" applyFont="1" applyBorder="1">
      <alignment horizontal="left" vertical="center" wrapText="1"/>
    </xf>
    <xf numFmtId="173" fontId="26" fillId="34" borderId="14" xfId="49" applyFont="1" applyFill="1" applyBorder="1" applyNumberFormat="1">
      <alignment horizontal="center" vertical="center" wrapText="1"/>
    </xf>
    <xf numFmtId="0" fontId="24" fillId="34" borderId="14" xfId="49" applyFont="1" applyFill="1" applyBorder="1">
      <alignment horizontal="left" vertical="center" wrapText="1"/>
    </xf>
    <xf numFmtId="176" fontId="24" fillId="0" borderId="14" xfId="49" applyFont="1" applyBorder="1" applyNumberFormat="1">
      <alignment horizontal="left" vertical="center" wrapText="1"/>
    </xf>
    <xf numFmtId="174" fontId="24" fillId="0" borderId="14" xfId="49" applyFont="1" applyBorder="1" applyNumberFormat="1">
      <alignment horizontal="left" vertical="center" wrapText="1"/>
    </xf>
    <xf numFmtId="0" fontId="28" fillId="0" borderId="14" xfId="49" applyFont="1" applyBorder="1">
      <alignment horizontal="left" vertical="center" wrapText="1"/>
    </xf>
    <xf numFmtId="0" fontId="24" fillId="0" borderId="32" xfId="49" applyFont="1" applyBorder="1">
      <alignment horizontal="left" vertical="center" wrapText="1"/>
    </xf>
    <xf numFmtId="0" fontId="24" fillId="33" borderId="14" xfId="49" applyFont="1" applyFill="1" applyBorder="1">
      <alignment horizontal="left" vertical="center" wrapText="1"/>
    </xf>
    <xf numFmtId="0" fontId="0" fillId="0" borderId="0" xfId="51" applyFont="1">
      <alignment horizontal="center" vertical="center" wrapText="1"/>
    </xf>
    <xf numFmtId="178" fontId="24" fillId="0" borderId="14" xfId="49" applyFont="1" applyBorder="1" applyNumberFormat="1">
      <alignment horizontal="left" vertical="center" wrapText="1"/>
    </xf>
    <xf numFmtId="178" fontId="24" fillId="33" borderId="14" xfId="49" applyFont="1" applyFill="1" applyBorder="1" applyNumberFormat="1">
      <alignment horizontal="right" vertical="center"/>
    </xf>
    <xf numFmtId="178" fontId="24" fillId="0" borderId="14" xfId="49" applyFont="1" applyBorder="1" applyNumberFormat="1">
      <alignment horizontal="left" vertical="center"/>
    </xf>
    <xf numFmtId="0" fontId="24" fillId="33" borderId="16" xfId="49" applyFont="1" applyFill="1" applyBorder="1">
      <alignment horizontal="right" vertical="center"/>
    </xf>
    <xf numFmtId="174" fontId="26" fillId="33" borderId="16" xfId="49" applyFont="1" applyFill="1" applyBorder="1" applyNumberFormat="1">
      <alignment horizontal="center" vertical="center" wrapText="1"/>
    </xf>
    <xf numFmtId="0" fontId="24" fillId="0" borderId="16" xfId="49" applyFont="1" applyBorder="1">
      <alignment horizontal="left" vertical="center"/>
    </xf>
    <xf numFmtId="0" fontId="24" fillId="0" borderId="0" xfId="49" applyFont="1">
      <alignment horizontal="left" vertical="center"/>
    </xf>
    <xf numFmtId="0" fontId="24" fillId="0" borderId="0" xfId="49" applyFont="1">
      <alignment horizontal="right" vertical="center"/>
    </xf>
    <xf numFmtId="0" fontId="24" fillId="0" borderId="10" xfId="49" applyFont="1" applyBorder="1">
      <alignment horizontal="left" vertical="center"/>
    </xf>
    <xf numFmtId="0" fontId="24" fillId="0" borderId="10" xfId="49" applyFont="1" applyBorder="1">
      <alignment horizontal="right" vertical="center"/>
    </xf>
    <xf numFmtId="0" fontId="29" fillId="0" borderId="0" xfId="51" applyFont="1">
      <alignment horizontal="right"/>
    </xf>
    <xf numFmtId="0" fontId="0" fillId="0" borderId="0" xfId="51" applyFont="1">
      <alignment wrapText="1"/>
    </xf>
    <xf numFmtId="0" fontId="29" fillId="0" borderId="0" xfId="51" applyFont="1">
      <alignment horizontal="right" wrapText="1"/>
    </xf>
    <xf numFmtId="178" fontId="24" fillId="33" borderId="14" xfId="49" applyFont="1" applyFill="1" applyBorder="1" applyNumberFormat="1">
      <alignment horizontal="left" vertical="center" wrapText="1"/>
    </xf>
    <xf numFmtId="174" fontId="24" fillId="33" borderId="14" xfId="49" applyFont="1" applyFill="1" applyBorder="1" applyNumberFormat="1">
      <alignment horizontal="left" vertical="center" wrapText="1"/>
    </xf>
    <xf numFmtId="174" fontId="24" fillId="33" borderId="16" xfId="50" applyFont="1" applyFill="1" applyBorder="1" applyNumberFormat="1">
      <alignment horizontal="right" vertical="center"/>
    </xf>
    <xf numFmtId="0" fontId="0" fillId="0" borderId="0" xfId="51" applyFont="1">
      <alignment horizontal="right" vertical="center"/>
    </xf>
    <xf numFmtId="0" fontId="0" fillId="34" borderId="0" xfId="51" applyFont="1" applyFill="1">
      <alignment vertical="center" wrapText="1"/>
    </xf>
    <xf numFmtId="0" fontId="0" fillId="34" borderId="0" xfId="0" applyFont="1" applyFill="1">
      <alignment vertical="top" wrapText="1"/>
    </xf>
    <xf numFmtId="0" fontId="27" fillId="0" borderId="0" xfId="0" applyFont="1">
      <alignment vertical="center" wrapText="1"/>
    </xf>
    <xf numFmtId="0" fontId="34" fillId="33" borderId="0" xfId="49" applyFont="1" applyFill="1">
      <alignment horizontal="center" vertical="center" wrapText="1"/>
    </xf>
    <xf numFmtId="171" fontId="26" fillId="33" borderId="10" xfId="49" applyFont="1" applyFill="1" applyBorder="1" applyNumberFormat="1">
      <alignment horizontal="center" vertical="center" wrapText="1"/>
    </xf>
    <xf numFmtId="0" fontId="26" fillId="33" borderId="10" xfId="49" applyFont="1" applyFill="1" applyBorder="1">
      <alignment horizontal="right" vertical="center" wrapText="1"/>
    </xf>
    <xf numFmtId="173" fontId="26" fillId="0" borderId="14" xfId="49" applyFont="1" applyBorder="1" applyNumberFormat="1">
      <alignment horizontal="center" vertical="center" wrapText="1"/>
    </xf>
    <xf numFmtId="173" fontId="0" fillId="0" borderId="0" xfId="0" applyFont="1" applyNumberFormat="1">
      <alignment vertical="top" wrapText="1"/>
    </xf>
    <xf numFmtId="0" fontId="26" fillId="33" borderId="0" xfId="49" applyFont="1" applyFill="1">
      <alignment horizontal="center" vertical="center" wrapText="1"/>
    </xf>
    <xf numFmtId="0" fontId="26" fillId="33" borderId="10" xfId="49" applyFont="1" applyFill="1" applyBorder="1">
      <alignment horizontal="center" vertical="center" wrapText="1"/>
    </xf>
    <xf numFmtId="0" fontId="27" fillId="0" borderId="35" xfId="0" applyFont="1" applyBorder="1">
      <alignment horizontal="left" vertical="center" wrapText="1"/>
    </xf>
    <xf numFmtId="0" fontId="0" fillId="36" borderId="0" xfId="0" applyFont="1" applyFill="1">
      <alignment vertical="top"/>
    </xf>
    <xf numFmtId="0" fontId="0" fillId="14" borderId="0" xfId="0" applyFont="1" applyFill="1">
      <alignment vertical="top"/>
    </xf>
    <xf numFmtId="0" fontId="0" fillId="19" borderId="0" xfId="0" applyFont="1" applyFill="1">
      <alignment vertical="top"/>
    </xf>
    <xf numFmtId="179" fontId="36" fillId="0" borderId="0" xfId="0" applyFont="1" applyNumberFormat="1">
      <alignment vertical="center"/>
    </xf>
    <xf numFmtId="173" fontId="27" fillId="0" borderId="14" xfId="0" applyFont="1" applyBorder="1" applyNumberFormat="1">
      <alignment vertical="center"/>
    </xf>
    <xf numFmtId="173" fontId="26" fillId="33" borderId="14" xfId="0" applyFont="1" applyFill="1" applyBorder="1" applyNumberFormat="1">
      <alignment vertical="center"/>
    </xf>
    <xf numFmtId="173" fontId="27" fillId="0" borderId="14" xfId="0" applyFont="1" applyBorder="1" applyNumberFormat="1">
      <alignment vertical="center" wrapText="1"/>
    </xf>
    <xf numFmtId="173" fontId="26" fillId="33" borderId="14" xfId="0" applyFont="1" applyFill="1" applyBorder="1" applyNumberFormat="1">
      <alignment vertical="center" wrapText="1"/>
    </xf>
    <xf numFmtId="0" fontId="0" fillId="14" borderId="0" xfId="0" applyFont="1" applyFill="1">
      <alignment vertical="top"/>
    </xf>
    <xf numFmtId="0" fontId="0" fillId="0" borderId="0" xfId="0" applyFont="1">
      <alignment vertical="top" wrapText="1"/>
    </xf>
    <xf numFmtId="173" fontId="26" fillId="0" borderId="14" xfId="0" applyFont="1" applyBorder="1" applyNumberFormat="1">
      <alignment vertical="center" wrapText="1"/>
    </xf>
    <xf numFmtId="174" fontId="26" fillId="33" borderId="14" xfId="49" applyFont="1" applyFill="1" applyBorder="1" applyNumberFormat="1">
      <alignment vertical="center" wrapText="1"/>
    </xf>
    <xf numFmtId="174" fontId="26" fillId="33" borderId="14" xfId="0" applyFont="1" applyFill="1" applyBorder="1" applyNumberFormat="1">
      <alignment vertical="center" wrapText="1"/>
    </xf>
    <xf numFmtId="174" fontId="26" fillId="33" borderId="16" xfId="49" applyFont="1" applyFill="1" applyBorder="1" applyNumberFormat="1">
      <alignment vertical="center" wrapText="1"/>
    </xf>
    <xf numFmtId="0" fontId="0" fillId="34" borderId="14" xfId="0" applyFont="1" applyFill="1" applyBorder="1">
      <alignment horizontal="center" vertical="top" wrapText="1"/>
    </xf>
    <xf numFmtId="0" fontId="1" fillId="0" borderId="14" xfId="0" applyFont="1" applyBorder="1">
      <alignment vertical="center"/>
    </xf>
    <xf numFmtId="0" fontId="1" fillId="0" borderId="14" xfId="0" applyFont="1" applyBorder="1">
      <alignment vertical="center" wrapText="1"/>
    </xf>
    <xf numFmtId="0" fontId="0" fillId="0" borderId="14" xfId="0" applyFont="1" applyBorder="1">
      <alignment vertical="top"/>
    </xf>
    <xf numFmtId="0" fontId="0" fillId="0" borderId="14" xfId="0" applyFont="1" applyBorder="1">
      <alignment vertical="top" wrapText="1"/>
    </xf>
    <xf numFmtId="0" fontId="1" fillId="0" borderId="0" xfId="0" applyFont="1">
      <alignment vertical="center"/>
    </xf>
    <xf numFmtId="171" fontId="26" fillId="33" borderId="0" xfId="49" applyFont="1" applyFill="1" applyNumberFormat="1">
      <alignment horizontal="center" vertical="center"/>
    </xf>
    <xf numFmtId="0" fontId="26" fillId="33" borderId="37" xfId="49" applyFont="1" applyFill="1" applyBorder="1">
      <alignment horizontal="center" vertical="center" wrapText="1"/>
    </xf>
    <xf numFmtId="0" fontId="26" fillId="33" borderId="38" xfId="49" applyFont="1" applyFill="1" applyBorder="1">
      <alignment horizontal="center" vertical="center" wrapText="1"/>
    </xf>
    <xf numFmtId="174" fontId="26" fillId="33" borderId="37" xfId="49" applyFont="1" applyFill="1" applyBorder="1" applyNumberFormat="1">
      <alignment horizontal="center" vertical="center" wrapText="1"/>
    </xf>
    <xf numFmtId="0" fontId="26" fillId="33" borderId="31" xfId="49" applyFont="1" applyFill="1" applyBorder="1">
      <alignment horizontal="center" vertical="center" wrapText="1"/>
    </xf>
    <xf numFmtId="0" fontId="26" fillId="33" borderId="32" xfId="49" applyFont="1" applyFill="1" applyBorder="1">
      <alignment horizontal="center" vertical="center" wrapText="1"/>
    </xf>
    <xf numFmtId="173" fontId="26" fillId="33" borderId="16" xfId="0" applyFont="1" applyFill="1" applyBorder="1" applyNumberFormat="1">
      <alignment horizontal="center" vertical="center"/>
    </xf>
    <xf numFmtId="173" fontId="27" fillId="0" borderId="0" xfId="0" applyFont="1" applyNumberFormat="1">
      <alignment horizontal="center" vertical="center"/>
    </xf>
    <xf numFmtId="180" fontId="27" fillId="0" borderId="14" xfId="0" applyFont="1" applyBorder="1" applyNumberFormat="1">
      <alignment horizontal="center" vertical="center"/>
    </xf>
    <xf numFmtId="181" fontId="27" fillId="0" borderId="14" xfId="0" applyFont="1" applyBorder="1" applyNumberFormat="1">
      <alignment horizontal="center" vertical="center"/>
    </xf>
    <xf numFmtId="0" fontId="26" fillId="33" borderId="0" xfId="49" applyFont="1" applyFill="1">
      <alignment horizontal="right" vertical="center"/>
    </xf>
    <xf numFmtId="173" fontId="26" fillId="33" borderId="37" xfId="49" applyFont="1" applyFill="1" applyBorder="1" applyNumberFormat="1">
      <alignment horizontal="center" vertical="center"/>
    </xf>
    <xf numFmtId="0" fontId="26" fillId="33" borderId="39" xfId="49" applyFont="1" applyFill="1" applyBorder="1">
      <alignment horizontal="center" vertical="center" wrapText="1"/>
    </xf>
    <xf numFmtId="174" fontId="26" fillId="0" borderId="14" xfId="0" applyFont="1" applyBorder="1" applyNumberFormat="1">
      <alignment horizontal="center" vertical="center"/>
    </xf>
    <xf numFmtId="174" fontId="37" fillId="0" borderId="0" xfId="0" applyFont="1" applyNumberFormat="1">
      <alignment horizontal="center" vertical="center"/>
    </xf>
    <xf numFmtId="174" fontId="37" fillId="0" borderId="32" xfId="0" applyFont="1" applyBorder="1" applyNumberFormat="1">
      <alignment horizontal="center" vertical="center"/>
    </xf>
    <xf numFmtId="174" fontId="26" fillId="33" borderId="21" xfId="49" applyFont="1" applyFill="1" applyBorder="1" applyNumberFormat="1">
      <alignment horizontal="center" vertical="center"/>
    </xf>
    <xf numFmtId="174" fontId="26" fillId="33" borderId="0" xfId="49" applyFont="1" applyFill="1" applyNumberFormat="1">
      <alignment horizontal="center" vertical="center"/>
    </xf>
    <xf numFmtId="174" fontId="26" fillId="33" borderId="10" xfId="49" applyFont="1" applyFill="1" applyBorder="1" applyNumberFormat="1">
      <alignment horizontal="center" vertical="center"/>
    </xf>
    <xf numFmtId="0" fontId="34" fillId="33" borderId="0" xfId="0" applyFont="1" applyFill="1">
      <alignment horizontal="center" vertical="center" wrapText="1"/>
    </xf>
    <xf numFmtId="174" fontId="34" fillId="33" borderId="0" xfId="0" applyFont="1" applyFill="1" applyNumberFormat="1">
      <alignment horizontal="center" vertical="center" wrapText="1"/>
    </xf>
    <xf numFmtId="0" fontId="0" fillId="0" borderId="0" xfId="52" applyFont="1">
      <alignment vertical="top" wrapText="1"/>
    </xf>
    <xf numFmtId="0" fontId="27" fillId="0" borderId="0" xfId="0" applyFont="1">
      <alignment vertical="center" wrapText="1"/>
    </xf>
    <xf numFmtId="0" fontId="26" fillId="33" borderId="0" xfId="0" applyFont="1" applyFill="1">
      <alignment horizontal="left" vertical="center" wrapText="1"/>
    </xf>
    <xf numFmtId="171" fontId="26" fillId="33" borderId="0" xfId="0" applyFont="1" applyFill="1" applyNumberFormat="1">
      <alignment horizontal="center" vertical="center" wrapText="1"/>
    </xf>
    <xf numFmtId="0" fontId="26" fillId="33" borderId="0" xfId="0" applyFont="1" applyFill="1">
      <alignment horizontal="right" vertical="center" wrapText="1"/>
    </xf>
    <xf numFmtId="0" fontId="27" fillId="0" borderId="0" xfId="52" applyFont="1">
      <alignment vertical="top" wrapText="1"/>
    </xf>
    <xf numFmtId="172" fontId="26" fillId="33" borderId="36" xfId="0" applyFont="1" applyFill="1" applyBorder="1" applyNumberFormat="1">
      <alignment horizontal="center" vertical="center" wrapText="1"/>
    </xf>
    <xf numFmtId="0" fontId="26" fillId="33" borderId="37" xfId="0" applyFont="1" applyFill="1" applyBorder="1">
      <alignment horizontal="center" vertical="center" wrapText="1"/>
    </xf>
    <xf numFmtId="0" fontId="26" fillId="33" borderId="38" xfId="0" applyFont="1" applyFill="1" applyBorder="1">
      <alignment horizontal="center" vertical="center" wrapText="1"/>
    </xf>
    <xf numFmtId="174" fontId="26" fillId="33" borderId="37" xfId="0" applyFont="1" applyFill="1" applyBorder="1" applyNumberFormat="1">
      <alignment horizontal="center" vertical="center" wrapText="1"/>
    </xf>
    <xf numFmtId="173" fontId="26" fillId="33" borderId="37" xfId="0" applyFont="1" applyFill="1" applyBorder="1" applyNumberFormat="1">
      <alignment horizontal="center" vertical="center" wrapText="1"/>
    </xf>
    <xf numFmtId="0" fontId="26" fillId="33" borderId="39" xfId="0" applyFont="1" applyFill="1" applyBorder="1">
      <alignment horizontal="center" vertical="center" wrapText="1"/>
    </xf>
    <xf numFmtId="172" fontId="26" fillId="33" borderId="13" xfId="0" applyFont="1" applyFill="1" applyBorder="1" applyNumberFormat="1">
      <alignment horizontal="center" vertical="center" wrapText="1"/>
    </xf>
    <xf numFmtId="0" fontId="26" fillId="33" borderId="31" xfId="0" applyFont="1" applyFill="1" applyBorder="1">
      <alignment horizontal="center" vertical="center" wrapText="1"/>
    </xf>
    <xf numFmtId="0" fontId="26" fillId="33" borderId="14" xfId="0" applyFont="1" applyFill="1" applyBorder="1">
      <alignment horizontal="center" vertical="center" wrapText="1"/>
    </xf>
    <xf numFmtId="0" fontId="26" fillId="33" borderId="32" xfId="0" applyFont="1" applyFill="1" applyBorder="1">
      <alignment horizontal="center" vertical="center" wrapText="1"/>
    </xf>
    <xf numFmtId="174" fontId="26" fillId="33" borderId="14" xfId="0" applyFont="1" applyFill="1" applyBorder="1" applyNumberFormat="1">
      <alignment horizontal="center" vertical="center" wrapText="1"/>
    </xf>
    <xf numFmtId="173" fontId="26" fillId="33" borderId="14" xfId="0" applyFont="1" applyFill="1" applyBorder="1" applyNumberFormat="1">
      <alignment horizontal="center" vertical="center" wrapText="1"/>
    </xf>
    <xf numFmtId="0" fontId="26" fillId="33" borderId="20" xfId="0" applyFont="1" applyFill="1" applyBorder="1">
      <alignment horizontal="center" vertical="center" wrapText="1"/>
    </xf>
    <xf numFmtId="0" fontId="32" fillId="33" borderId="13" xfId="0" applyFont="1" applyFill="1" applyBorder="1">
      <alignment horizontal="left" vertical="center" wrapText="1"/>
    </xf>
    <xf numFmtId="0" fontId="26" fillId="33" borderId="31" xfId="0" applyFont="1" applyFill="1" applyBorder="1">
      <alignment horizontal="center" vertical="center" wrapText="1"/>
    </xf>
    <xf numFmtId="173" fontId="26" fillId="33" borderId="16" xfId="0" applyFont="1" applyFill="1" applyBorder="1" applyNumberFormat="1">
      <alignment horizontal="center" vertical="center" wrapText="1"/>
    </xf>
    <xf numFmtId="173" fontId="26" fillId="33" borderId="32" xfId="0" applyFont="1" applyFill="1" applyBorder="1" applyNumberFormat="1">
      <alignment horizontal="center" vertical="center" wrapText="1"/>
    </xf>
    <xf numFmtId="174" fontId="26" fillId="33" borderId="14" xfId="0" applyFont="1" applyFill="1" applyBorder="1" applyNumberFormat="1">
      <alignment horizontal="center" vertical="center" wrapText="1"/>
    </xf>
    <xf numFmtId="173" fontId="27" fillId="0" borderId="0" xfId="0" applyFont="1" applyNumberFormat="1">
      <alignment horizontal="center" vertical="center" wrapText="1"/>
    </xf>
    <xf numFmtId="173" fontId="26" fillId="33" borderId="14" xfId="0" applyFont="1" applyFill="1" applyBorder="1" applyNumberFormat="1">
      <alignment horizontal="center" vertical="center" wrapText="1"/>
    </xf>
    <xf numFmtId="173" fontId="26" fillId="33" borderId="20" xfId="0" applyFont="1" applyFill="1" applyBorder="1" applyNumberFormat="1">
      <alignment horizontal="center" vertical="center" wrapText="1"/>
    </xf>
    <xf numFmtId="0" fontId="26" fillId="33" borderId="13" xfId="0" applyFont="1" applyFill="1" applyBorder="1">
      <alignment horizontal="left" vertical="center" wrapText="1"/>
    </xf>
    <xf numFmtId="0" fontId="27" fillId="0" borderId="14" xfId="0" applyFont="1" applyBorder="1">
      <alignment horizontal="center" vertical="center" wrapText="1"/>
      <protection locked="0"/>
    </xf>
    <xf numFmtId="174" fontId="26" fillId="33" borderId="31" xfId="0" applyFont="1" applyFill="1" applyBorder="1" applyNumberFormat="1">
      <alignment horizontal="center" vertical="center" wrapText="1"/>
    </xf>
    <xf numFmtId="173" fontId="26" fillId="33" borderId="14" xfId="0" applyFont="1" applyFill="1" applyBorder="1" applyNumberFormat="1">
      <alignment horizontal="center" vertical="center" wrapText="1"/>
      <protection locked="0"/>
    </xf>
    <xf numFmtId="0" fontId="26" fillId="0" borderId="13" xfId="0" applyFont="1" applyBorder="1">
      <alignment horizontal="left" vertical="center" wrapText="1"/>
    </xf>
    <xf numFmtId="0" fontId="26" fillId="0" borderId="31" xfId="0" applyFont="1" applyBorder="1">
      <alignment horizontal="center" vertical="center" wrapText="1"/>
    </xf>
    <xf numFmtId="173" fontId="26" fillId="0" borderId="32" xfId="0" applyFont="1" applyBorder="1" applyNumberFormat="1">
      <alignment horizontal="center" vertical="center" wrapText="1"/>
      <protection locked="0"/>
    </xf>
    <xf numFmtId="174" fontId="26" fillId="0" borderId="31" xfId="0" applyFont="1" applyBorder="1" applyNumberFormat="1">
      <alignment horizontal="center" vertical="center" wrapText="1"/>
    </xf>
    <xf numFmtId="174" fontId="26" fillId="0" borderId="14" xfId="0" applyFont="1" applyBorder="1" applyNumberFormat="1">
      <alignment horizontal="center" vertical="center" wrapText="1"/>
    </xf>
    <xf numFmtId="173" fontId="26" fillId="0" borderId="14" xfId="0" applyFont="1" applyBorder="1" applyNumberFormat="1">
      <alignment horizontal="center" vertical="center" wrapText="1"/>
      <protection locked="0"/>
    </xf>
    <xf numFmtId="173" fontId="26" fillId="0" borderId="20" xfId="0" applyFont="1" applyBorder="1" applyNumberFormat="1">
      <alignment horizontal="center" vertical="center" wrapText="1"/>
    </xf>
    <xf numFmtId="0" fontId="27" fillId="0" borderId="14" xfId="0" applyFont="1" applyBorder="1">
      <alignment horizontal="center" vertical="center" wrapText="1"/>
    </xf>
    <xf numFmtId="174" fontId="26" fillId="33" borderId="13" xfId="0" applyFont="1" applyFill="1" applyBorder="1" applyNumberFormat="1">
      <alignment horizontal="left" vertical="center" wrapText="1"/>
    </xf>
    <xf numFmtId="0" fontId="26" fillId="33" borderId="13" xfId="0" applyFont="1" applyFill="1" applyBorder="1">
      <alignment horizontal="left" vertical="center" wrapText="1"/>
    </xf>
    <xf numFmtId="180" fontId="27" fillId="0" borderId="14" xfId="0" applyFont="1" applyBorder="1" applyNumberFormat="1">
      <alignment horizontal="center" vertical="center" wrapText="1"/>
      <protection locked="0"/>
    </xf>
    <xf numFmtId="181" fontId="27" fillId="0" borderId="14" xfId="0" applyFont="1" applyBorder="1" applyNumberFormat="1">
      <alignment horizontal="center" vertical="center" wrapText="1"/>
      <protection locked="0"/>
    </xf>
    <xf numFmtId="173" fontId="26" fillId="0" borderId="32" xfId="0" applyFont="1" applyBorder="1" applyNumberFormat="1">
      <alignment horizontal="center" vertical="center" wrapText="1"/>
    </xf>
    <xf numFmtId="0" fontId="26" fillId="33" borderId="15" xfId="0" applyFont="1" applyFill="1" applyBorder="1">
      <alignment horizontal="left" vertical="center" wrapText="1"/>
    </xf>
    <xf numFmtId="0" fontId="26" fillId="33" borderId="33" xfId="0" applyFont="1" applyFill="1" applyBorder="1">
      <alignment horizontal="center" vertical="center" wrapText="1"/>
    </xf>
    <xf numFmtId="173" fontId="26" fillId="33" borderId="32" xfId="0" applyFont="1" applyFill="1" applyBorder="1" applyNumberFormat="1">
      <alignment horizontal="center" vertical="center" wrapText="1"/>
      <protection locked="0"/>
    </xf>
    <xf numFmtId="173" fontId="26" fillId="33" borderId="32" xfId="0" applyFont="1" applyFill="1" applyBorder="1" applyNumberFormat="1">
      <alignment horizontal="center" vertical="center" wrapText="1"/>
    </xf>
    <xf numFmtId="173" fontId="27" fillId="0" borderId="14" xfId="0" applyFont="1" applyBorder="1" applyNumberFormat="1">
      <alignment horizontal="center" vertical="center" wrapText="1"/>
      <protection locked="0"/>
    </xf>
    <xf numFmtId="174" fontId="27" fillId="0" borderId="14" xfId="0" applyFont="1" applyBorder="1" applyNumberFormat="1">
      <alignment horizontal="center" vertical="center" wrapText="1"/>
      <protection locked="0"/>
    </xf>
    <xf numFmtId="174" fontId="26" fillId="33" borderId="32" xfId="0" applyFont="1" applyFill="1" applyBorder="1" applyNumberFormat="1">
      <alignment horizontal="center" vertical="center" wrapText="1"/>
      <protection locked="0"/>
    </xf>
    <xf numFmtId="174" fontId="26" fillId="33" borderId="14" xfId="0" applyFont="1" applyFill="1" applyBorder="1" applyNumberFormat="1">
      <alignment horizontal="center" vertical="center" wrapText="1"/>
      <protection locked="0"/>
    </xf>
    <xf numFmtId="174" fontId="26" fillId="33" borderId="20" xfId="0" applyFont="1" applyFill="1" applyBorder="1" applyNumberFormat="1">
      <alignment horizontal="center" vertical="center" wrapText="1"/>
    </xf>
    <xf numFmtId="174" fontId="26" fillId="33" borderId="32" xfId="0" applyFont="1" applyFill="1" applyBorder="1" applyNumberFormat="1">
      <alignment horizontal="center" vertical="center" wrapText="1"/>
    </xf>
    <xf numFmtId="0" fontId="26" fillId="33" borderId="31" xfId="0" applyFont="1" applyFill="1" applyBorder="1">
      <alignment horizontal="center" vertical="center" wrapText="1"/>
    </xf>
    <xf numFmtId="174" fontId="37" fillId="0" borderId="0" xfId="0" applyFont="1" applyNumberFormat="1">
      <alignment horizontal="center" vertical="center" wrapText="1"/>
    </xf>
    <xf numFmtId="174" fontId="37" fillId="0" borderId="32" xfId="0" applyFont="1" applyBorder="1" applyNumberFormat="1">
      <alignment horizontal="center" vertical="center" wrapText="1"/>
    </xf>
    <xf numFmtId="0" fontId="26" fillId="33" borderId="31" xfId="0" applyFont="1" applyFill="1" applyBorder="1">
      <alignment horizontal="right" vertical="center" wrapText="1"/>
    </xf>
    <xf numFmtId="174" fontId="27" fillId="0" borderId="14" xfId="0" applyFont="1" applyBorder="1" applyNumberFormat="1">
      <alignment horizontal="center" vertical="center" wrapText="1"/>
    </xf>
    <xf numFmtId="174" fontId="27" fillId="0" borderId="16" xfId="0" applyFont="1" applyBorder="1" applyNumberFormat="1">
      <alignment horizontal="center" vertical="center" wrapText="1"/>
      <protection locked="0"/>
    </xf>
    <xf numFmtId="174" fontId="26" fillId="33" borderId="34" xfId="0" applyFont="1" applyFill="1" applyBorder="1" applyNumberFormat="1">
      <alignment horizontal="center" vertical="center" wrapText="1"/>
      <protection locked="0"/>
    </xf>
    <xf numFmtId="174" fontId="26" fillId="33" borderId="33" xfId="0" applyFont="1" applyFill="1" applyBorder="1" applyNumberFormat="1">
      <alignment horizontal="center" vertical="center" wrapText="1"/>
    </xf>
    <xf numFmtId="174" fontId="26" fillId="33" borderId="16" xfId="0" applyFont="1" applyFill="1" applyBorder="1" applyNumberFormat="1">
      <alignment horizontal="center" vertical="center" wrapText="1"/>
    </xf>
    <xf numFmtId="174" fontId="26" fillId="33" borderId="16" xfId="0" applyFont="1" applyFill="1" applyBorder="1" applyNumberFormat="1">
      <alignment horizontal="center" vertical="center" wrapText="1"/>
      <protection locked="0"/>
    </xf>
    <xf numFmtId="174" fontId="26" fillId="33" borderId="21" xfId="0" applyFont="1" applyFill="1" applyBorder="1" applyNumberFormat="1">
      <alignment horizontal="center" vertical="center" wrapText="1"/>
    </xf>
    <xf numFmtId="0" fontId="26" fillId="33" borderId="22" xfId="0" applyFont="1" applyFill="1" applyBorder="1">
      <alignment horizontal="left" vertical="center" wrapText="1"/>
    </xf>
    <xf numFmtId="0" fontId="26" fillId="33" borderId="14" xfId="0" applyFont="1" applyFill="1" applyBorder="1">
      <alignment horizontal="center" vertical="center" wrapText="1"/>
    </xf>
    <xf numFmtId="174" fontId="26" fillId="33" borderId="14" xfId="0" applyFont="1" applyFill="1" applyBorder="1" applyNumberFormat="1">
      <alignment horizontal="center" vertical="center" wrapText="1"/>
    </xf>
    <xf numFmtId="0" fontId="26" fillId="33" borderId="22" xfId="0" applyFont="1" applyFill="1" applyBorder="1">
      <alignment horizontal="center" vertical="center" wrapText="1"/>
    </xf>
    <xf numFmtId="0" fontId="26" fillId="33" borderId="0" xfId="0" applyFont="1" applyFill="1">
      <alignment horizontal="center" vertical="center" wrapText="1"/>
      <protection locked="0"/>
    </xf>
    <xf numFmtId="0" fontId="26" fillId="33" borderId="0" xfId="0" applyFont="1" applyFill="1">
      <alignment horizontal="center" vertical="center" wrapText="1"/>
    </xf>
    <xf numFmtId="174" fontId="26" fillId="33" borderId="0" xfId="0" applyFont="1" applyFill="1" applyNumberFormat="1">
      <alignment horizontal="center" vertical="center" wrapText="1"/>
    </xf>
    <xf numFmtId="0" fontId="26" fillId="33" borderId="27" xfId="0" applyFont="1" applyFill="1" applyBorder="1">
      <alignment horizontal="center" vertical="center" wrapText="1"/>
    </xf>
    <xf numFmtId="0" fontId="26" fillId="33" borderId="24" xfId="0" applyFont="1" applyFill="1" applyBorder="1">
      <alignment horizontal="center" vertical="center" wrapText="1"/>
    </xf>
    <xf numFmtId="0" fontId="26" fillId="33" borderId="25" xfId="0" applyFont="1" applyFill="1" applyBorder="1">
      <alignment horizontal="center" vertical="center" wrapText="1"/>
    </xf>
    <xf numFmtId="0" fontId="26" fillId="33" borderId="10" xfId="0" applyFont="1" applyFill="1" applyBorder="1">
      <alignment horizontal="center" vertical="center" wrapText="1"/>
    </xf>
    <xf numFmtId="174" fontId="26" fillId="33" borderId="10" xfId="0" applyFont="1" applyFill="1" applyBorder="1" applyNumberFormat="1">
      <alignment horizontal="center" vertical="center" wrapText="1"/>
    </xf>
    <xf numFmtId="0" fontId="26" fillId="33" borderId="28" xfId="0" applyFont="1" applyFill="1" applyBorder="1">
      <alignment horizontal="center" vertical="center" wrapText="1"/>
    </xf>
    <xf numFmtId="0" fontId="27" fillId="0" borderId="0" xfId="0" applyFont="1">
      <alignment vertical="center" wrapText="1"/>
    </xf>
    <xf numFmtId="0" fontId="26" fillId="33" borderId="0" xfId="0" applyFont="1" applyFill="1">
      <alignment horizontal="right" vertical="center" wrapText="1"/>
    </xf>
    <xf numFmtId="0" fontId="27" fillId="0" borderId="35" xfId="0" applyFont="1" applyBorder="1">
      <alignment horizontal="left" vertical="center" wrapText="1"/>
      <protection locked="0"/>
    </xf>
    <xf numFmtId="174" fontId="26" fillId="33" borderId="35" xfId="0" applyFont="1" applyFill="1" applyBorder="1" applyNumberFormat="1">
      <alignment horizontal="left" vertical="center" wrapText="1"/>
      <protection locked="0"/>
    </xf>
    <xf numFmtId="0" fontId="26" fillId="33" borderId="35" xfId="0" applyFont="1" applyFill="1" applyBorder="1">
      <alignment horizontal="left" vertical="center" wrapText="1"/>
      <protection locked="0"/>
    </xf>
    <xf numFmtId="0" fontId="26" fillId="33" borderId="0" xfId="0" applyFont="1" applyFill="1">
      <alignment horizontal="left" vertical="center" wrapText="1"/>
    </xf>
    <xf numFmtId="0" fontId="27" fillId="33" borderId="0" xfId="0" applyFont="1" applyFill="1">
      <alignment vertical="center" wrapText="1"/>
    </xf>
    <xf numFmtId="174" fontId="27" fillId="0" borderId="0" xfId="0" applyFont="1" applyNumberFormat="1">
      <alignment vertical="center" wrapText="1"/>
    </xf>
    <xf numFmtId="174" fontId="27" fillId="0" borderId="0" xfId="0" applyFont="1" applyNumberFormat="1">
      <alignment vertical="center" wrapText="1"/>
    </xf>
    <xf numFmtId="0" fontId="0" fillId="0" borderId="0" xfId="0" applyFont="1">
      <alignment vertical="top" wrapText="1"/>
    </xf>
    <xf numFmtId="0" fontId="0" fillId="36" borderId="0" xfId="0" applyFont="1" applyFill="1">
      <alignment vertical="top" wrapText="1"/>
    </xf>
    <xf numFmtId="0" fontId="0" fillId="14" borderId="0" xfId="0" applyFont="1" applyFill="1">
      <alignment vertical="top" wrapText="1"/>
    </xf>
    <xf numFmtId="0" fontId="0" fillId="14" borderId="0" xfId="0" applyFont="1" applyFill="1">
      <alignment vertical="top" wrapText="1"/>
    </xf>
    <xf numFmtId="0" fontId="0" fillId="19" borderId="0" xfId="0" applyFont="1" applyFill="1">
      <alignment vertical="top" wrapText="1"/>
    </xf>
    <xf numFmtId="0" fontId="0" fillId="0" borderId="0" xfId="0" applyFont="1">
      <alignment vertical="top" wrapText="1"/>
    </xf>
    <xf numFmtId="0" fontId="0" fillId="0" borderId="0" xfId="0" applyFont="1">
      <alignment vertical="top" wrapText="1"/>
    </xf>
    <xf numFmtId="0" fontId="0" fillId="0" borderId="0" xfId="0" applyFont="1">
      <alignment vertical="center" wrapText="1"/>
    </xf>
    <xf numFmtId="179" fontId="36" fillId="0" borderId="0" xfId="0" applyFont="1" applyNumberFormat="1">
      <alignment vertical="center" wrapText="1"/>
    </xf>
    <xf numFmtId="173" fontId="27" fillId="0" borderId="14" xfId="0" applyFont="1" applyBorder="1" applyNumberFormat="1">
      <alignment vertical="center" wrapText="1"/>
    </xf>
    <xf numFmtId="173" fontId="26" fillId="33" borderId="14" xfId="0" applyFont="1" applyFill="1" applyBorder="1" applyNumberFormat="1">
      <alignment vertical="center" wrapText="1"/>
    </xf>
    <xf numFmtId="173" fontId="27" fillId="0" borderId="14" xfId="0" applyFont="1" applyBorder="1" applyNumberFormat="1">
      <alignment vertical="center" wrapText="1"/>
    </xf>
    <xf numFmtId="173" fontId="26" fillId="33" borderId="14" xfId="0" applyFont="1" applyFill="1" applyBorder="1" applyNumberFormat="1">
      <alignment vertical="center" wrapText="1"/>
    </xf>
    <xf numFmtId="173" fontId="26" fillId="33" borderId="14" xfId="0" applyFont="1" applyFill="1" applyBorder="1" applyNumberFormat="1">
      <alignment vertical="center" wrapText="1"/>
    </xf>
    <xf numFmtId="173" fontId="26" fillId="0" borderId="14" xfId="0" applyFont="1" applyBorder="1" applyNumberFormat="1">
      <alignment vertical="center" wrapText="1"/>
    </xf>
    <xf numFmtId="174" fontId="26" fillId="33" borderId="14" xfId="0" applyFont="1" applyFill="1" applyBorder="1" applyNumberFormat="1">
      <alignment vertical="center" wrapText="1"/>
    </xf>
    <xf numFmtId="174" fontId="26" fillId="33" borderId="14" xfId="0" applyFont="1" applyFill="1" applyBorder="1" applyNumberFormat="1">
      <alignment vertical="center" wrapText="1"/>
    </xf>
    <xf numFmtId="174" fontId="26" fillId="33" borderId="16" xfId="0" applyFont="1" applyFill="1" applyBorder="1" applyNumberFormat="1">
      <alignment vertical="center" wrapText="1"/>
    </xf>
    <xf numFmtId="0" fontId="0" fillId="34" borderId="14" xfId="0" applyFont="1" applyFill="1" applyBorder="1">
      <alignment horizontal="center" vertical="top" wrapText="1"/>
    </xf>
    <xf numFmtId="0" fontId="1" fillId="0" borderId="14" xfId="0" applyFont="1" applyBorder="1">
      <alignment vertical="center" wrapText="1"/>
    </xf>
    <xf numFmtId="0" fontId="1" fillId="0" borderId="14" xfId="0" applyFont="1" applyBorder="1">
      <alignment vertical="center" wrapText="1"/>
    </xf>
    <xf numFmtId="0" fontId="0" fillId="0" borderId="14" xfId="0" applyFont="1" applyBorder="1">
      <alignment vertical="top" wrapText="1"/>
    </xf>
    <xf numFmtId="0" fontId="0" fillId="0" borderId="14" xfId="0" applyFont="1" applyBorder="1">
      <alignment vertical="top" wrapText="1"/>
    </xf>
    <xf numFmtId="0" fontId="1" fillId="0" borderId="0" xfId="0" applyFont="1">
      <alignment vertical="center" wrapText="1"/>
    </xf>
    <xf numFmtId="0" fontId="34" fillId="33" borderId="0" xfId="0" applyFont="1" applyFill="1">
      <alignment horizontal="center" vertical="center" wrapText="1"/>
    </xf>
    <xf numFmtId="0" fontId="26" fillId="33" borderId="10" xfId="0" applyFont="1" applyFill="1" applyBorder="1">
      <alignment horizontal="left" vertical="center" wrapText="1"/>
    </xf>
    <xf numFmtId="171" fontId="26" fillId="33" borderId="10" xfId="0" applyFont="1" applyFill="1" applyBorder="1" applyNumberFormat="1">
      <alignment horizontal="center" vertical="center" wrapText="1"/>
    </xf>
    <xf numFmtId="171" fontId="26" fillId="33" borderId="10" xfId="0" applyFont="1" applyFill="1" applyBorder="1" applyNumberFormat="1">
      <alignment horizontal="center" vertical="center" wrapText="1"/>
    </xf>
    <xf numFmtId="0" fontId="26" fillId="33" borderId="10" xfId="0" applyFont="1" applyFill="1" applyBorder="1">
      <alignment horizontal="right" vertical="center" wrapText="1"/>
    </xf>
    <xf numFmtId="0" fontId="26" fillId="33" borderId="10" xfId="0" applyFont="1" applyFill="1" applyBorder="1">
      <alignment horizontal="right" vertical="center" wrapText="1"/>
    </xf>
    <xf numFmtId="172" fontId="26" fillId="33" borderId="11" xfId="0" applyFont="1" applyFill="1" applyBorder="1" applyNumberFormat="1">
      <alignment horizontal="center" vertical="center" wrapText="1"/>
    </xf>
    <xf numFmtId="0" fontId="26" fillId="33" borderId="12" xfId="0" applyFont="1" applyFill="1" applyBorder="1">
      <alignment horizontal="center" vertical="center" wrapText="1"/>
    </xf>
    <xf numFmtId="174" fontId="26" fillId="33" borderId="12" xfId="0" applyFont="1" applyFill="1" applyBorder="1" applyNumberFormat="1">
      <alignment horizontal="center" vertical="center" wrapText="1"/>
    </xf>
    <xf numFmtId="173" fontId="26" fillId="33" borderId="12" xfId="0" applyFont="1" applyFill="1" applyBorder="1" applyNumberFormat="1">
      <alignment horizontal="center" vertical="center" wrapText="1"/>
    </xf>
    <xf numFmtId="0" fontId="26" fillId="33" borderId="19" xfId="0" applyFont="1" applyFill="1" applyBorder="1">
      <alignment horizontal="center" vertical="center" wrapText="1"/>
    </xf>
    <xf numFmtId="173" fontId="26" fillId="33" borderId="14" xfId="0" applyFont="1" applyFill="1" applyBorder="1" applyNumberFormat="1">
      <alignment horizontal="center" vertical="center" wrapText="1"/>
    </xf>
    <xf numFmtId="173" fontId="26" fillId="33" borderId="16" xfId="0" applyFont="1" applyFill="1" applyBorder="1" applyNumberFormat="1">
      <alignment horizontal="center" vertical="center" wrapText="1"/>
    </xf>
    <xf numFmtId="0" fontId="27" fillId="0" borderId="14" xfId="0" applyFont="1" applyBorder="1">
      <alignment horizontal="center" vertical="center" wrapText="1"/>
      <protection locked="0"/>
    </xf>
    <xf numFmtId="173" fontId="26" fillId="33" borderId="32" xfId="0" applyFont="1" applyFill="1" applyBorder="1" applyNumberFormat="1">
      <alignment horizontal="center" vertical="center" wrapText="1"/>
    </xf>
    <xf numFmtId="173" fontId="26" fillId="33" borderId="14" xfId="0" applyFont="1" applyFill="1" applyBorder="1" applyNumberFormat="1">
      <alignment horizontal="center" vertical="center" wrapText="1"/>
      <protection locked="0"/>
    </xf>
    <xf numFmtId="173" fontId="26" fillId="0" borderId="14" xfId="0" applyFont="1" applyBorder="1" applyNumberFormat="1">
      <alignment horizontal="center" vertical="center" wrapText="1"/>
      <protection locked="0"/>
    </xf>
    <xf numFmtId="173" fontId="26" fillId="33" borderId="32" xfId="0" applyFont="1" applyFill="1" applyBorder="1" applyNumberFormat="1">
      <alignment horizontal="center" vertical="center" wrapText="1"/>
      <protection locked="0"/>
    </xf>
    <xf numFmtId="173" fontId="0" fillId="0" borderId="0" xfId="0" applyFont="1" applyNumberFormat="1">
      <alignment vertical="top" wrapText="1"/>
    </xf>
    <xf numFmtId="173" fontId="26" fillId="0" borderId="32" xfId="0" applyFont="1" applyBorder="1" applyNumberFormat="1">
      <alignment horizontal="center" vertical="center" wrapText="1"/>
      <protection locked="0"/>
    </xf>
    <xf numFmtId="174" fontId="26" fillId="0" borderId="14" xfId="0" applyFont="1" applyBorder="1" applyNumberFormat="1">
      <alignment horizontal="center" vertical="center" wrapText="1"/>
    </xf>
    <xf numFmtId="0" fontId="27" fillId="0" borderId="14" xfId="0" applyFont="1" applyBorder="1">
      <alignment horizontal="center" vertical="center" wrapText="1"/>
    </xf>
    <xf numFmtId="173" fontId="0" fillId="0" borderId="0" xfId="0" applyFont="1" applyNumberFormat="1">
      <alignment vertical="top" wrapText="1"/>
    </xf>
    <xf numFmtId="173" fontId="26" fillId="33" borderId="32" xfId="0" applyFont="1" applyFill="1" applyBorder="1" applyNumberFormat="1">
      <alignment horizontal="center" vertical="center" wrapText="1"/>
    </xf>
    <xf numFmtId="173" fontId="27" fillId="0" borderId="14" xfId="0" applyFont="1" applyBorder="1" applyNumberFormat="1">
      <alignment horizontal="center" vertical="center" wrapText="1"/>
      <protection locked="0"/>
    </xf>
    <xf numFmtId="174" fontId="27" fillId="0" borderId="14" xfId="0" applyFont="1" applyBorder="1" applyNumberFormat="1">
      <alignment horizontal="center" vertical="center" wrapText="1"/>
      <protection locked="0"/>
    </xf>
    <xf numFmtId="174" fontId="26" fillId="33" borderId="32" xfId="0" applyFont="1" applyFill="1" applyBorder="1" applyNumberFormat="1">
      <alignment horizontal="center" vertical="center" wrapText="1"/>
    </xf>
    <xf numFmtId="174" fontId="26" fillId="33" borderId="32" xfId="0" applyFont="1" applyFill="1" applyBorder="1" applyNumberFormat="1">
      <alignment horizontal="center" vertical="center" wrapText="1"/>
    </xf>
    <xf numFmtId="174" fontId="26" fillId="33" borderId="14" xfId="0" applyFont="1" applyFill="1" applyBorder="1" applyNumberFormat="1">
      <alignment horizontal="center" vertical="center" wrapText="1"/>
      <protection locked="0"/>
    </xf>
    <xf numFmtId="174" fontId="27" fillId="0" borderId="14" xfId="0" applyFont="1" applyBorder="1" applyNumberFormat="1">
      <alignment horizontal="center" vertical="center" wrapText="1"/>
    </xf>
    <xf numFmtId="174" fontId="27" fillId="0" borderId="16" xfId="0" applyFont="1" applyBorder="1" applyNumberFormat="1">
      <alignment horizontal="center" vertical="center" wrapText="1"/>
      <protection locked="0"/>
    </xf>
    <xf numFmtId="174" fontId="26" fillId="33" borderId="34" xfId="0" applyFont="1" applyFill="1" applyBorder="1" applyNumberFormat="1">
      <alignment horizontal="center" vertical="center" wrapText="1"/>
    </xf>
    <xf numFmtId="174" fontId="26" fillId="33" borderId="34" xfId="0" applyFont="1" applyFill="1" applyBorder="1" applyNumberFormat="1">
      <alignment horizontal="center" vertical="center" wrapText="1"/>
    </xf>
    <xf numFmtId="174" fontId="26" fillId="33" borderId="16" xfId="0" applyFont="1" applyFill="1" applyBorder="1" applyNumberFormat="1">
      <alignment horizontal="center" vertical="center" wrapText="1"/>
    </xf>
    <xf numFmtId="174" fontId="26" fillId="33" borderId="16" xfId="0" applyFont="1" applyFill="1" applyBorder="1" applyNumberFormat="1">
      <alignment horizontal="center" vertical="center" wrapText="1"/>
      <protection locked="0"/>
    </xf>
    <xf numFmtId="0" fontId="26" fillId="33" borderId="23" xfId="0" applyFont="1" applyFill="1" applyBorder="1">
      <alignment horizontal="center" vertical="center" wrapText="1"/>
      <protection locked="0"/>
    </xf>
    <xf numFmtId="0" fontId="26" fillId="33" borderId="0" xfId="0" applyFont="1" applyFill="1">
      <alignment horizontal="center" vertical="center" wrapText="1"/>
    </xf>
    <xf numFmtId="0" fontId="26" fillId="33" borderId="23" xfId="0" applyFont="1" applyFill="1" applyBorder="1">
      <alignment horizontal="center" vertical="center" wrapText="1"/>
    </xf>
    <xf numFmtId="0" fontId="26" fillId="33" borderId="26" xfId="0" applyFont="1" applyFill="1" applyBorder="1">
      <alignment horizontal="center" vertical="center" wrapText="1"/>
    </xf>
    <xf numFmtId="0" fontId="26" fillId="33" borderId="10" xfId="0" applyFont="1" applyFill="1" applyBorder="1">
      <alignment horizontal="center" vertical="center" wrapText="1"/>
    </xf>
    <xf numFmtId="0" fontId="27" fillId="0" borderId="35" xfId="0" applyFont="1" applyBorder="1">
      <alignment horizontal="left" vertical="center" wrapText="1"/>
      <protection locked="0"/>
    </xf>
    <xf numFmtId="0" fontId="0" fillId="0" borderId="0" xfId="51" applyFont="1">
      <alignment vertical="center" wrapText="1"/>
    </xf>
    <xf numFmtId="0" fontId="23" fillId="33" borderId="0" xfId="0" applyFont="1" applyFill="1">
      <alignment horizontal="center" vertical="center" wrapText="1"/>
    </xf>
    <xf numFmtId="0" fontId="23" fillId="0" borderId="0" xfId="0" applyFont="1">
      <alignment horizontal="left" vertical="center" wrapText="1"/>
    </xf>
    <xf numFmtId="0" fontId="23" fillId="0" borderId="0" xfId="0" applyFont="1">
      <alignment horizontal="center" vertical="center" wrapText="1"/>
    </xf>
    <xf numFmtId="0" fontId="24" fillId="33" borderId="10" xfId="0" applyFont="1" applyFill="1" applyBorder="1">
      <alignment horizontal="left" vertical="center" wrapText="1"/>
    </xf>
    <xf numFmtId="171" fontId="24" fillId="33" borderId="10" xfId="0" applyFont="1" applyFill="1" applyBorder="1" applyNumberFormat="1">
      <alignment horizontal="center" vertical="center" wrapText="1"/>
    </xf>
    <xf numFmtId="171" fontId="24" fillId="0" borderId="10" xfId="0" applyFont="1" applyBorder="1" applyNumberFormat="1">
      <alignment horizontal="left" vertical="center" wrapText="1"/>
    </xf>
    <xf numFmtId="171" fontId="24" fillId="0" borderId="10" xfId="0" applyFont="1" applyBorder="1" applyNumberFormat="1">
      <alignment horizontal="center" vertical="center" wrapText="1"/>
    </xf>
    <xf numFmtId="172" fontId="24" fillId="33" borderId="11" xfId="0" applyFont="1" applyFill="1" applyBorder="1" applyNumberFormat="1">
      <alignment horizontal="center" vertical="center" wrapText="1"/>
    </xf>
    <xf numFmtId="0" fontId="24" fillId="33" borderId="12" xfId="0" applyFont="1" applyFill="1" applyBorder="1">
      <alignment horizontal="center" vertical="center" wrapText="1"/>
    </xf>
    <xf numFmtId="0" fontId="24" fillId="0" borderId="12" xfId="0" applyFont="1" applyBorder="1">
      <alignment horizontal="left" vertical="center" wrapText="1"/>
    </xf>
    <xf numFmtId="0" fontId="24" fillId="0" borderId="12" xfId="0" applyFont="1" applyBorder="1">
      <alignment horizontal="center" vertical="center" wrapText="1"/>
    </xf>
    <xf numFmtId="173" fontId="24" fillId="33" borderId="12" xfId="0" applyFont="1" applyFill="1" applyBorder="1" applyNumberFormat="1">
      <alignment horizontal="center" vertical="center" wrapText="1"/>
    </xf>
    <xf numFmtId="0" fontId="24" fillId="33" borderId="19" xfId="0" applyFont="1" applyFill="1" applyBorder="1">
      <alignment horizontal="center" vertical="center" wrapText="1"/>
    </xf>
    <xf numFmtId="172" fontId="24" fillId="33" borderId="13" xfId="0" applyFont="1" applyFill="1" applyBorder="1" applyNumberFormat="1">
      <alignment horizontal="center" vertical="center" wrapText="1"/>
    </xf>
    <xf numFmtId="0" fontId="24" fillId="33" borderId="14" xfId="0" applyFont="1" applyFill="1" applyBorder="1">
      <alignment horizontal="center" vertical="center" wrapText="1"/>
    </xf>
    <xf numFmtId="0" fontId="24" fillId="0" borderId="14" xfId="0" applyFont="1" applyBorder="1">
      <alignment horizontal="left" vertical="center" wrapText="1"/>
    </xf>
    <xf numFmtId="0" fontId="24" fillId="0" borderId="14" xfId="0" applyFont="1" applyBorder="1">
      <alignment horizontal="center" vertical="center" wrapText="1"/>
    </xf>
    <xf numFmtId="173" fontId="24" fillId="33" borderId="14" xfId="0" applyFont="1" applyFill="1" applyBorder="1" applyNumberFormat="1">
      <alignment horizontal="center" vertical="center" wrapText="1"/>
    </xf>
    <xf numFmtId="0" fontId="24" fillId="33" borderId="20" xfId="0" applyFont="1" applyFill="1" applyBorder="1">
      <alignment horizontal="center" vertical="center" wrapText="1"/>
    </xf>
    <xf numFmtId="0" fontId="25" fillId="33" borderId="13" xfId="0" applyFont="1" applyFill="1" applyBorder="1">
      <alignment horizontal="left" vertical="center" wrapText="1"/>
    </xf>
    <xf numFmtId="0" fontId="24" fillId="33" borderId="14" xfId="0" applyFont="1" applyFill="1" applyBorder="1">
      <alignment horizontal="center" vertical="center" wrapText="1"/>
    </xf>
    <xf numFmtId="0" fontId="24" fillId="33" borderId="14" xfId="0" applyFont="1" applyFill="1" applyBorder="1">
      <alignment horizontal="right" vertical="center" wrapText="1"/>
    </xf>
    <xf numFmtId="0" fontId="24" fillId="0" borderId="14" xfId="0" applyFont="1" applyBorder="1">
      <alignment horizontal="left" vertical="center" wrapText="1"/>
    </xf>
    <xf numFmtId="0" fontId="24" fillId="33" borderId="20" xfId="0" applyFont="1" applyFill="1" applyBorder="1">
      <alignment horizontal="right" vertical="center" wrapText="1"/>
    </xf>
    <xf numFmtId="0" fontId="24" fillId="33" borderId="13" xfId="0" applyFont="1" applyFill="1" applyBorder="1">
      <alignment horizontal="left" vertical="center" wrapText="1"/>
    </xf>
    <xf numFmtId="173" fontId="24" fillId="0" borderId="14" xfId="0" applyFont="1" applyBorder="1" applyNumberFormat="1">
      <alignment horizontal="left" vertical="center" wrapText="1"/>
    </xf>
    <xf numFmtId="174" fontId="24" fillId="33" borderId="14" xfId="0" applyFont="1" applyFill="1" applyBorder="1" applyNumberFormat="1">
      <alignment horizontal="right" vertical="center" wrapText="1"/>
    </xf>
    <xf numFmtId="173" fontId="24" fillId="33" borderId="14" xfId="0" applyFont="1" applyFill="1" applyBorder="1" applyNumberFormat="1">
      <alignment horizontal="right" vertical="center" wrapText="1"/>
    </xf>
    <xf numFmtId="0" fontId="24" fillId="33" borderId="14" xfId="0" applyFont="1" applyFill="1" applyBorder="1">
      <alignment horizontal="right" vertical="center" wrapText="1"/>
    </xf>
    <xf numFmtId="0" fontId="24" fillId="33" borderId="14" xfId="0" applyFont="1" applyFill="1" applyBorder="1">
      <alignment horizontal="left" vertical="center" wrapText="1"/>
    </xf>
    <xf numFmtId="0" fontId="0" fillId="0" borderId="0" xfId="0" applyFont="1">
      <alignment horizontal="left" vertical="center" wrapText="1"/>
    </xf>
    <xf numFmtId="173" fontId="27" fillId="33" borderId="0" xfId="0" applyFont="1" applyFill="1" applyNumberFormat="1">
      <alignment horizontal="center" vertical="center" wrapText="1"/>
    </xf>
    <xf numFmtId="0" fontId="24" fillId="0" borderId="16" xfId="0" applyFont="1" applyBorder="1">
      <alignment horizontal="left" vertical="center" wrapText="1"/>
    </xf>
    <xf numFmtId="174" fontId="24" fillId="33" borderId="16" xfId="0" applyFont="1" applyFill="1" applyBorder="1" applyNumberFormat="1">
      <alignment horizontal="right" vertical="center" wrapText="1"/>
    </xf>
    <xf numFmtId="0" fontId="24" fillId="33" borderId="16" xfId="0" applyFont="1" applyFill="1" applyBorder="1">
      <alignment horizontal="right" vertical="center" wrapText="1"/>
    </xf>
    <xf numFmtId="0" fontId="24" fillId="33" borderId="21" xfId="0" applyFont="1" applyFill="1" applyBorder="1">
      <alignment horizontal="right" vertical="center" wrapText="1"/>
    </xf>
    <xf numFmtId="0" fontId="24" fillId="34" borderId="13" xfId="0" applyFont="1" applyFill="1" applyBorder="1">
      <alignment horizontal="left" vertical="center" wrapText="1"/>
    </xf>
    <xf numFmtId="0" fontId="24" fillId="34" borderId="31" xfId="0" applyFont="1" applyFill="1" applyBorder="1">
      <alignment horizontal="center" vertical="center" wrapText="1"/>
    </xf>
    <xf numFmtId="173" fontId="26" fillId="34" borderId="14" xfId="0" applyFont="1" applyFill="1" applyBorder="1" applyNumberFormat="1">
      <alignment horizontal="center" vertical="center" wrapText="1"/>
    </xf>
    <xf numFmtId="0" fontId="24" fillId="34" borderId="14" xfId="0" applyFont="1" applyFill="1" applyBorder="1">
      <alignment horizontal="left" vertical="center" wrapText="1"/>
    </xf>
    <xf numFmtId="174" fontId="24" fillId="34" borderId="14" xfId="0" applyFont="1" applyFill="1" applyBorder="1" applyNumberFormat="1">
      <alignment horizontal="right" vertical="center" wrapText="1"/>
    </xf>
    <xf numFmtId="173" fontId="27" fillId="34" borderId="14" xfId="0" applyFont="1" applyFill="1" applyBorder="1" applyNumberFormat="1">
      <alignment horizontal="center" vertical="center" wrapText="1"/>
    </xf>
    <xf numFmtId="0" fontId="24" fillId="34" borderId="14" xfId="0" applyFont="1" applyFill="1" applyBorder="1">
      <alignment horizontal="right" vertical="center" wrapText="1"/>
    </xf>
    <xf numFmtId="0" fontId="24" fillId="34" borderId="14" xfId="0" applyFont="1" applyFill="1" applyBorder="1">
      <alignment horizontal="right" vertical="center" wrapText="1"/>
    </xf>
    <xf numFmtId="174" fontId="24" fillId="33" borderId="12" xfId="0" applyFont="1" applyFill="1" applyBorder="1" applyNumberFormat="1">
      <alignment horizontal="right" vertical="center" wrapText="1"/>
    </xf>
    <xf numFmtId="0" fontId="24" fillId="33" borderId="12" xfId="0" applyFont="1" applyFill="1" applyBorder="1">
      <alignment horizontal="right" vertical="center" wrapText="1"/>
    </xf>
    <xf numFmtId="0" fontId="24" fillId="33" borderId="19" xfId="0" applyFont="1" applyFill="1" applyBorder="1">
      <alignment horizontal="right" vertical="center" wrapText="1"/>
    </xf>
    <xf numFmtId="174" fontId="24" fillId="33" borderId="13" xfId="0" applyFont="1" applyFill="1" applyBorder="1" applyNumberFormat="1">
      <alignment horizontal="left" vertical="center" wrapText="1"/>
    </xf>
    <xf numFmtId="176" fontId="24" fillId="0" borderId="14" xfId="0" applyFont="1" applyBorder="1" applyNumberFormat="1">
      <alignment horizontal="left" vertical="center" wrapText="1"/>
    </xf>
    <xf numFmtId="176" fontId="24" fillId="33" borderId="14" xfId="0" applyFont="1" applyFill="1" applyBorder="1" applyNumberFormat="1">
      <alignment horizontal="right" vertical="center" wrapText="1"/>
    </xf>
    <xf numFmtId="174" fontId="24" fillId="0" borderId="14" xfId="0" applyFont="1" applyBorder="1" applyNumberFormat="1">
      <alignment horizontal="left" vertical="center" wrapText="1"/>
    </xf>
    <xf numFmtId="174" fontId="24" fillId="33" borderId="14" xfId="0" applyFont="1" applyFill="1" applyBorder="1" applyNumberFormat="1">
      <alignment horizontal="right" vertical="center" wrapText="1"/>
    </xf>
    <xf numFmtId="0" fontId="24" fillId="33" borderId="13" xfId="0" applyFont="1" applyFill="1" applyBorder="1">
      <alignment horizontal="left" vertical="center" wrapText="1"/>
    </xf>
    <xf numFmtId="0" fontId="28" fillId="0" borderId="14" xfId="0" applyFont="1" applyBorder="1">
      <alignment horizontal="left" vertical="center" wrapText="1"/>
    </xf>
    <xf numFmtId="0" fontId="28" fillId="33" borderId="14" xfId="0" applyFont="1" applyFill="1" applyBorder="1">
      <alignment vertical="center" wrapText="1"/>
    </xf>
    <xf numFmtId="0" fontId="28" fillId="33" borderId="14" xfId="0" applyFont="1" applyFill="1" applyBorder="1">
      <alignment vertical="center" wrapText="1"/>
    </xf>
    <xf numFmtId="0" fontId="28" fillId="33" borderId="20" xfId="0" applyFont="1" applyFill="1" applyBorder="1">
      <alignment vertical="center" wrapText="1"/>
    </xf>
    <xf numFmtId="174" fontId="24" fillId="33" borderId="31" xfId="0" applyFont="1" applyFill="1" applyBorder="1" applyNumberFormat="1">
      <alignment horizontal="right" vertical="center" wrapText="1"/>
    </xf>
    <xf numFmtId="0" fontId="0" fillId="0" borderId="14" xfId="0" applyFont="1" applyBorder="1">
      <alignment vertical="center" wrapText="1"/>
    </xf>
    <xf numFmtId="0" fontId="24" fillId="0" borderId="32" xfId="0" applyFont="1" applyBorder="1">
      <alignment horizontal="left" vertical="center" wrapText="1"/>
    </xf>
    <xf numFmtId="0" fontId="0" fillId="0" borderId="0" xfId="0" applyFont="1">
      <alignment horizontal="center" vertical="center" wrapText="1"/>
    </xf>
    <xf numFmtId="0" fontId="24" fillId="33" borderId="15" xfId="0" applyFont="1" applyFill="1" applyBorder="1">
      <alignment horizontal="left" vertical="center" wrapText="1"/>
    </xf>
    <xf numFmtId="0" fontId="24" fillId="33" borderId="16" xfId="0" applyFont="1" applyFill="1" applyBorder="1">
      <alignment horizontal="center" vertical="center" wrapText="1"/>
    </xf>
    <xf numFmtId="174" fontId="24" fillId="0" borderId="14" xfId="0" applyFont="1" applyBorder="1" applyNumberFormat="1">
      <alignment horizontal="right" vertical="center" wrapText="1"/>
    </xf>
    <xf numFmtId="174" fontId="24" fillId="33" borderId="14" xfId="0" applyFont="1" applyFill="1" applyBorder="1" applyNumberFormat="1">
      <alignment horizontal="right" vertical="center" wrapText="1"/>
    </xf>
    <xf numFmtId="174" fontId="24" fillId="33" borderId="21" xfId="0" applyFont="1" applyFill="1" applyBorder="1" applyNumberFormat="1">
      <alignment horizontal="right" vertical="center" wrapText="1"/>
    </xf>
    <xf numFmtId="0" fontId="24" fillId="33" borderId="14" xfId="0" applyFont="1" applyFill="1" applyBorder="1">
      <alignment horizontal="center" vertical="center" wrapText="1"/>
    </xf>
    <xf numFmtId="178" fontId="24" fillId="0" borderId="14" xfId="0" applyFont="1" applyBorder="1" applyNumberFormat="1">
      <alignment horizontal="left" vertical="center" wrapText="1"/>
    </xf>
    <xf numFmtId="178" fontId="24" fillId="33" borderId="14" xfId="0" applyFont="1" applyFill="1" applyBorder="1" applyNumberFormat="1">
      <alignment horizontal="left" vertical="center" wrapText="1"/>
    </xf>
    <xf numFmtId="174" fontId="24" fillId="33" borderId="14" xfId="0" applyFont="1" applyFill="1" applyBorder="1" applyNumberFormat="1">
      <alignment horizontal="left" vertical="center" wrapText="1"/>
    </xf>
    <xf numFmtId="178" fontId="24" fillId="33" borderId="14" xfId="0" applyFont="1" applyFill="1" applyBorder="1" applyNumberFormat="1">
      <alignment horizontal="right" vertical="center" wrapText="1"/>
    </xf>
    <xf numFmtId="178" fontId="24" fillId="0" borderId="14" xfId="0" applyFont="1" applyBorder="1" applyNumberFormat="1">
      <alignment horizontal="left" vertical="center" wrapText="1"/>
    </xf>
    <xf numFmtId="178" fontId="24" fillId="33" borderId="14" xfId="0" applyFont="1" applyFill="1" applyBorder="1" applyNumberFormat="1">
      <alignment horizontal="right" vertical="center" wrapText="1"/>
    </xf>
    <xf numFmtId="174" fontId="24" fillId="33" borderId="20" xfId="0" applyFont="1" applyFill="1" applyBorder="1" applyNumberFormat="1">
      <alignment horizontal="right" vertical="center" wrapText="1"/>
    </xf>
    <xf numFmtId="0" fontId="0" fillId="0" borderId="0" xfId="0" applyFont="1">
      <alignment wrapText="1"/>
    </xf>
    <xf numFmtId="0" fontId="24" fillId="33" borderId="16" xfId="0" applyFont="1" applyFill="1" applyBorder="1">
      <alignment horizontal="right" vertical="center" wrapText="1"/>
    </xf>
    <xf numFmtId="174" fontId="26" fillId="33" borderId="16" xfId="0" applyFont="1" applyFill="1" applyBorder="1" applyNumberFormat="1">
      <alignment horizontal="center" vertical="center" wrapText="1"/>
    </xf>
    <xf numFmtId="0" fontId="24" fillId="0" borderId="16" xfId="0" applyFont="1" applyBorder="1">
      <alignment horizontal="left" vertical="center" wrapText="1"/>
    </xf>
    <xf numFmtId="174" fontId="24" fillId="33" borderId="16" xfId="0" applyFont="1" applyFill="1" applyBorder="1" applyNumberFormat="1">
      <alignment horizontal="right" vertical="center" wrapText="1"/>
    </xf>
    <xf numFmtId="0" fontId="24" fillId="33" borderId="22" xfId="0" applyFont="1" applyFill="1" applyBorder="1">
      <alignment horizontal="left" vertical="center" wrapText="1"/>
    </xf>
    <xf numFmtId="0" fontId="24" fillId="33" borderId="23" xfId="0" applyFont="1" applyFill="1" applyBorder="1">
      <alignment horizontal="center" vertical="center" wrapText="1"/>
    </xf>
    <xf numFmtId="0" fontId="24" fillId="33" borderId="0" xfId="0" applyFont="1" applyFill="1">
      <alignment horizontal="right" vertical="center" wrapText="1"/>
    </xf>
    <xf numFmtId="0" fontId="24" fillId="0" borderId="0" xfId="0" applyFont="1">
      <alignment horizontal="left" vertical="center" wrapText="1"/>
    </xf>
    <xf numFmtId="0" fontId="24" fillId="0" borderId="0" xfId="0" applyFont="1">
      <alignment horizontal="right" vertical="center" wrapText="1"/>
    </xf>
    <xf numFmtId="174" fontId="24" fillId="33" borderId="0" xfId="0" applyFont="1" applyFill="1" applyNumberFormat="1">
      <alignment horizontal="right" vertical="center" wrapText="1"/>
    </xf>
    <xf numFmtId="0" fontId="24" fillId="33" borderId="26" xfId="0" applyFont="1" applyFill="1" applyBorder="1">
      <alignment horizontal="right" vertical="center" wrapText="1"/>
    </xf>
    <xf numFmtId="0" fontId="24" fillId="33" borderId="24" xfId="0" applyFont="1" applyFill="1" applyBorder="1">
      <alignment horizontal="left" vertical="center" wrapText="1"/>
    </xf>
    <xf numFmtId="0" fontId="24" fillId="33" borderId="0" xfId="0" applyFont="1" applyFill="1">
      <alignment horizontal="center" vertical="center" wrapText="1"/>
    </xf>
    <xf numFmtId="0" fontId="24" fillId="33" borderId="27" xfId="0" applyFont="1" applyFill="1" applyBorder="1">
      <alignment horizontal="right" vertical="center" wrapText="1"/>
    </xf>
    <xf numFmtId="0" fontId="24" fillId="33" borderId="25" xfId="0" applyFont="1" applyFill="1" applyBorder="1">
      <alignment horizontal="left" vertical="center" wrapText="1"/>
    </xf>
    <xf numFmtId="0" fontId="24" fillId="33" borderId="10" xfId="0" applyFont="1" applyFill="1" applyBorder="1">
      <alignment horizontal="center" vertical="center" wrapText="1"/>
    </xf>
    <xf numFmtId="0" fontId="24" fillId="33" borderId="10" xfId="0" applyFont="1" applyFill="1" applyBorder="1">
      <alignment horizontal="right" vertical="center" wrapText="1"/>
    </xf>
    <xf numFmtId="0" fontId="24" fillId="0" borderId="10" xfId="0" applyFont="1" applyBorder="1">
      <alignment horizontal="left" vertical="center" wrapText="1"/>
    </xf>
    <xf numFmtId="0" fontId="24" fillId="0" borderId="10" xfId="0" applyFont="1" applyBorder="1">
      <alignment horizontal="right" vertical="center" wrapText="1"/>
    </xf>
    <xf numFmtId="174" fontId="24" fillId="33" borderId="10" xfId="0" applyFont="1" applyFill="1" applyBorder="1" applyNumberFormat="1">
      <alignment horizontal="right" vertical="center" wrapText="1"/>
    </xf>
    <xf numFmtId="0" fontId="24" fillId="33" borderId="28" xfId="0" applyFont="1" applyFill="1" applyBorder="1">
      <alignment horizontal="right" vertical="center" wrapText="1"/>
    </xf>
    <xf numFmtId="0" fontId="24" fillId="33" borderId="0" xfId="0" applyFont="1" applyFill="1">
      <alignment horizontal="left" vertical="center" wrapText="1"/>
    </xf>
    <xf numFmtId="0" fontId="29" fillId="0" borderId="0" xfId="0" applyFont="1">
      <alignment horizontal="right" wrapText="1"/>
    </xf>
    <xf numFmtId="0" fontId="0" fillId="0" borderId="0" xfId="0" applyFont="1">
      <alignment wrapText="1"/>
    </xf>
    <xf numFmtId="0" fontId="0" fillId="0" borderId="0" xfId="0" applyFont="1">
      <alignment vertical="center" wrapText="1"/>
    </xf>
    <xf numFmtId="0" fontId="29" fillId="0" borderId="0" xfId="0" applyFont="1">
      <alignment horizontal="right" wrapText="1"/>
    </xf>
    <xf numFmtId="0" fontId="0" fillId="0" borderId="0" xfId="0" applyFont="1">
      <alignment horizontal="right" vertical="center" wrapText="1"/>
    </xf>
    <xf numFmtId="0" fontId="0" fillId="34" borderId="14" xfId="0" applyFont="1" applyFill="1" applyBorder="1">
      <alignment vertical="center" wrapText="1"/>
    </xf>
    <xf numFmtId="0" fontId="0" fillId="34" borderId="0" xfId="0" applyFont="1" applyFill="1">
      <alignment vertical="center" wrapText="1"/>
    </xf>
    <xf numFmtId="0" fontId="0" fillId="34" borderId="0" xfId="0" applyFont="1" applyFill="1">
      <alignment vertical="top" wrapText="1"/>
    </xf>
    <xf numFmtId="0" fontId="0" fillId="0" borderId="0" xfId="0" applyFont="1">
      <alignment horizontal="left" vertical="center" wrapText="1"/>
    </xf>
    <xf numFmtId="173" fontId="26" fillId="33" borderId="12" xfId="0" applyFont="1" applyFill="1" applyBorder="1" applyNumberFormat="1">
      <alignment horizontal="center" vertical="center" wrapText="1"/>
    </xf>
    <xf numFmtId="175" fontId="26" fillId="33" borderId="14" xfId="0" applyFont="1" applyFill="1" applyBorder="1" applyNumberFormat="1">
      <alignment horizontal="center" vertical="center" wrapText="1"/>
    </xf>
    <xf numFmtId="173" fontId="26" fillId="33" borderId="16" xfId="0" applyFont="1" applyFill="1" applyBorder="1" applyNumberFormat="1">
      <alignment horizontal="center" vertical="center" wrapText="1"/>
    </xf>
    <xf numFmtId="173" fontId="26" fillId="33" borderId="14" xfId="0" applyFont="1" applyFill="1" applyBorder="1" applyNumberFormat="1">
      <alignment horizontal="center" vertical="center" wrapText="1"/>
      <protection locked="0"/>
    </xf>
    <xf numFmtId="173" fontId="26" fillId="0" borderId="32" xfId="0" applyFont="1" applyBorder="1" applyNumberFormat="1">
      <alignment horizontal="center" vertical="center" wrapText="1"/>
    </xf>
    <xf numFmtId="173" fontId="26" fillId="0" borderId="32" xfId="0" applyFont="1" applyBorder="1" applyNumberFormat="1">
      <alignment horizontal="center" vertical="center" wrapText="1"/>
    </xf>
    <xf numFmtId="173" fontId="26" fillId="0" borderId="14" xfId="0" applyFont="1" applyBorder="1" applyNumberFormat="1">
      <alignment horizontal="center" vertical="center" wrapText="1"/>
      <protection locked="0"/>
    </xf>
    <xf numFmtId="173" fontId="26" fillId="33" borderId="14" xfId="0" applyFont="1" applyFill="1" applyBorder="1" applyNumberFormat="1">
      <alignment horizontal="center" vertical="center" wrapText="1"/>
    </xf>
    <xf numFmtId="173" fontId="26" fillId="33" borderId="32" xfId="0" applyFont="1" applyFill="1" applyBorder="1" applyNumberFormat="1">
      <alignment horizontal="center" vertical="center" wrapText="1"/>
      <protection locked="0"/>
    </xf>
    <xf numFmtId="174" fontId="26" fillId="33" borderId="14" xfId="0" applyFont="1" applyFill="1" applyBorder="1" applyNumberFormat="1">
      <alignment horizontal="center" vertical="center" wrapText="1"/>
      <protection locked="0"/>
    </xf>
    <xf numFmtId="174" fontId="26" fillId="33" borderId="14" xfId="0" applyFont="1" applyFill="1" applyBorder="1" applyNumberFormat="1">
      <alignment horizontal="center" vertical="center" wrapText="1"/>
    </xf>
    <xf numFmtId="174" fontId="26" fillId="33" borderId="16" xfId="0" applyFont="1" applyFill="1" applyBorder="1" applyNumberFormat="1">
      <alignment horizontal="center" vertical="center" wrapText="1"/>
      <protection locked="0"/>
    </xf>
    <xf numFmtId="175" fontId="27" fillId="0" borderId="0" xfId="0" applyFont="1" applyNumberFormat="1">
      <alignment vertical="center" wrapText="1"/>
    </xf>
    <xf numFmtId="0" fontId="23" fillId="33" borderId="0" xfId="0" applyFont="1" applyFill="1">
      <alignment horizontal="center" vertical="center" wrapText="1"/>
    </xf>
    <xf numFmtId="171" fontId="24" fillId="33" borderId="10" xfId="0" applyFont="1" applyFill="1" applyBorder="1" applyNumberFormat="1">
      <alignment horizontal="center" vertical="center" wrapText="1"/>
    </xf>
    <xf numFmtId="172" fontId="24" fillId="33" borderId="36" xfId="0" applyFont="1" applyFill="1" applyBorder="1" applyNumberFormat="1">
      <alignment horizontal="center" vertical="center" wrapText="1"/>
    </xf>
    <xf numFmtId="173" fontId="24" fillId="33" borderId="12" xfId="0" applyFont="1" applyFill="1" applyBorder="1" applyNumberFormat="1">
      <alignment horizontal="center" vertical="center" wrapText="1"/>
    </xf>
    <xf numFmtId="173" fontId="24" fillId="33" borderId="14" xfId="0" applyFont="1" applyFill="1" applyBorder="1" applyNumberFormat="1">
      <alignment horizontal="center" vertical="center" wrapText="1"/>
    </xf>
    <xf numFmtId="173" fontId="27" fillId="0" borderId="0" xfId="0" applyFont="1" applyNumberFormat="1">
      <alignment horizontal="center" vertical="center" wrapText="1"/>
    </xf>
    <xf numFmtId="0" fontId="28" fillId="33" borderId="0" xfId="0" applyFont="1" applyFill="1">
      <alignment vertical="center" wrapText="1"/>
    </xf>
    <xf numFmtId="0" fontId="24" fillId="0" borderId="13" xfId="0" applyFont="1" applyBorder="1">
      <alignment horizontal="left" vertical="center" wrapText="1"/>
    </xf>
    <xf numFmtId="0" fontId="24" fillId="0" borderId="14" xfId="0" applyFont="1" applyBorder="1">
      <alignment horizontal="right" vertical="center" wrapText="1"/>
    </xf>
    <xf numFmtId="0" fontId="35" fillId="0" borderId="0" xfId="0" applyFont="1">
      <alignment wrapText="1"/>
    </xf>
    <xf numFmtId="173" fontId="26" fillId="33" borderId="31" xfId="0" applyFont="1" applyFill="1" applyBorder="1" applyNumberFormat="1">
      <alignment vertical="center" wrapText="1"/>
    </xf>
    <xf numFmtId="173" fontId="27" fillId="33" borderId="0" xfId="0" applyFont="1" applyFill="1" applyNumberFormat="1">
      <alignment horizontal="center" vertical="center" wrapText="1"/>
    </xf>
    <xf numFmtId="177" fontId="24" fillId="33" borderId="14" xfId="0" applyFont="1" applyFill="1" applyBorder="1" applyNumberFormat="1">
      <alignment horizontal="right" vertical="center" wrapText="1"/>
    </xf>
    <xf numFmtId="177" fontId="24" fillId="33" borderId="14" xfId="0" applyFont="1" applyFill="1" applyBorder="1" applyNumberFormat="1">
      <alignment horizontal="right" vertical="center" wrapText="1"/>
    </xf>
    <xf numFmtId="177" fontId="24" fillId="33" borderId="14" xfId="0" applyFont="1" applyFill="1" applyBorder="1" applyNumberFormat="1">
      <alignment horizontal="right" vertical="center" wrapText="1"/>
    </xf>
    <xf numFmtId="175" fontId="24" fillId="33" borderId="14" xfId="0" applyFont="1" applyFill="1" applyBorder="1" applyNumberFormat="1">
      <alignment horizontal="right" vertical="center" wrapText="1"/>
    </xf>
    <xf numFmtId="0" fontId="24" fillId="33" borderId="23" xfId="0" applyFont="1" applyFill="1" applyBorder="1">
      <alignment horizontal="right" vertical="center" wrapText="1"/>
    </xf>
    <xf numFmtId="0" fontId="24" fillId="33" borderId="23" xfId="0" applyFont="1" applyFill="1" applyBorder="1">
      <alignment horizontal="right" vertical="center" wrapText="1"/>
    </xf>
    <xf numFmtId="174" fontId="24" fillId="33" borderId="23" xfId="0" applyFont="1" applyFill="1" applyBorder="1" applyNumberFormat="1">
      <alignment horizontal="right" vertical="center" wrapText="1"/>
    </xf>
    <xf numFmtId="0" fontId="24" fillId="33" borderId="0" xfId="0" applyFont="1" applyFill="1">
      <alignment horizontal="right" vertical="center" wrapText="1"/>
    </xf>
    <xf numFmtId="174" fontId="24" fillId="33" borderId="0" xfId="0" applyFont="1" applyFill="1" applyNumberFormat="1">
      <alignment horizontal="right" vertical="center" wrapText="1"/>
    </xf>
    <xf numFmtId="0" fontId="24" fillId="33" borderId="10" xfId="0" applyFont="1" applyFill="1" applyBorder="1">
      <alignment horizontal="right" vertical="center" wrapText="1"/>
    </xf>
    <xf numFmtId="174" fontId="24" fillId="33" borderId="10" xfId="0" applyFont="1" applyFill="1" applyBorder="1" applyNumberFormat="1">
      <alignment horizontal="right" vertical="center" wrapText="1"/>
    </xf>
    <xf numFmtId="0" fontId="24" fillId="33" borderId="0" xfId="0" applyFont="1" applyFill="1">
      <alignment horizontal="left" vertical="center" wrapText="1"/>
    </xf>
    <xf numFmtId="0" fontId="0" fillId="0" borderId="14" xfId="0" applyFont="1" applyBorder="1">
      <alignment wrapText="1"/>
    </xf>
    <xf numFmtId="0" fontId="0" fillId="0" borderId="14" xfId="0" applyFont="1" applyBorder="1">
      <alignment wrapText="1"/>
    </xf>
    <xf numFmtId="0" fontId="0" fillId="0" borderId="14" xfId="0" applyFont="1" applyBorder="1">
      <alignment vertical="center" wrapText="1"/>
    </xf>
    <xf numFmtId="0" fontId="35" fillId="0" borderId="0" xfId="0" applyFont="1">
      <alignment horizontal="left" wrapText="1"/>
    </xf>
    <xf numFmtId="0" fontId="35" fillId="0" borderId="0" xfId="0" applyFont="1">
      <alignment wrapText="1"/>
    </xf>
    <xf numFmtId="173" fontId="26" fillId="0" borderId="32" xfId="0" applyFont="1" applyBorder="1" applyNumberFormat="1">
      <alignment horizontal="center" vertical="center" wrapText="1"/>
      <protection locked="0"/>
    </xf>
    <xf numFmtId="173" fontId="26" fillId="33" borderId="32" xfId="0" applyFont="1" applyFill="1" applyBorder="1" applyNumberFormat="1">
      <alignment horizontal="center" vertical="center" wrapText="1"/>
      <protection locked="0"/>
    </xf>
    <xf numFmtId="174" fontId="26" fillId="33" borderId="32" xfId="0" applyFont="1" applyFill="1" applyBorder="1" applyNumberFormat="1">
      <alignment horizontal="center" vertical="center" wrapText="1"/>
    </xf>
    <xf numFmtId="174" fontId="26" fillId="33" borderId="34" xfId="0" applyFont="1" applyFill="1" applyBorder="1" applyNumberFormat="1">
      <alignment horizontal="center" vertical="center" wrapText="1"/>
    </xf>
    <xf numFmtId="0" fontId="23" fillId="9" borderId="0" xfId="0" applyFont="1" applyFill="1">
      <alignment horizontal="center" vertical="center" wrapText="1"/>
    </xf>
    <xf numFmtId="171" fontId="24" fillId="9" borderId="10" xfId="0" applyFont="1" applyFill="1" applyBorder="1" applyNumberFormat="1">
      <alignment horizontal="center" vertical="center" wrapText="1"/>
    </xf>
    <xf numFmtId="0" fontId="24" fillId="9" borderId="12" xfId="0" applyFont="1" applyFill="1" applyBorder="1">
      <alignment horizontal="center" vertical="center" wrapText="1"/>
    </xf>
    <xf numFmtId="0" fontId="24" fillId="9" borderId="14" xfId="0" applyFont="1" applyFill="1" applyBorder="1">
      <alignment horizontal="center" vertical="center" wrapText="1"/>
    </xf>
    <xf numFmtId="0" fontId="24" fillId="9" borderId="14" xfId="0" applyFont="1" applyFill="1" applyBorder="1">
      <alignment horizontal="right" vertical="center" wrapText="1"/>
    </xf>
    <xf numFmtId="0" fontId="24" fillId="9" borderId="14" xfId="0" applyFont="1" applyFill="1" applyBorder="1">
      <alignment horizontal="right" vertical="center" wrapText="1"/>
    </xf>
    <xf numFmtId="173" fontId="27" fillId="0" borderId="0" xfId="0" applyFont="1" applyNumberFormat="1">
      <alignment horizontal="center" vertical="center" wrapText="1"/>
    </xf>
    <xf numFmtId="173" fontId="24" fillId="33" borderId="14" xfId="0" applyFont="1" applyFill="1" applyBorder="1" applyNumberFormat="1">
      <alignment horizontal="right" vertical="center" wrapText="1"/>
    </xf>
    <xf numFmtId="0" fontId="24" fillId="9" borderId="16" xfId="0" applyFont="1" applyFill="1" applyBorder="1">
      <alignment horizontal="right" vertical="center" wrapText="1"/>
    </xf>
    <xf numFmtId="173" fontId="27" fillId="34" borderId="14" xfId="0" applyFont="1" applyFill="1" applyBorder="1" applyNumberFormat="1">
      <alignment horizontal="center" vertical="center" wrapText="1"/>
    </xf>
    <xf numFmtId="0" fontId="24" fillId="34" borderId="32" xfId="0" applyFont="1" applyFill="1" applyBorder="1">
      <alignment horizontal="right" vertical="center" wrapText="1"/>
    </xf>
    <xf numFmtId="0" fontId="24" fillId="34" borderId="20" xfId="0" applyFont="1" applyFill="1" applyBorder="1">
      <alignment horizontal="right" vertical="center" wrapText="1"/>
    </xf>
    <xf numFmtId="0" fontId="24" fillId="9" borderId="12" xfId="0" applyFont="1" applyFill="1" applyBorder="1">
      <alignment horizontal="right" vertical="center" wrapText="1"/>
    </xf>
    <xf numFmtId="176" fontId="24" fillId="9" borderId="14" xfId="0" applyFont="1" applyFill="1" applyBorder="1" applyNumberFormat="1">
      <alignment horizontal="right" vertical="center" wrapText="1"/>
    </xf>
    <xf numFmtId="176" fontId="24" fillId="33" borderId="14" xfId="0" applyFont="1" applyFill="1" applyBorder="1" applyNumberFormat="1">
      <alignment horizontal="center" vertical="center" wrapText="1"/>
    </xf>
    <xf numFmtId="0" fontId="28" fillId="9" borderId="14" xfId="0" applyFont="1" applyFill="1" applyBorder="1">
      <alignment vertical="center" wrapText="1"/>
    </xf>
    <xf numFmtId="0" fontId="24" fillId="9" borderId="32" xfId="0" applyFont="1" applyFill="1" applyBorder="1">
      <alignment horizontal="right" vertical="center" wrapText="1"/>
    </xf>
    <xf numFmtId="173" fontId="24" fillId="9" borderId="14" xfId="0" applyFont="1" applyFill="1" applyBorder="1" applyNumberFormat="1">
      <alignment horizontal="right" vertical="center" wrapText="1"/>
    </xf>
    <xf numFmtId="1" fontId="24" fillId="9" borderId="16" xfId="0" applyFont="1" applyFill="1" applyBorder="1" applyNumberFormat="1">
      <alignment horizontal="right" vertical="center" wrapText="1"/>
    </xf>
    <xf numFmtId="1" fontId="24" fillId="33" borderId="16" xfId="0" applyFont="1" applyFill="1" applyBorder="1" applyNumberFormat="1">
      <alignment horizontal="right" vertical="center" wrapText="1"/>
    </xf>
    <xf numFmtId="174" fontId="24" fillId="9" borderId="14" xfId="0" applyFont="1" applyFill="1" applyBorder="1" applyNumberFormat="1">
      <alignment horizontal="right" vertical="center" wrapText="1"/>
    </xf>
    <xf numFmtId="175" fontId="24" fillId="9" borderId="14" xfId="0" applyFont="1" applyFill="1" applyBorder="1" applyNumberFormat="1">
      <alignment horizontal="right" vertical="center" wrapText="1"/>
    </xf>
    <xf numFmtId="174" fontId="0" fillId="9" borderId="0" xfId="0" applyFont="1" applyFill="1" applyNumberFormat="1">
      <alignment vertical="center" wrapText="1"/>
    </xf>
    <xf numFmtId="175" fontId="0" fillId="9" borderId="0" xfId="0" applyFont="1" applyFill="1" applyNumberFormat="1">
      <alignment vertical="center" wrapText="1"/>
    </xf>
    <xf numFmtId="174" fontId="0" fillId="0" borderId="0" xfId="0" applyFont="1" applyNumberFormat="1">
      <alignment vertical="center" wrapText="1"/>
    </xf>
    <xf numFmtId="0" fontId="0" fillId="9" borderId="0" xfId="0" applyFont="1" applyFill="1">
      <alignment vertical="center" wrapText="1"/>
    </xf>
    <xf numFmtId="0" fontId="24" fillId="9" borderId="23" xfId="0" applyFont="1" applyFill="1" applyBorder="1">
      <alignment horizontal="right" vertical="center" wrapText="1"/>
    </xf>
    <xf numFmtId="174" fontId="24" fillId="33" borderId="23" xfId="0" applyFont="1" applyFill="1" applyBorder="1" applyNumberFormat="1">
      <alignment horizontal="right" vertical="center" wrapText="1"/>
    </xf>
    <xf numFmtId="0" fontId="24" fillId="9" borderId="0" xfId="0" applyFont="1" applyFill="1">
      <alignment horizontal="right" vertical="center" wrapText="1"/>
    </xf>
    <xf numFmtId="0" fontId="24" fillId="9" borderId="10" xfId="0" applyFont="1" applyFill="1" applyBorder="1">
      <alignment horizontal="right" vertical="center" wrapText="1"/>
    </xf>
    <xf numFmtId="0" fontId="24" fillId="9" borderId="0" xfId="0" applyFont="1" applyFill="1">
      <alignment horizontal="left" vertical="center" wrapText="1"/>
    </xf>
    <xf numFmtId="0" fontId="0" fillId="34" borderId="0" xfId="0" applyFont="1" applyFill="1">
      <alignment vertical="center" wrapText="1"/>
    </xf>
    <xf numFmtId="0" fontId="0" fillId="35" borderId="0" xfId="0" applyFont="1" applyFill="1">
      <alignment vertical="center" wrapText="1"/>
    </xf>
    <xf numFmtId="0" fontId="0" fillId="9" borderId="14" xfId="0" applyFont="1" applyFill="1" applyBorder="1">
      <alignment vertical="center" wrapText="1"/>
    </xf>
    <xf numFmtId="173" fontId="26" fillId="33" borderId="17" xfId="0" applyFont="1" applyFill="1" applyBorder="1" applyNumberFormat="1">
      <alignment horizontal="center" vertical="center" wrapText="1"/>
    </xf>
    <xf numFmtId="173" fontId="26" fillId="33" borderId="18" xfId="0" applyFont="1" applyFill="1" applyBorder="1" applyNumberFormat="1">
      <alignment horizontal="center" vertical="center" wrapText="1"/>
    </xf>
    <xf numFmtId="173" fontId="26" fillId="0" borderId="32" xfId="0" applyFont="1" applyBorder="1" applyNumberFormat="1">
      <alignment horizontal="center" vertical="center" wrapText="1"/>
      <protection locked="0"/>
    </xf>
    <xf numFmtId="173" fontId="26" fillId="33" borderId="16" xfId="0" applyFont="1" applyFill="1" applyBorder="1" applyNumberFormat="1">
      <alignment horizontal="center" vertical="center" wrapText="1"/>
      <protection locked="0"/>
    </xf>
    <xf numFmtId="174" fontId="26" fillId="33" borderId="0" xfId="0" applyFont="1" applyFill="1" applyNumberFormat="1">
      <alignment horizontal="center" vertical="center" wrapText="1"/>
      <protection locked="0"/>
    </xf>
    <xf numFmtId="172" fontId="32" fillId="33" borderId="29" xfId="0" applyFont="1" applyFill="1" applyBorder="1" applyNumberFormat="1">
      <alignment horizontal="center" vertical="center" wrapText="1"/>
    </xf>
    <xf numFmtId="0" fontId="33" fillId="0" borderId="14" xfId="0" applyFont="1" applyBorder="1">
      <alignment horizontal="center" vertical="top" wrapText="1"/>
    </xf>
    <xf numFmtId="0" fontId="33" fillId="0" borderId="14" xfId="0" applyFont="1" applyBorder="1">
      <alignment horizontal="center" vertical="top" wrapText="1"/>
    </xf>
    <xf numFmtId="172" fontId="32" fillId="33" borderId="30" xfId="0" applyFont="1" applyFill="1" applyBorder="1" applyNumberFormat="1">
      <alignment horizontal="center" vertical="center" wrapText="1"/>
    </xf>
    <xf numFmtId="0" fontId="27" fillId="0" borderId="14" xfId="0" applyFont="1" applyBorder="1">
      <alignment horizontal="center" vertical="top" wrapText="1"/>
    </xf>
    <xf numFmtId="0" fontId="27" fillId="0" borderId="14" xfId="0" applyFont="1" applyBorder="1">
      <alignment horizontal="center" vertical="top" wrapText="1"/>
    </xf>
    <xf numFmtId="0" fontId="32" fillId="33" borderId="30" xfId="0" applyFont="1" applyFill="1" applyBorder="1">
      <alignment horizontal="left" vertical="center" wrapText="1"/>
    </xf>
    <xf numFmtId="0" fontId="27" fillId="0" borderId="14" xfId="0" applyFont="1" applyBorder="1">
      <alignment vertical="top" wrapText="1"/>
    </xf>
    <xf numFmtId="0" fontId="0" fillId="0" borderId="14" xfId="0" applyFont="1" applyBorder="1">
      <alignment vertical="top" wrapText="1"/>
    </xf>
    <xf numFmtId="0" fontId="27" fillId="0" borderId="31" xfId="0" applyFont="1" applyBorder="1">
      <alignment vertical="top" wrapText="1"/>
    </xf>
    <xf numFmtId="0" fontId="26" fillId="33" borderId="30" xfId="0" applyFont="1" applyFill="1" applyBorder="1">
      <alignment horizontal="left" vertical="center" wrapText="1"/>
    </xf>
    <xf numFmtId="0" fontId="27" fillId="0" borderId="14" xfId="0" applyFont="1" applyBorder="1">
      <alignment wrapText="1"/>
    </xf>
    <xf numFmtId="173" fontId="27" fillId="0" borderId="14" xfId="0" applyFont="1" applyBorder="1" applyNumberFormat="1">
      <alignment vertical="top" wrapText="1"/>
    </xf>
    <xf numFmtId="0" fontId="27" fillId="0" borderId="14" xfId="0" applyFont="1" applyBorder="1">
      <alignment vertical="top" wrapText="1"/>
    </xf>
    <xf numFmtId="0" fontId="27" fillId="0" borderId="31" xfId="0" applyFont="1" applyBorder="1">
      <alignment vertical="top" wrapText="1"/>
    </xf>
    <xf numFmtId="0" fontId="27" fillId="0" borderId="16" xfId="0" applyFont="1" applyBorder="1">
      <alignment vertical="top" wrapText="1"/>
    </xf>
    <xf numFmtId="0" fontId="27" fillId="0" borderId="12" xfId="0" applyFont="1" applyBorder="1">
      <alignment vertical="top" wrapText="1"/>
    </xf>
    <xf numFmtId="174" fontId="26" fillId="33" borderId="30" xfId="0" applyFont="1" applyFill="1" applyBorder="1" applyNumberFormat="1">
      <alignment horizontal="left" vertical="center" wrapText="1"/>
    </xf>
    <xf numFmtId="176" fontId="27" fillId="0" borderId="14" xfId="0" applyFont="1" applyBorder="1" applyNumberFormat="1">
      <alignment vertical="top" wrapText="1"/>
    </xf>
    <xf numFmtId="176" fontId="27" fillId="0" borderId="31" xfId="0" applyFont="1" applyBorder="1" applyNumberFormat="1">
      <alignment vertical="top" wrapText="1"/>
    </xf>
    <xf numFmtId="174" fontId="27" fillId="0" borderId="14" xfId="0" applyFont="1" applyBorder="1" applyNumberFormat="1">
      <alignment vertical="top" wrapText="1"/>
    </xf>
    <xf numFmtId="0" fontId="26" fillId="33" borderId="30" xfId="0" applyFont="1" applyFill="1" applyBorder="1">
      <alignment horizontal="left" vertical="center" wrapText="1"/>
    </xf>
    <xf numFmtId="173" fontId="27" fillId="0" borderId="14" xfId="0" applyFont="1" applyBorder="1" applyNumberFormat="1">
      <alignment vertical="top" wrapText="1"/>
    </xf>
    <xf numFmtId="173" fontId="27" fillId="0" borderId="31" xfId="0" applyFont="1" applyBorder="1" applyNumberFormat="1">
      <alignment vertical="top" wrapText="1"/>
    </xf>
    <xf numFmtId="173" fontId="27" fillId="0" borderId="31" xfId="0" applyFont="1" applyBorder="1" applyNumberFormat="1">
      <alignment vertical="top" wrapText="1"/>
    </xf>
    <xf numFmtId="1" fontId="27" fillId="0" borderId="31" xfId="0" applyFont="1" applyBorder="1" applyNumberFormat="1">
      <alignment vertical="top" wrapText="1"/>
    </xf>
    <xf numFmtId="1" fontId="27" fillId="0" borderId="31" xfId="0" applyFont="1" applyBorder="1" applyNumberFormat="1">
      <alignment vertical="top" wrapText="1"/>
    </xf>
    <xf numFmtId="177" fontId="27" fillId="0" borderId="14" xfId="0" applyFont="1" applyBorder="1" applyNumberFormat="1">
      <alignment vertical="top" wrapText="1"/>
    </xf>
    <xf numFmtId="174" fontId="27" fillId="0" borderId="31" xfId="0" applyFont="1" applyBorder="1" applyNumberFormat="1">
      <alignment vertical="top" wrapText="1"/>
    </xf>
    <xf numFmtId="174" fontId="27" fillId="0" borderId="14" xfId="0" applyFont="1" applyBorder="1" applyNumberFormat="1">
      <alignment vertical="top" wrapText="1"/>
    </xf>
    <xf numFmtId="177" fontId="27" fillId="0" borderId="14" xfId="0" applyFont="1" applyBorder="1" applyNumberFormat="1">
      <alignment vertical="top" wrapText="1"/>
    </xf>
    <xf numFmtId="174" fontId="27" fillId="0" borderId="31" xfId="0" applyFont="1" applyBorder="1" applyNumberFormat="1">
      <alignment vertical="top" wrapText="1"/>
    </xf>
    <xf numFmtId="175" fontId="27" fillId="0" borderId="14" xfId="0" applyFont="1" applyBorder="1" applyNumberFormat="1">
      <alignment vertical="top" wrapText="1"/>
    </xf>
    <xf numFmtId="0" fontId="27" fillId="0" borderId="0" xfId="0" applyFont="1">
      <alignment vertical="top" wrapText="1"/>
    </xf>
    <xf numFmtId="0" fontId="38" fillId="0" borderId="14" xfId="0" applyFont="1" applyBorder="1">
      <alignment horizontal="left" vertical="top" wrapText="1"/>
    </xf>
    <xf numFmtId="0" fontId="38" fillId="0" borderId="14" xfId="0" applyFont="1" applyBorder="1">
      <alignment horizontal="left" vertical="top" wrapText="1"/>
    </xf>
    <xf numFmtId="173" fontId="24" fillId="33" borderId="17" xfId="0" applyFont="1" applyFill="1" applyBorder="1" applyNumberFormat="1">
      <alignment horizontal="center" vertical="center" wrapText="1"/>
    </xf>
    <xf numFmtId="173" fontId="24" fillId="33" borderId="18" xfId="0" applyFont="1" applyFill="1" applyBorder="1" applyNumberFormat="1">
      <alignment horizontal="center" vertical="center" wrapText="1"/>
    </xf>
    <xf numFmtId="0" fontId="24" fillId="0" borderId="16" xfId="0" applyFont="1" applyBorder="1">
      <alignment horizontal="right" vertical="center" wrapText="1"/>
    </xf>
    <xf numFmtId="0" fontId="24" fillId="34" borderId="14" xfId="0" applyFont="1" applyFill="1" applyBorder="1">
      <alignment horizontal="left" vertical="center" wrapText="1"/>
    </xf>
    <xf numFmtId="0" fontId="24" fillId="34" borderId="14" xfId="0" applyFont="1" applyFill="1" applyBorder="1">
      <alignment horizontal="center" vertical="center" wrapText="1"/>
    </xf>
    <xf numFmtId="0" fontId="24" fillId="33" borderId="11" xfId="0" applyFont="1" applyFill="1" applyBorder="1">
      <alignment horizontal="left" vertical="center" wrapText="1"/>
    </xf>
    <xf numFmtId="0" fontId="24" fillId="33" borderId="12" xfId="0" applyFont="1" applyFill="1" applyBorder="1">
      <alignment horizontal="center" vertical="center" wrapText="1"/>
    </xf>
    <xf numFmtId="0" fontId="24" fillId="0" borderId="12" xfId="0" applyFont="1" applyBorder="1">
      <alignment horizontal="right" vertical="center" wrapText="1"/>
    </xf>
    <xf numFmtId="0" fontId="28" fillId="0" borderId="14" xfId="0" applyFont="1" applyBorder="1">
      <alignment vertical="center" wrapText="1"/>
    </xf>
    <xf numFmtId="0" fontId="29" fillId="0" borderId="0" xfId="0" applyFont="1">
      <alignment wrapText="1"/>
    </xf>
    <xf numFmtId="175" fontId="24" fillId="0" borderId="14" xfId="0" applyFont="1" applyBorder="1" applyNumberFormat="1">
      <alignment horizontal="right" vertical="center" wrapText="1"/>
    </xf>
    <xf numFmtId="175" fontId="24" fillId="0" borderId="14" xfId="0" applyFont="1" applyBorder="1" applyNumberFormat="1">
      <alignment horizontal="center" vertical="center" wrapText="1"/>
    </xf>
    <xf numFmtId="175" fontId="28" fillId="0" borderId="0" xfId="0" applyFont="1" applyNumberFormat="1">
      <alignment vertical="center" wrapText="1"/>
    </xf>
    <xf numFmtId="0" fontId="0" fillId="0" borderId="0" xfId="0" applyFont="1">
      <alignment horizontal="left" vertical="center" wrapText="1"/>
    </xf>
    <xf numFmtId="0" fontId="29" fillId="0" borderId="0" xfId="0" applyFont="1">
      <alignment wrapText="1"/>
    </xf>
    <xf numFmtId="172" fontId="0" fillId="0" borderId="0" xfId="0" applyFont="1" applyNumberFormat="1">
      <alignment horizontal="left" wrapText="1"/>
    </xf>
    <xf numFmtId="0" fontId="0" fillId="0" borderId="0" xfId="0" applyFont="1">
      <alignment horizontal="left" wrapText="1"/>
    </xf>
    <xf numFmtId="0" fontId="0" fillId="0" borderId="0" xfId="0" applyFont="1">
      <alignment horizontal="right" vertical="center" wrapText="1"/>
    </xf>
    <xf numFmtId="0" fontId="18" fillId="0" borderId="0" xfId="0" applyFont="1">
      <alignment horizontal="left" vertical="center" wrapText="1"/>
    </xf>
    <xf numFmtId="0" fontId="30" fillId="0" borderId="0" xfId="0" applyFont="1">
      <alignment horizontal="left" vertical="center" wrapText="1"/>
    </xf>
    <xf numFmtId="0" fontId="31" fillId="0" borderId="0" xfId="0" applyFont="1">
      <alignment horizontal="left" vertical="center" wrapText="1"/>
    </xf>
    <xf numFmtId="0" fontId="0" fillId="0" borderId="0" xfId="0" applyFont="1">
      <alignment horizontal="left" vertical="center" wrapText="1"/>
    </xf>
  </cellXfs>
  <cellStyles count="56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  <cellStyle name="常规_2015年炼化公司生产月报表" xfId="49"/>
    <cellStyle name="常规__06年5月炼化公司生产月报（B101）" xfId="50"/>
    <cellStyle name="常规 2" xfId="51"/>
    <cellStyle name="常规 3" xfId="52"/>
    <cellStyle name="常规 4" xfId="52"/>
    <cellStyle name="常规 5" xfId="52"/>
    <cellStyle name="货币 2" xfId="53"/>
  </cellStyles>
  <dxfs count="18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" TargetMode="External"/><Relationship Id="rId2" Type="http://schemas.openxmlformats.org/officeDocument/2006/relationships/hyperlink" Target="" TargetMode="External"/><Relationship Id="rId3" Type="http://schemas.openxmlformats.org/officeDocument/2006/relationships/hyperlink" Target="" TargetMode="External"/><Relationship Id="rId4" Type="http://schemas.openxmlformats.org/officeDocument/2006/relationships/hyperlink" Target="" TargetMode="External"/><Relationship Id="rId5" Type="http://schemas.openxmlformats.org/officeDocument/2006/relationships/hyperlink" Target="" TargetMode="External"/><Relationship Id="rId6" Type="http://schemas.openxmlformats.org/officeDocument/2006/relationships/hyperlink" Target="" TargetMode="External"/><Relationship Id="rId7" Type="http://schemas.openxmlformats.org/officeDocument/2006/relationships/hyperlink" Target="" TargetMode="External"/><Relationship Id="rId8" Type="http://schemas.openxmlformats.org/officeDocument/2006/relationships/hyperlink" Target="" TargetMode="External"/><Relationship Id="rId9" Type="http://schemas.openxmlformats.org/officeDocument/2006/relationships/hyperlink" Target="" TargetMode="External"/><Relationship Id="rId10" Type="http://schemas.openxmlformats.org/officeDocument/2006/relationships/hyperlink" Target="" TargetMode="External"/><Relationship Id="rId11" Type="http://schemas.openxmlformats.org/officeDocument/2006/relationships/hyperlink" Target="" TargetMode="External"/><Relationship Id="rId12" Type="http://schemas.openxmlformats.org/officeDocument/2006/relationships/hyperlink" Target="" TargetMode="External"/><Relationship Id="rId13" Type="http://schemas.openxmlformats.org/officeDocument/2006/relationships/hyperlink" Target="" TargetMode="External"/><Relationship Id="rId14" Type="http://schemas.openxmlformats.org/officeDocument/2006/relationships/hyperlink" Target="" TargetMode="External"/><Relationship Id="rId15" Type="http://schemas.openxmlformats.org/officeDocument/2006/relationships/hyperlink" Target="" TargetMode="External"/><Relationship Id="rId16" Type="http://schemas.openxmlformats.org/officeDocument/2006/relationships/hyperlink" Target="" TargetMode="External"/><Relationship Id="rId17" Type="http://schemas.openxmlformats.org/officeDocument/2006/relationships/hyperlink" Target="" TargetMode="External"/><Relationship Id="rId18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F890143-7D44-EA8B-7298-53A2F2333AB8}" mc:Ignorable="x14ac xr xr2 xr3">
  <dimension ref="A1:N175"/>
  <sheetViews>
    <sheetView showGridLines="0" workbookViewId="0" tabSelected="1">
      <pane xSplit="2" ySplit="4" topLeftCell="C5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defaultColWidth="9.00390625" customHeight="1" defaultRowHeight="14.4525"/>
  <cols>
    <col min="1" max="1" style="179" width="2.7109375" customWidth="1"/>
    <col min="2" max="2" style="179" width="31.00390625" customWidth="1"/>
    <col min="3" max="3" style="179" width="7.7109375" customWidth="1"/>
    <col min="4" max="5" style="179" width="10.7109375" customWidth="1"/>
    <col min="6" max="6" style="180" width="10.7109375" customWidth="1"/>
    <col min="7" max="8" style="179" width="10.7109375" customWidth="1"/>
    <col min="9" max="9" style="180" width="10.7109375" customWidth="1"/>
    <col min="10" max="11" style="179" width="10.7109375" customWidth="1"/>
    <col min="12" max="12" style="179" width="10.421875" customWidth="1"/>
    <col min="13" max="14" style="52" width="9.00390625" hidden="1"/>
  </cols>
  <sheetData>
    <row customHeight="1" ht="25.5">
      <c r="A1" s="384"/>
      <c r="B1" s="432" t="s">
        <v>0</v>
      </c>
      <c r="C1" s="432"/>
      <c r="D1" s="432"/>
      <c r="E1" s="432"/>
      <c r="F1" s="433"/>
      <c r="G1" s="432"/>
      <c r="H1" s="432"/>
      <c r="I1" s="433"/>
      <c r="J1" s="432"/>
      <c r="K1" s="432"/>
      <c r="L1" s="432"/>
      <c r="M1" s="434"/>
      <c r="N1" s="434"/>
    </row>
    <row s="178" customFormat="1" customHeight="1" ht="18.75">
      <c r="A2" s="435"/>
      <c r="B2" s="436" t="s">
        <v>1</v>
      </c>
      <c r="C2" s="437" t="s">
        <v>2</v>
      </c>
      <c r="D2" s="437"/>
      <c r="E2" s="437"/>
      <c r="F2" s="437"/>
      <c r="G2" s="437"/>
      <c r="H2" s="437"/>
      <c r="I2" s="437"/>
      <c r="J2" s="438" t="s">
        <v>3</v>
      </c>
      <c r="K2" s="438"/>
      <c r="L2" s="438"/>
      <c r="M2" s="439"/>
      <c r="N2" s="439"/>
    </row>
    <row customHeight="1" ht="14.25">
      <c r="A3" s="384"/>
      <c r="B3" s="343" t="s">
        <v>4</v>
      </c>
      <c r="C3" s="414" t="s">
        <v>5</v>
      </c>
      <c r="D3" s="415" t="s">
        <v>6</v>
      </c>
      <c r="E3" s="414"/>
      <c r="F3" s="416"/>
      <c r="G3" s="414" t="s">
        <v>7</v>
      </c>
      <c r="H3" s="414"/>
      <c r="I3" s="416"/>
      <c r="J3" s="444" t="s">
        <v>8</v>
      </c>
      <c r="K3" s="444"/>
      <c r="L3" s="425" t="s">
        <v>9</v>
      </c>
      <c r="M3" s="434"/>
      <c r="N3" s="434"/>
    </row>
    <row customHeight="1" ht="14.25">
      <c r="A4" s="384"/>
      <c r="B4" s="188"/>
      <c r="C4" s="417"/>
      <c r="D4" s="189" t="s">
        <v>10</v>
      </c>
      <c r="E4" s="418" t="s">
        <v>11</v>
      </c>
      <c r="F4" s="104" t="s">
        <v>12</v>
      </c>
      <c r="G4" s="189" t="s">
        <v>13</v>
      </c>
      <c r="H4" s="189" t="s">
        <v>14</v>
      </c>
      <c r="I4" s="104" t="s">
        <v>12</v>
      </c>
      <c r="J4" s="451" t="s">
        <v>15</v>
      </c>
      <c r="K4" s="451" t="s">
        <v>16</v>
      </c>
      <c r="L4" s="452"/>
      <c r="M4" s="434"/>
      <c r="N4" s="434"/>
    </row>
    <row customHeight="1" ht="14.25">
      <c r="A5" s="384"/>
      <c r="B5" s="453" t="s">
        <v>17</v>
      </c>
      <c r="C5" s="454"/>
      <c r="D5" s="455"/>
      <c r="E5" s="456"/>
      <c r="F5" s="457"/>
      <c r="G5" s="455"/>
      <c r="H5" s="458"/>
      <c r="I5" s="457"/>
      <c r="J5" s="459"/>
      <c r="K5" s="459"/>
      <c r="L5" s="460"/>
      <c r="M5" s="434"/>
      <c r="N5" s="434"/>
    </row>
    <row customHeight="1" ht="14.25">
      <c r="A6" s="384"/>
      <c r="B6" s="461" t="s">
        <v>18</v>
      </c>
      <c r="C6" s="454" t="s">
        <v>19</v>
      </c>
      <c r="D6" s="462" t="str">
        <f>_xlfn.IFERROR(IF(取值!C34=0,"",取值!C34),"")</f>
        <v/>
      </c>
      <c r="E6" s="456">
        <f>_xlfn.IFERROR(SUM(E7:E15),"")</f>
        <v>1319642.98</v>
      </c>
      <c r="F6" s="463" t="str">
        <f>_xlfn.IFERROR(E6/D6*100,"")</f>
        <v/>
      </c>
      <c r="G6" s="462" t="str">
        <f>_xlfn.IFERROR(IF(取值!D34=0,"",取值!D34),"")</f>
        <v/>
      </c>
      <c r="H6" s="456">
        <f>_xlfn.IFERROR(SUM(H7:H15),"")</f>
        <v>14158321.04</v>
      </c>
      <c r="I6" s="457" t="str">
        <f>_xlfn.IFERROR(H6/G6*100,"")</f>
        <v/>
      </c>
      <c r="J6" s="464">
        <v>0</v>
      </c>
      <c r="K6" s="464">
        <v>0</v>
      </c>
      <c r="L6" s="460">
        <f>_xlfn.IFERROR(H6-K6,"")</f>
        <v>14158321.04</v>
      </c>
      <c r="M6" s="456">
        <f>E6</f>
        <v>1319642.98</v>
      </c>
      <c r="N6" s="456">
        <f>H6</f>
        <v>14158321.04</v>
      </c>
    </row>
    <row customHeight="1" ht="14.25">
      <c r="A7" s="384"/>
      <c r="B7" s="461" t="s">
        <v>20</v>
      </c>
      <c r="C7" s="454" t="s">
        <v>19</v>
      </c>
      <c r="D7" s="462">
        <v>1280000</v>
      </c>
      <c r="E7" s="456">
        <f>_xlfn.IFERROR(SUM(延炼月报表!E7,永炼月报表!E7,榆炼月报表!E7,石化厂月报表!E7),"")</f>
        <v>1291340</v>
      </c>
      <c r="F7" s="463">
        <f>_xlfn.IFERROR(E7/D7*100,"")</f>
        <v>100.8859375</v>
      </c>
      <c r="G7" s="462">
        <v>15100000</v>
      </c>
      <c r="H7" s="456">
        <f>_xlfn.IFERROR(SUM(延炼月报表!H7,永炼月报表!H7,榆炼月报表!H7,石化厂月报表!H7),"")</f>
        <v>13869932</v>
      </c>
      <c r="I7" s="457">
        <f>_xlfn.IFERROR(H7/G7*100,"")</f>
        <v>91.8538543046358</v>
      </c>
      <c r="J7" s="464">
        <v>0</v>
      </c>
      <c r="K7" s="464">
        <v>0</v>
      </c>
      <c r="L7" s="460">
        <f>_xlfn.IFERROR(H7-K7,"")</f>
        <v>13869932</v>
      </c>
      <c r="M7" s="456">
        <f>E7</f>
        <v>1291340</v>
      </c>
      <c r="N7" s="456">
        <f>H7</f>
        <v>13869932</v>
      </c>
    </row>
    <row customHeight="1" ht="14.25">
      <c r="A8" s="384"/>
      <c r="B8" s="461" t="s">
        <v>21</v>
      </c>
      <c r="C8" s="454" t="s">
        <v>19</v>
      </c>
      <c r="D8" s="462">
        <v>10300</v>
      </c>
      <c r="E8" s="456">
        <f>_xlfn.IFERROR(SUM(延炼月报表!E8,永炼月报表!E8,榆炼月报表!E8,石化厂月报表!E8),"")</f>
        <v>11889.68</v>
      </c>
      <c r="F8" s="463">
        <f>_xlfn.IFERROR(E8/D8*100,"")</f>
        <v>115.433786407767</v>
      </c>
      <c r="G8" s="462">
        <v>129528</v>
      </c>
      <c r="H8" s="456">
        <f>_xlfn.IFERROR(SUM(延炼月报表!H8,永炼月报表!H8,榆炼月报表!H8,石化厂月报表!H8),"")</f>
        <v>94061.28</v>
      </c>
      <c r="I8" s="457">
        <f>_xlfn.IFERROR(H8/G8*100,"")</f>
        <v>72.6184917546785</v>
      </c>
      <c r="J8" s="464">
        <v>0</v>
      </c>
      <c r="K8" s="464">
        <v>0</v>
      </c>
      <c r="L8" s="460">
        <f>_xlfn.IFERROR(H8-K8,"")</f>
        <v>94061.28</v>
      </c>
      <c r="M8" s="456">
        <f>E8</f>
        <v>11889.68</v>
      </c>
      <c r="N8" s="456">
        <f>H8</f>
        <v>94061.28</v>
      </c>
    </row>
    <row customHeight="1" ht="14.25">
      <c r="A9" s="384"/>
      <c r="B9" s="461" t="s">
        <v>22</v>
      </c>
      <c r="C9" s="454" t="s">
        <v>19</v>
      </c>
      <c r="D9" s="462" t="str">
        <f>_xlfn.IFERROR(IF(取值!C37=0,"",取值!C37),"")</f>
        <v/>
      </c>
      <c r="E9" s="456">
        <f>_xlfn.IFERROR(SUM(延炼月报表!E9,永炼月报表!E9,榆炼月报表!E9,石化厂月报表!E9),"")</f>
        <v>6400</v>
      </c>
      <c r="F9" s="463" t="str">
        <f>_xlfn.IFERROR(E9/D9*100,"")</f>
        <v/>
      </c>
      <c r="G9" s="462" t="str">
        <f>_xlfn.IFERROR(IF(取值!D37=0,"",取值!D37),"")</f>
        <v/>
      </c>
      <c r="H9" s="456">
        <f>_xlfn.IFERROR(SUM(延炼月报表!H9,永炼月报表!H9,榆炼月报表!H9,石化厂月报表!H9),"")</f>
        <v>104521.16</v>
      </c>
      <c r="I9" s="457" t="str">
        <f>_xlfn.IFERROR(H9/G9*100,"")</f>
        <v/>
      </c>
      <c r="J9" s="464">
        <v>0</v>
      </c>
      <c r="K9" s="464">
        <v>0</v>
      </c>
      <c r="L9" s="460">
        <f>_xlfn.IFERROR(H9-K9,"")</f>
        <v>104521.16</v>
      </c>
      <c r="M9" s="456">
        <f>E9</f>
        <v>6400</v>
      </c>
      <c r="N9" s="456">
        <f>H9</f>
        <v>104521.16</v>
      </c>
    </row>
    <row customHeight="1" ht="14.25">
      <c r="A10" s="384"/>
      <c r="B10" s="461" t="s">
        <v>23</v>
      </c>
      <c r="C10" s="454" t="s">
        <v>19</v>
      </c>
      <c r="D10" s="462" t="str">
        <f>_xlfn.IFERROR(IF(取值!C38=0,"",取值!C38),"")</f>
        <v/>
      </c>
      <c r="E10" s="456">
        <f>_xlfn.IFERROR(SUM(延炼月报表!E10,永炼月报表!E10,榆炼月报表!E10,石化厂月报表!E10),"")</f>
        <v>0</v>
      </c>
      <c r="F10" s="463" t="str">
        <f>_xlfn.IFERROR(E10/D10*100,"")</f>
        <v/>
      </c>
      <c r="G10" s="462" t="str">
        <f>_xlfn.IFERROR(IF(取值!D38=0,"",取值!D38),"")</f>
        <v/>
      </c>
      <c r="H10" s="456">
        <f>_xlfn.IFERROR(SUM(延炼月报表!H10,永炼月报表!H10,榆炼月报表!H10,石化厂月报表!H10),"")</f>
        <v>0</v>
      </c>
      <c r="I10" s="457" t="str">
        <f>_xlfn.IFERROR(H10/G10*100,"")</f>
        <v/>
      </c>
      <c r="J10" s="464">
        <v>0</v>
      </c>
      <c r="K10" s="464">
        <v>0</v>
      </c>
      <c r="L10" s="460">
        <f>_xlfn.IFERROR(H10-K10,"")</f>
        <v>0</v>
      </c>
      <c r="M10" s="456">
        <f>E10</f>
        <v>0</v>
      </c>
      <c r="N10" s="456">
        <f>H10</f>
        <v>0</v>
      </c>
    </row>
    <row customHeight="1" ht="14.25">
      <c r="A11" s="384"/>
      <c r="B11" s="461" t="s">
        <v>24</v>
      </c>
      <c r="C11" s="454" t="s">
        <v>19</v>
      </c>
      <c r="D11" s="462" t="str">
        <f>_xlfn.IFERROR(IF(取值!C39=0,"",取值!C39),"")</f>
        <v/>
      </c>
      <c r="E11" s="456">
        <f>_xlfn.IFERROR(SUM(延炼月报表!E11,永炼月报表!E11,榆炼月报表!E11,石化厂月报表!E11),"")</f>
        <v>481</v>
      </c>
      <c r="F11" s="463" t="str">
        <f>_xlfn.IFERROR(E11/D11*100,"")</f>
        <v/>
      </c>
      <c r="G11" s="462" t="str">
        <f>_xlfn.IFERROR(IF(取值!D39=0,"",取值!D39),"")</f>
        <v/>
      </c>
      <c r="H11" s="456">
        <f>_xlfn.IFERROR(SUM(延炼月报表!H11,永炼月报表!H11,榆炼月报表!H11,石化厂月报表!H11),"")</f>
        <v>481</v>
      </c>
      <c r="I11" s="457" t="str">
        <f>_xlfn.IFERROR(H11/G11*100,"")</f>
        <v/>
      </c>
      <c r="J11" s="464">
        <v>0</v>
      </c>
      <c r="K11" s="464">
        <v>0</v>
      </c>
      <c r="L11" s="460">
        <f>_xlfn.IFERROR(H11-K11,"")</f>
        <v>481</v>
      </c>
      <c r="M11" s="456">
        <f>E11</f>
        <v>481</v>
      </c>
      <c r="N11" s="456">
        <f>H11</f>
        <v>481</v>
      </c>
    </row>
    <row customHeight="1" ht="14.25">
      <c r="A12" s="384"/>
      <c r="B12" s="461" t="s">
        <v>25</v>
      </c>
      <c r="C12" s="454" t="s">
        <v>19</v>
      </c>
      <c r="D12" s="462" t="str">
        <f>_xlfn.IFERROR(IF(取值!C40=0,"",取值!C40),"")</f>
        <v/>
      </c>
      <c r="E12" s="456">
        <f>_xlfn.IFERROR(SUM(延炼月报表!E12,永炼月报表!E12,榆炼月报表!E12,石化厂月报表!E12),"")</f>
        <v>0</v>
      </c>
      <c r="F12" s="463" t="str">
        <f>_xlfn.IFERROR(E12/D12*100,"")</f>
        <v/>
      </c>
      <c r="G12" s="462" t="str">
        <f>_xlfn.IFERROR(IF(取值!D40=0,"",取值!D40),"")</f>
        <v/>
      </c>
      <c r="H12" s="456">
        <f>_xlfn.IFERROR(SUM(延炼月报表!H12,永炼月报表!H12,榆炼月报表!H12,石化厂月报表!H12),"")</f>
        <v>0</v>
      </c>
      <c r="I12" s="457" t="str">
        <f>_xlfn.IFERROR(H12/G12*100,"")</f>
        <v/>
      </c>
      <c r="J12" s="464">
        <v>0</v>
      </c>
      <c r="K12" s="464">
        <v>0</v>
      </c>
      <c r="L12" s="460">
        <f>_xlfn.IFERROR(H12-K12,"")</f>
        <v>0</v>
      </c>
      <c r="M12" s="456">
        <f>E12</f>
        <v>0</v>
      </c>
      <c r="N12" s="456">
        <f>H12</f>
        <v>0</v>
      </c>
    </row>
    <row customHeight="1" ht="14.25">
      <c r="A13" s="384"/>
      <c r="B13" s="461" t="s">
        <v>26</v>
      </c>
      <c r="C13" s="454" t="s">
        <v>19</v>
      </c>
      <c r="D13" s="462">
        <v>2200</v>
      </c>
      <c r="E13" s="456">
        <f>_xlfn.IFERROR(SUM(延炼月报表!E13,永炼月报表!E13,榆炼月报表!E13,石化厂月报表!E13),"")</f>
        <v>2787</v>
      </c>
      <c r="F13" s="463">
        <f>_xlfn.IFERROR(E13/D13*100,"")</f>
        <v>126.681818181818</v>
      </c>
      <c r="G13" s="462">
        <v>30625</v>
      </c>
      <c r="H13" s="456">
        <f>_xlfn.IFERROR(SUM(延炼月报表!H13,永炼月报表!H13,榆炼月报表!H13,石化厂月报表!H13),"")</f>
        <v>25213</v>
      </c>
      <c r="I13" s="457">
        <f>_xlfn.IFERROR(H13/G13*100,"")</f>
        <v>82.3281632653061</v>
      </c>
      <c r="J13" s="464">
        <v>0</v>
      </c>
      <c r="K13" s="464">
        <v>0</v>
      </c>
      <c r="L13" s="460">
        <f>_xlfn.IFERROR(H13-K13,"")</f>
        <v>25213</v>
      </c>
      <c r="M13" s="456">
        <f>E13</f>
        <v>2787</v>
      </c>
      <c r="N13" s="456">
        <f>H13</f>
        <v>25213</v>
      </c>
    </row>
    <row customHeight="1" ht="14.25">
      <c r="A14" s="384"/>
      <c r="B14" s="461" t="s">
        <v>27</v>
      </c>
      <c r="C14" s="454" t="s">
        <v>19</v>
      </c>
      <c r="D14" s="462" t="str">
        <f>_xlfn.IFERROR(IF(取值!C42=0,"",取值!C42),"")</f>
        <v/>
      </c>
      <c r="E14" s="456">
        <f>_xlfn.IFERROR(SUM(延炼月报表!E14,永炼月报表!E14,榆炼月报表!E14,石化厂月报表!E14),"")</f>
        <v>0</v>
      </c>
      <c r="F14" s="463" t="str">
        <f>_xlfn.IFERROR(E14/D14*100,"")</f>
        <v/>
      </c>
      <c r="G14" s="462" t="str">
        <f>_xlfn.IFERROR(IF(取值!D42=0,"",取值!D42),"")</f>
        <v/>
      </c>
      <c r="H14" s="456">
        <f>_xlfn.IFERROR(SUM(延炼月报表!H14,永炼月报表!H14,榆炼月报表!H14,石化厂月报表!H14),"")</f>
        <v>0</v>
      </c>
      <c r="I14" s="457" t="str">
        <f>_xlfn.IFERROR(H14/G14*100,"")</f>
        <v/>
      </c>
      <c r="J14" s="464">
        <v>0</v>
      </c>
      <c r="K14" s="464">
        <v>0</v>
      </c>
      <c r="L14" s="460">
        <f>_xlfn.IFERROR(H14-K14,"")</f>
        <v>0</v>
      </c>
      <c r="M14" s="456">
        <f>E14</f>
        <v>0</v>
      </c>
      <c r="N14" s="456">
        <f>H14</f>
        <v>0</v>
      </c>
    </row>
    <row customHeight="1" ht="14.25">
      <c r="A15" s="384"/>
      <c r="B15" s="461" t="s">
        <v>28</v>
      </c>
      <c r="C15" s="454" t="s">
        <v>19</v>
      </c>
      <c r="D15" s="462" t="str">
        <f>_xlfn.IFERROR(IF(取值!C43=0,"",取值!C43),"")</f>
        <v/>
      </c>
      <c r="E15" s="456">
        <f>_xlfn.IFERROR(SUM(延炼月报表!E15,永炼月报表!E15,榆炼月报表!E15,石化厂月报表!E15),"")</f>
        <v>6745.3</v>
      </c>
      <c r="F15" s="463" t="str">
        <f>_xlfn.IFERROR(E15/D15*100,"")</f>
        <v/>
      </c>
      <c r="G15" s="462">
        <v>50000</v>
      </c>
      <c r="H15" s="456">
        <f>_xlfn.IFERROR(SUM(延炼月报表!H15,永炼月报表!H15,榆炼月报表!H15,石化厂月报表!H15),"")</f>
        <v>64112.6</v>
      </c>
      <c r="I15" s="457">
        <f>_xlfn.IFERROR(H15/G15*100,"")</f>
        <v>128.2252</v>
      </c>
      <c r="J15" s="464">
        <v>0</v>
      </c>
      <c r="K15" s="464">
        <v>0</v>
      </c>
      <c r="L15" s="460">
        <f>_xlfn.IFERROR(H15-K15,"")</f>
        <v>64112.6</v>
      </c>
      <c r="M15" s="456">
        <f>E15</f>
        <v>6745.3</v>
      </c>
      <c r="N15" s="456">
        <f>H15</f>
        <v>64112.6</v>
      </c>
    </row>
    <row customHeight="1" ht="14.25">
      <c r="A16" s="384"/>
      <c r="B16" s="461" t="s">
        <v>29</v>
      </c>
      <c r="C16" s="454" t="s">
        <v>19</v>
      </c>
      <c r="D16" s="462" t="str">
        <f>_xlfn.IFERROR(IF(取值!C44=0,"",取值!C44),"")</f>
        <v/>
      </c>
      <c r="E16" s="456">
        <f>_xlfn.IFERROR(SUM(延炼月报表!E16,永炼月报表!E16,榆炼月报表!E16,石化厂月报表!E16),"")</f>
        <v>1291340</v>
      </c>
      <c r="F16" s="463" t="str">
        <f>_xlfn.IFERROR(E16/D16*100,"")</f>
        <v/>
      </c>
      <c r="G16" s="462" t="str">
        <f>_xlfn.IFERROR(IF(取值!D44=0,"",取值!D44),"")</f>
        <v/>
      </c>
      <c r="H16" s="456">
        <f>_xlfn.IFERROR(SUM(延炼月报表!H16,永炼月报表!H16,榆炼月报表!H16,石化厂月报表!H16),"")</f>
        <v>13869932</v>
      </c>
      <c r="I16" s="457" t="str">
        <f>_xlfn.IFERROR(H16/G16*100,"")</f>
        <v/>
      </c>
      <c r="J16" s="464">
        <v>0</v>
      </c>
      <c r="K16" s="464">
        <v>0</v>
      </c>
      <c r="L16" s="460">
        <f>_xlfn.IFERROR(H16-K16,"")</f>
        <v>13869932</v>
      </c>
      <c r="M16" s="456">
        <f>E16</f>
        <v>1291340</v>
      </c>
      <c r="N16" s="456">
        <f>H16</f>
        <v>13869932</v>
      </c>
    </row>
    <row customHeight="1" ht="14.25">
      <c r="A17" s="384"/>
      <c r="B17" s="461" t="s">
        <v>30</v>
      </c>
      <c r="C17" s="454" t="s">
        <v>19</v>
      </c>
      <c r="D17" s="462">
        <v>1280000</v>
      </c>
      <c r="E17" s="456">
        <f>_xlfn.IFERROR(SUM(延炼月报表!E17,永炼月报表!E17,榆炼月报表!E17,石化厂月报表!E17),"")</f>
        <v>1291340</v>
      </c>
      <c r="F17" s="463">
        <f>_xlfn.IFERROR(E17/D17*100,"")</f>
        <v>100.8859375</v>
      </c>
      <c r="G17" s="462">
        <v>15100000</v>
      </c>
      <c r="H17" s="456">
        <f>_xlfn.IFERROR(SUM(延炼月报表!H17,永炼月报表!H17,榆炼月报表!H17,石化厂月报表!H17),"")</f>
        <v>13869932</v>
      </c>
      <c r="I17" s="457">
        <f>_xlfn.IFERROR(H17/G17*100,"")</f>
        <v>91.8538543046358</v>
      </c>
      <c r="J17" s="464">
        <v>0</v>
      </c>
      <c r="K17" s="464">
        <v>0</v>
      </c>
      <c r="L17" s="460">
        <f>_xlfn.IFERROR(H17-K17,"")</f>
        <v>13869932</v>
      </c>
      <c r="M17" s="456">
        <f>E17</f>
        <v>1291340</v>
      </c>
      <c r="N17" s="456">
        <f>H17</f>
        <v>13869932</v>
      </c>
    </row>
    <row customHeight="1" ht="14.25">
      <c r="A18" s="384"/>
      <c r="B18" s="465" t="s">
        <v>31</v>
      </c>
      <c r="C18" s="466" t="s">
        <v>19</v>
      </c>
      <c r="D18" s="462" t="str">
        <f>_xlfn.IFERROR(IF(取值!C46=0,"",取值!C46),"")</f>
        <v/>
      </c>
      <c r="E18" s="467">
        <v>0</v>
      </c>
      <c r="F18" s="468" t="str">
        <f>_xlfn.IFERROR(E18/D18*100,"")</f>
        <v/>
      </c>
      <c r="G18" s="462" t="str">
        <f>_xlfn.IFERROR(IF(取值!D46=0,"",取值!D46),"")</f>
        <v/>
      </c>
      <c r="H18" s="467">
        <v>0</v>
      </c>
      <c r="I18" s="469" t="str">
        <f>_xlfn.IFERROR(H18/G18*100,"")</f>
        <v/>
      </c>
      <c r="J18" s="470">
        <v>0</v>
      </c>
      <c r="K18" s="470">
        <v>0</v>
      </c>
      <c r="L18" s="471">
        <f>_xlfn.IFERROR(H18-K18,"")</f>
        <v>0</v>
      </c>
      <c r="M18" s="456"/>
      <c r="N18" s="456"/>
    </row>
    <row customHeight="1" ht="14.25">
      <c r="A19" s="384"/>
      <c r="B19" s="461" t="s">
        <v>32</v>
      </c>
      <c r="C19" s="454" t="s">
        <v>19</v>
      </c>
      <c r="D19" s="462" t="str">
        <f>_xlfn.IFERROR(IF(取值!C46=0,"",取值!C46),"")</f>
        <v/>
      </c>
      <c r="E19" s="456">
        <f>_xlfn.IFERROR(SUM(延炼月报表!E19,永炼月报表!E19,榆炼月报表!E19,石化厂月报表!E19),"")</f>
        <v>531507</v>
      </c>
      <c r="F19" s="463" t="str">
        <f>_xlfn.IFERROR(E19/D19*100,"")</f>
        <v/>
      </c>
      <c r="G19" s="462" t="str">
        <f>_xlfn.IFERROR(IF(取值!D46=0,"",取值!D46),"")</f>
        <v/>
      </c>
      <c r="H19" s="456">
        <f>_xlfn.IFERROR(SUM(延炼月报表!H19,永炼月报表!H19,榆炼月报表!H19,石化厂月报表!H19),"")</f>
        <v>5798572</v>
      </c>
      <c r="I19" s="457" t="str">
        <f>_xlfn.IFERROR(H19/G19*100,"")</f>
        <v/>
      </c>
      <c r="J19" s="464">
        <v>0</v>
      </c>
      <c r="K19" s="464">
        <v>0</v>
      </c>
      <c r="L19" s="460">
        <f>_xlfn.IFERROR(H19-K19,"")</f>
        <v>5798572</v>
      </c>
      <c r="M19" s="456">
        <f>E19</f>
        <v>531507</v>
      </c>
      <c r="N19" s="456">
        <f>H19</f>
        <v>5798572</v>
      </c>
    </row>
    <row customHeight="1" ht="14.25">
      <c r="A20" s="384"/>
      <c r="B20" s="461" t="s">
        <v>33</v>
      </c>
      <c r="C20" s="454" t="s">
        <v>19</v>
      </c>
      <c r="D20" s="462">
        <v>497000</v>
      </c>
      <c r="E20" s="456">
        <f>_xlfn.IFERROR(SUM(延炼月报表!E20,永炼月报表!E20,榆炼月报表!E20,石化厂月报表!E20),"")</f>
        <v>519099</v>
      </c>
      <c r="F20" s="463">
        <f>_xlfn.IFERROR(E20/D20*100,"")</f>
        <v>104.446478873239</v>
      </c>
      <c r="G20" s="462">
        <v>5980000</v>
      </c>
      <c r="H20" s="456">
        <f>_xlfn.IFERROR(SUM(延炼月报表!H20,永炼月报表!H20,榆炼月报表!H20,石化厂月报表!H20),"")</f>
        <v>5690089</v>
      </c>
      <c r="I20" s="457">
        <f>_xlfn.IFERROR(H20/G20*100,"")</f>
        <v>95.1519899665552</v>
      </c>
      <c r="J20" s="464">
        <v>0</v>
      </c>
      <c r="K20" s="464">
        <v>0</v>
      </c>
      <c r="L20" s="460">
        <f>_xlfn.IFERROR(H20-K20,"")</f>
        <v>5690089</v>
      </c>
      <c r="M20" s="456">
        <f>E20</f>
        <v>519099</v>
      </c>
      <c r="N20" s="456">
        <f>H20</f>
        <v>5690089</v>
      </c>
    </row>
    <row customHeight="1" ht="14.25">
      <c r="A21" s="384"/>
      <c r="B21" s="461" t="s">
        <v>34</v>
      </c>
      <c r="C21" s="454" t="s">
        <v>19</v>
      </c>
      <c r="D21" s="462">
        <v>220500</v>
      </c>
      <c r="E21" s="456">
        <f>_xlfn.IFERROR(SUM(延炼月报表!E21,永炼月报表!E21,榆炼月报表!E21,石化厂月报表!E21),"")</f>
        <v>249055</v>
      </c>
      <c r="F21" s="463">
        <f>_xlfn.IFERROR(E21/D21*100,"")</f>
        <v>112.950113378685</v>
      </c>
      <c r="G21" s="462">
        <v>2570000</v>
      </c>
      <c r="H21" s="456">
        <f>_xlfn.IFERROR(SUM(延炼月报表!H21,永炼月报表!H21,榆炼月报表!H21,石化厂月报表!H21),"")</f>
        <v>2480546</v>
      </c>
      <c r="I21" s="457">
        <f>_xlfn.IFERROR(H21/G21*100,"")</f>
        <v>96.5192996108949</v>
      </c>
      <c r="J21" s="464">
        <v>0</v>
      </c>
      <c r="K21" s="464">
        <v>0</v>
      </c>
      <c r="L21" s="460">
        <f>_xlfn.IFERROR(H21-K21,"")</f>
        <v>2480546</v>
      </c>
      <c r="M21" s="456">
        <f>E21</f>
        <v>249055</v>
      </c>
      <c r="N21" s="456">
        <f>H21</f>
        <v>2480546</v>
      </c>
    </row>
    <row customHeight="1" ht="14.25">
      <c r="A22" s="384"/>
      <c r="B22" s="461" t="s">
        <v>35</v>
      </c>
      <c r="C22" s="454" t="s">
        <v>19</v>
      </c>
      <c r="D22" s="462" t="str">
        <f>_xlfn.IFERROR(IF(取值!C49=0,"",取值!C49),"")</f>
        <v/>
      </c>
      <c r="E22" s="456">
        <f>_xlfn.IFERROR(SUM(延炼月报表!E22,永炼月报表!E22,榆炼月报表!E22,石化厂月报表!E22),"")</f>
        <v>0</v>
      </c>
      <c r="F22" s="463" t="str">
        <f>_xlfn.IFERROR(E22/D22*100,"")</f>
        <v/>
      </c>
      <c r="G22" s="462" t="str">
        <f>_xlfn.IFERROR(IF(取值!D49=0,"",取值!D49),"")</f>
        <v/>
      </c>
      <c r="H22" s="456">
        <f>_xlfn.IFERROR(SUM(延炼月报表!H22,永炼月报表!H22,榆炼月报表!H22,石化厂月报表!H22),"")</f>
        <v>0</v>
      </c>
      <c r="I22" s="457" t="str">
        <f>_xlfn.IFERROR(H22/G22*100,"")</f>
        <v/>
      </c>
      <c r="J22" s="464">
        <v>0</v>
      </c>
      <c r="K22" s="464">
        <v>0</v>
      </c>
      <c r="L22" s="460">
        <f>_xlfn.IFERROR(H22-K22,"")</f>
        <v>0</v>
      </c>
      <c r="M22" s="456">
        <f>E22</f>
        <v>0</v>
      </c>
      <c r="N22" s="456">
        <f>H22</f>
        <v>0</v>
      </c>
    </row>
    <row customHeight="1" ht="14.25">
      <c r="A23" s="384"/>
      <c r="B23" s="461" t="s">
        <v>36</v>
      </c>
      <c r="C23" s="454" t="s">
        <v>19</v>
      </c>
      <c r="D23" s="462" t="str">
        <f>_xlfn.IFERROR(IF(取值!C50=0,"",取值!C50),"")</f>
        <v/>
      </c>
      <c r="E23" s="456">
        <f>_xlfn.IFERROR(SUM(延炼月报表!E23,永炼月报表!E23,榆炼月报表!E23,石化厂月报表!E23),"")</f>
        <v>0</v>
      </c>
      <c r="F23" s="463" t="str">
        <f>_xlfn.IFERROR(E23/D23*100,"")</f>
        <v/>
      </c>
      <c r="G23" s="462" t="str">
        <f>_xlfn.IFERROR(IF(取值!D50=0,"",取值!D50),"")</f>
        <v/>
      </c>
      <c r="H23" s="456">
        <f>_xlfn.IFERROR(SUM(延炼月报表!H23,永炼月报表!H23,榆炼月报表!H23,石化厂月报表!H23),"")</f>
        <v>0</v>
      </c>
      <c r="I23" s="457" t="str">
        <f>_xlfn.IFERROR(H23/G23*100,"")</f>
        <v/>
      </c>
      <c r="J23" s="464">
        <v>0</v>
      </c>
      <c r="K23" s="464">
        <v>0</v>
      </c>
      <c r="L23" s="460">
        <f>_xlfn.IFERROR(H23-K23,"")</f>
        <v>0</v>
      </c>
      <c r="M23" s="456">
        <f>E23</f>
        <v>0</v>
      </c>
      <c r="N23" s="456">
        <f>H23</f>
        <v>0</v>
      </c>
    </row>
    <row customHeight="1" ht="14.25">
      <c r="A24" s="384"/>
      <c r="B24" s="461" t="s">
        <v>37</v>
      </c>
      <c r="C24" s="454" t="s">
        <v>19</v>
      </c>
      <c r="D24" s="462">
        <v>233000</v>
      </c>
      <c r="E24" s="456">
        <f>_xlfn.IFERROR(SUM(延炼月报表!E24,永炼月报表!E24,榆炼月报表!E24,石化厂月报表!E24),"")</f>
        <v>274854</v>
      </c>
      <c r="F24" s="463">
        <f>_xlfn.IFERROR(E24/D24*100,"")</f>
        <v>117.963090128755</v>
      </c>
      <c r="G24" s="462">
        <v>2890000</v>
      </c>
      <c r="H24" s="456">
        <f>_xlfn.IFERROR(SUM(延炼月报表!H24,永炼月报表!H24,榆炼月报表!H24,石化厂月报表!H24),"")</f>
        <v>2669899</v>
      </c>
      <c r="I24" s="457">
        <f>_xlfn.IFERROR(H24/G24*100,"")</f>
        <v>92.3840484429066</v>
      </c>
      <c r="J24" s="464">
        <v>0</v>
      </c>
      <c r="K24" s="464">
        <v>0</v>
      </c>
      <c r="L24" s="460">
        <f>_xlfn.IFERROR(H24-K24,"")</f>
        <v>2669899</v>
      </c>
      <c r="M24" s="456">
        <f>E24</f>
        <v>274854</v>
      </c>
      <c r="N24" s="456">
        <f>H24</f>
        <v>2669899</v>
      </c>
    </row>
    <row customHeight="1" ht="14.25">
      <c r="A25" s="384"/>
      <c r="B25" s="461" t="s">
        <v>38</v>
      </c>
      <c r="C25" s="454" t="s">
        <v>19</v>
      </c>
      <c r="D25" s="462">
        <v>476000</v>
      </c>
      <c r="E25" s="456">
        <f>_xlfn.IFERROR(SUM(延炼月报表!E25,永炼月报表!E25,榆炼月报表!E25,石化厂月报表!E25),"")</f>
        <v>527019</v>
      </c>
      <c r="F25" s="463">
        <f>_xlfn.IFERROR(E25/D25*100,"")</f>
        <v>110.718277310924</v>
      </c>
      <c r="G25" s="462">
        <v>5890000</v>
      </c>
      <c r="H25" s="456">
        <f>_xlfn.IFERROR(SUM(延炼月报表!H25,永炼月报表!H25,榆炼月报表!H25,石化厂月报表!H25),"")</f>
        <v>5741404</v>
      </c>
      <c r="I25" s="457">
        <f>_xlfn.IFERROR(H25/G25*100,"")</f>
        <v>97.4771477079796</v>
      </c>
      <c r="J25" s="464">
        <v>0</v>
      </c>
      <c r="K25" s="464">
        <v>0</v>
      </c>
      <c r="L25" s="460">
        <f>_xlfn.IFERROR(H25-K25,"")</f>
        <v>5741404</v>
      </c>
      <c r="M25" s="456">
        <f>E25</f>
        <v>527019</v>
      </c>
      <c r="N25" s="456">
        <f>H25</f>
        <v>5741404</v>
      </c>
    </row>
    <row customHeight="1" ht="14.25">
      <c r="A26" s="384"/>
      <c r="B26" s="461" t="s">
        <v>39</v>
      </c>
      <c r="C26" s="454" t="s">
        <v>19</v>
      </c>
      <c r="D26" s="462">
        <v>82600</v>
      </c>
      <c r="E26" s="456">
        <f>_xlfn.IFERROR(SUM(延炼月报表!E26,永炼月报表!E26,榆炼月报表!E26,石化厂月报表!E26),"")</f>
        <v>82180</v>
      </c>
      <c r="F26" s="463">
        <f>_xlfn.IFERROR(E26/D26*100,"")</f>
        <v>99.4915254237288</v>
      </c>
      <c r="G26" s="462">
        <v>900000</v>
      </c>
      <c r="H26" s="456">
        <f>_xlfn.IFERROR(SUM(延炼月报表!H26,永炼月报表!H26,榆炼月报表!H26,石化厂月报表!H26),"")</f>
        <v>907074</v>
      </c>
      <c r="I26" s="457">
        <f>_xlfn.IFERROR(H26/G26*100,"")</f>
        <v>100.786</v>
      </c>
      <c r="J26" s="464">
        <v>0</v>
      </c>
      <c r="K26" s="464">
        <v>0</v>
      </c>
      <c r="L26" s="460">
        <f>_xlfn.IFERROR(H26-K26,"")</f>
        <v>907074</v>
      </c>
      <c r="M26" s="456">
        <f>E26</f>
        <v>82180</v>
      </c>
      <c r="N26" s="456">
        <f>H26</f>
        <v>907074</v>
      </c>
    </row>
    <row customHeight="1" ht="14.25">
      <c r="A27" s="384"/>
      <c r="B27" s="461" t="s">
        <v>40</v>
      </c>
      <c r="C27" s="454" t="s">
        <v>19</v>
      </c>
      <c r="D27" s="462" t="str">
        <f>_xlfn.IFERROR(IF(取值!C54=0,"",取值!C54),"")</f>
        <v/>
      </c>
      <c r="E27" s="456">
        <f>_xlfn.IFERROR(SUM(延炼月报表!E27,永炼月报表!E27,榆炼月报表!E27,石化厂月报表!E27),"")</f>
        <v>70759</v>
      </c>
      <c r="F27" s="463" t="str">
        <f>_xlfn.IFERROR(E27/D27*100,"")</f>
        <v/>
      </c>
      <c r="G27" s="462">
        <v>525843</v>
      </c>
      <c r="H27" s="456">
        <f>_xlfn.IFERROR(SUM(延炼月报表!H27,永炼月报表!H27,榆炼月报表!H27,石化厂月报表!H27),"")</f>
        <v>612876</v>
      </c>
      <c r="I27" s="457">
        <f>_xlfn.IFERROR(H27/G27*100,"")</f>
        <v>116.551137887164</v>
      </c>
      <c r="J27" s="464">
        <v>0</v>
      </c>
      <c r="K27" s="464">
        <v>0</v>
      </c>
      <c r="L27" s="460">
        <f>_xlfn.IFERROR(H27-K27,"")</f>
        <v>612876</v>
      </c>
      <c r="M27" s="456">
        <f>E27</f>
        <v>70759</v>
      </c>
      <c r="N27" s="456">
        <f>H27</f>
        <v>612876</v>
      </c>
    </row>
    <row customHeight="1" ht="14.25">
      <c r="A28" s="384"/>
      <c r="B28" s="461" t="s">
        <v>41</v>
      </c>
      <c r="C28" s="454" t="s">
        <v>19</v>
      </c>
      <c r="D28" s="462" t="str">
        <f>_xlfn.IFERROR(IF(取值!C55=0,"",取值!C55),"")</f>
        <v/>
      </c>
      <c r="E28" s="456">
        <f>_xlfn.IFERROR(SUM(延炼月报表!E28,永炼月报表!E28,榆炼月报表!E28,石化厂月报表!E28),"")</f>
        <v>29971</v>
      </c>
      <c r="F28" s="463" t="str">
        <f>_xlfn.IFERROR(E28/D28*100,"")</f>
        <v/>
      </c>
      <c r="G28" s="462" t="str">
        <f>_xlfn.IFERROR(IF(取值!D55=0,"",取值!D55),"")</f>
        <v/>
      </c>
      <c r="H28" s="456">
        <f>_xlfn.IFERROR(SUM(延炼月报表!H28,永炼月报表!H28,榆炼月报表!H28,石化厂月报表!H28),"")</f>
        <v>317896.8</v>
      </c>
      <c r="I28" s="457" t="str">
        <f>_xlfn.IFERROR(H28/G28*100,"")</f>
        <v/>
      </c>
      <c r="J28" s="464">
        <v>0</v>
      </c>
      <c r="K28" s="464">
        <v>0</v>
      </c>
      <c r="L28" s="460">
        <f>_xlfn.IFERROR(H28-K28,"")</f>
        <v>317896.8</v>
      </c>
      <c r="M28" s="456">
        <f>E28</f>
        <v>29971</v>
      </c>
      <c r="N28" s="456">
        <f>H28</f>
        <v>317896.8</v>
      </c>
    </row>
    <row customHeight="1" ht="14.25">
      <c r="A29" s="384"/>
      <c r="B29" s="461" t="s">
        <v>42</v>
      </c>
      <c r="C29" s="454" t="s">
        <v>19</v>
      </c>
      <c r="D29" s="462" t="str">
        <f>_xlfn.IFERROR(IF(取值!C56=0,"",取值!C56),"")</f>
        <v/>
      </c>
      <c r="E29" s="456">
        <f>_xlfn.IFERROR(SUM(延炼月报表!E29,永炼月报表!E29,榆炼月报表!E29,石化厂月报表!E29),"")</f>
        <v>56218</v>
      </c>
      <c r="F29" s="463" t="str">
        <f>_xlfn.IFERROR(E29/D29*100,"")</f>
        <v/>
      </c>
      <c r="G29" s="462" t="str">
        <f>_xlfn.IFERROR(IF(取值!D56=0,"",取值!D56),"")</f>
        <v/>
      </c>
      <c r="H29" s="456">
        <f>_xlfn.IFERROR(SUM(延炼月报表!H29,永炼月报表!H29,榆炼月报表!H29,石化厂月报表!H29),"")</f>
        <v>486669</v>
      </c>
      <c r="I29" s="457" t="str">
        <f>_xlfn.IFERROR(H29/G29*100,"")</f>
        <v/>
      </c>
      <c r="J29" s="464">
        <v>0</v>
      </c>
      <c r="K29" s="464">
        <v>0</v>
      </c>
      <c r="L29" s="460">
        <f>_xlfn.IFERROR(H29-K29,"")</f>
        <v>486669</v>
      </c>
      <c r="M29" s="456">
        <f>E29</f>
        <v>56218</v>
      </c>
      <c r="N29" s="456">
        <f>H29</f>
        <v>486669</v>
      </c>
    </row>
    <row customHeight="1" ht="14.25">
      <c r="A30" s="384"/>
      <c r="B30" s="453" t="s">
        <v>43</v>
      </c>
      <c r="C30" s="454"/>
      <c r="D30" s="472" t="str">
        <f>_xlfn.IFERROR(IF(取值!C57=0,"",取值!C57),"")</f>
        <v/>
      </c>
      <c r="E30" s="456"/>
      <c r="F30" s="463" t="str">
        <f>_xlfn.IFERROR(E30/D30*100,"")</f>
        <v/>
      </c>
      <c r="G30" s="472" t="str">
        <f>_xlfn.IFERROR(IF(取值!D57=0,"",取值!D57),"")</f>
        <v/>
      </c>
      <c r="H30" s="456"/>
      <c r="I30" s="457" t="str">
        <f>_xlfn.IFERROR(H30/G30*100,"")</f>
        <v/>
      </c>
      <c r="J30" s="459"/>
      <c r="K30" s="459"/>
      <c r="L30" s="460"/>
      <c r="M30" s="456"/>
      <c r="N30" s="456"/>
    </row>
    <row customHeight="1" ht="14.25">
      <c r="A31" s="384"/>
      <c r="B31" s="473" t="s">
        <v>44</v>
      </c>
      <c r="C31" s="454" t="s">
        <v>19</v>
      </c>
      <c r="D31" s="462">
        <v>499000</v>
      </c>
      <c r="E31" s="456">
        <f>_xlfn.IFERROR(SUM(延炼月报表!E31,永炼月报表!E31,榆炼月报表!E31,石化厂月报表!E31),"")</f>
        <v>496793</v>
      </c>
      <c r="F31" s="463">
        <f>_xlfn.IFERROR(E31/D31*100,"")</f>
        <v>99.5577154308617</v>
      </c>
      <c r="G31" s="462">
        <v>4817524</v>
      </c>
      <c r="H31" s="456">
        <f>_xlfn.IFERROR(SUM(延炼月报表!H31,永炼月报表!H31,榆炼月报表!H31,石化厂月报表!H31),"")</f>
        <v>5284966</v>
      </c>
      <c r="I31" s="457">
        <f>_xlfn.IFERROR(H31/G31*100,"")</f>
        <v>109.702951142537</v>
      </c>
      <c r="J31" s="464">
        <v>0</v>
      </c>
      <c r="K31" s="464">
        <v>0</v>
      </c>
      <c r="L31" s="460">
        <f>_xlfn.IFERROR(H31-K31,"")</f>
        <v>5284966</v>
      </c>
      <c r="M31" s="456">
        <f>E31</f>
        <v>496793</v>
      </c>
      <c r="N31" s="456">
        <f>H31</f>
        <v>5284966</v>
      </c>
    </row>
    <row customHeight="1" ht="14.25">
      <c r="A32" s="384"/>
      <c r="B32" s="461" t="s">
        <v>45</v>
      </c>
      <c r="C32" s="454" t="s">
        <v>19</v>
      </c>
      <c r="D32" s="462" t="str">
        <f>_xlfn.IFERROR(IF(取值!C59=0,"",取值!C59),"")</f>
        <v/>
      </c>
      <c r="E32" s="456">
        <f>_xlfn.IFERROR(SUM(延炼月报表!E32,永炼月报表!E32,榆炼月报表!E32,石化厂月报表!E32),"")</f>
        <v>380685</v>
      </c>
      <c r="F32" s="463" t="str">
        <f>_xlfn.IFERROR(E32/D32*100,"")</f>
        <v/>
      </c>
      <c r="G32" s="462">
        <v>3736408</v>
      </c>
      <c r="H32" s="456">
        <f>_xlfn.IFERROR(SUM(延炼月报表!H32,永炼月报表!H32,榆炼月报表!H32,石化厂月报表!H32),"")</f>
        <v>3900258</v>
      </c>
      <c r="I32" s="457">
        <f>_xlfn.IFERROR(H32/G32*100,"")</f>
        <v>104.385227737442</v>
      </c>
      <c r="J32" s="464">
        <v>0</v>
      </c>
      <c r="K32" s="464">
        <v>0</v>
      </c>
      <c r="L32" s="460">
        <f>_xlfn.IFERROR(H32-K32,"")</f>
        <v>3900258</v>
      </c>
      <c r="M32" s="456">
        <f>E32</f>
        <v>380685</v>
      </c>
      <c r="N32" s="456">
        <f>H32</f>
        <v>3900258</v>
      </c>
    </row>
    <row customHeight="1" ht="14.25">
      <c r="A33" s="384"/>
      <c r="B33" s="473" t="s">
        <v>46</v>
      </c>
      <c r="C33" s="454" t="s">
        <v>19</v>
      </c>
      <c r="D33" s="462" t="str">
        <f>_xlfn.IFERROR(IF(取值!C60=0,"",取值!C60),"")</f>
        <v/>
      </c>
      <c r="E33" s="456">
        <f>_xlfn.IFERROR(SUM(延炼月报表!E33,永炼月报表!E33,榆炼月报表!E33,石化厂月报表!E33),"")</f>
        <v>116108</v>
      </c>
      <c r="F33" s="463" t="str">
        <f>_xlfn.IFERROR(E33/D33*100,"")</f>
        <v/>
      </c>
      <c r="G33" s="462">
        <v>1058800</v>
      </c>
      <c r="H33" s="456">
        <f>_xlfn.IFERROR(SUM(延炼月报表!H33,永炼月报表!H33,榆炼月报表!H33,石化厂月报表!H33),"")</f>
        <v>1361746</v>
      </c>
      <c r="I33" s="457">
        <f>_xlfn.IFERROR(H33/G33*100,"")</f>
        <v>128.612202493389</v>
      </c>
      <c r="J33" s="464">
        <v>0</v>
      </c>
      <c r="K33" s="464">
        <v>0</v>
      </c>
      <c r="L33" s="460">
        <f>_xlfn.IFERROR(H33-K33,"")</f>
        <v>1361746</v>
      </c>
      <c r="M33" s="456">
        <f>E33</f>
        <v>116108</v>
      </c>
      <c r="N33" s="456">
        <f>H33</f>
        <v>1361746</v>
      </c>
    </row>
    <row customHeight="1" ht="14.25">
      <c r="A34" s="384"/>
      <c r="B34" s="473" t="s">
        <v>47</v>
      </c>
      <c r="C34" s="454" t="s">
        <v>19</v>
      </c>
      <c r="D34" s="462" t="str">
        <f>_xlfn.IFERROR(IF(取值!C61=0,"",取值!C61),"")</f>
        <v/>
      </c>
      <c r="E34" s="456">
        <f>_xlfn.IFERROR(SUM(延炼月报表!E34,永炼月报表!E34,榆炼月报表!E34,石化厂月报表!E34),"")</f>
        <v>0</v>
      </c>
      <c r="F34" s="463" t="str">
        <f>_xlfn.IFERROR(E34/D34*100,"")</f>
        <v/>
      </c>
      <c r="G34" s="462" t="str">
        <f>_xlfn.IFERROR(IF(取值!D61=0,"",取值!D61),"")</f>
        <v/>
      </c>
      <c r="H34" s="456">
        <f>_xlfn.IFERROR(SUM(延炼月报表!H34,永炼月报表!H34,榆炼月报表!H34,石化厂月报表!H34),"")</f>
        <v>22962</v>
      </c>
      <c r="I34" s="457" t="str">
        <f>_xlfn.IFERROR(H34/G34*100,"")</f>
        <v/>
      </c>
      <c r="J34" s="464">
        <v>0</v>
      </c>
      <c r="K34" s="464">
        <v>0</v>
      </c>
      <c r="L34" s="460">
        <f>_xlfn.IFERROR(H34-K34,"")</f>
        <v>22962</v>
      </c>
      <c r="M34" s="456">
        <f>E34</f>
        <v>0</v>
      </c>
      <c r="N34" s="456">
        <f>H34</f>
        <v>22962</v>
      </c>
    </row>
    <row customHeight="1" ht="14.25">
      <c r="A35" s="384"/>
      <c r="B35" s="461" t="s">
        <v>48</v>
      </c>
      <c r="C35" s="454" t="s">
        <v>19</v>
      </c>
      <c r="D35" s="462">
        <v>441000</v>
      </c>
      <c r="E35" s="456">
        <f>_xlfn.IFERROR(SUM(延炼月报表!E35,永炼月报表!E35,榆炼月报表!E35,石化厂月报表!E35),"")</f>
        <v>459042</v>
      </c>
      <c r="F35" s="463">
        <f>_xlfn.IFERROR(E35/D35*100,"")</f>
        <v>104.091156462585</v>
      </c>
      <c r="G35" s="462">
        <v>5489343</v>
      </c>
      <c r="H35" s="456">
        <f>_xlfn.IFERROR(SUM(延炼月报表!H35,永炼月报表!H35,榆炼月报表!H35,石化厂月报表!H35),"")</f>
        <v>5170950</v>
      </c>
      <c r="I35" s="457">
        <f>_xlfn.IFERROR(H35/G35*100,"")</f>
        <v>94.1997976807061</v>
      </c>
      <c r="J35" s="464">
        <v>0</v>
      </c>
      <c r="K35" s="464">
        <v>0</v>
      </c>
      <c r="L35" s="460">
        <f>_xlfn.IFERROR(H35-K35,"")</f>
        <v>5170950</v>
      </c>
      <c r="M35" s="456">
        <f>E35</f>
        <v>459042</v>
      </c>
      <c r="N35" s="456">
        <f>H35</f>
        <v>5170950</v>
      </c>
    </row>
    <row customHeight="1" ht="14.25">
      <c r="A36" s="384"/>
      <c r="B36" s="474" t="s">
        <v>49</v>
      </c>
      <c r="C36" s="454" t="s">
        <v>19</v>
      </c>
      <c r="D36" s="462" t="str">
        <f>_xlfn.IFERROR(IF(取值!C63=0,"",取值!C63),"")</f>
        <v/>
      </c>
      <c r="E36" s="456">
        <f>_xlfn.IFERROR(SUM(延炼月报表!E36,永炼月报表!E36,榆炼月报表!E36,石化厂月报表!E36),"")</f>
        <v>0</v>
      </c>
      <c r="F36" s="463" t="str">
        <f>_xlfn.IFERROR(E36/D36*100,"")</f>
        <v/>
      </c>
      <c r="G36" s="462" t="str">
        <f>_xlfn.IFERROR(IF(取值!D63=0,"",取值!D63),"")</f>
        <v/>
      </c>
      <c r="H36" s="456">
        <f>_xlfn.IFERROR(SUM(延炼月报表!H36,永炼月报表!H36,榆炼月报表!H36,石化厂月报表!H36),"")</f>
        <v>0</v>
      </c>
      <c r="I36" s="457" t="str">
        <f>_xlfn.IFERROR(H36/G36*100,"")</f>
        <v/>
      </c>
      <c r="J36" s="464">
        <v>0</v>
      </c>
      <c r="K36" s="464">
        <v>0</v>
      </c>
      <c r="L36" s="460">
        <f>_xlfn.IFERROR(H36-K36,"")</f>
        <v>0</v>
      </c>
      <c r="M36" s="456">
        <f>E36</f>
        <v>0</v>
      </c>
      <c r="N36" s="456">
        <f>H36</f>
        <v>0</v>
      </c>
    </row>
    <row customHeight="1" ht="14.25">
      <c r="A37" s="384"/>
      <c r="B37" s="461" t="s">
        <v>50</v>
      </c>
      <c r="C37" s="454" t="s">
        <v>19</v>
      </c>
      <c r="D37" s="462" t="str">
        <f>_xlfn.IFERROR(IF(取值!C64=0,"",取值!C64),"")</f>
        <v/>
      </c>
      <c r="E37" s="456">
        <f>_xlfn.IFERROR(SUM(延炼月报表!E37,永炼月报表!E37,榆炼月报表!E37,石化厂月报表!E37),"")</f>
        <v>389812</v>
      </c>
      <c r="F37" s="463" t="str">
        <f>_xlfn.IFERROR(E37/D37*100,"")</f>
        <v/>
      </c>
      <c r="G37" s="462" t="str">
        <f>_xlfn.IFERROR(IF(取值!D64=0,"",取值!D64),"")</f>
        <v/>
      </c>
      <c r="H37" s="456">
        <f>_xlfn.IFERROR(SUM(延炼月报表!H37,永炼月报表!H37,榆炼月报表!H37,石化厂月报表!H37),"")</f>
        <v>5023311</v>
      </c>
      <c r="I37" s="457" t="str">
        <f>_xlfn.IFERROR(H37/G37*100,"")</f>
        <v/>
      </c>
      <c r="J37" s="464">
        <v>0</v>
      </c>
      <c r="K37" s="464">
        <v>0</v>
      </c>
      <c r="L37" s="460">
        <f>_xlfn.IFERROR(H37-K37,"")</f>
        <v>5023311</v>
      </c>
      <c r="M37" s="456">
        <f>E37</f>
        <v>389812</v>
      </c>
      <c r="N37" s="456">
        <f>H37</f>
        <v>5023311</v>
      </c>
    </row>
    <row customHeight="1" ht="14.25">
      <c r="A38" s="384"/>
      <c r="B38" s="461" t="s">
        <v>51</v>
      </c>
      <c r="C38" s="454" t="s">
        <v>19</v>
      </c>
      <c r="D38" s="462">
        <v>30000</v>
      </c>
      <c r="E38" s="456">
        <f>_xlfn.IFERROR(SUM(延炼月报表!E38,永炼月报表!E38,榆炼月报表!E38,石化厂月报表!E38),"")</f>
        <v>35700</v>
      </c>
      <c r="F38" s="463">
        <f>_xlfn.IFERROR(E38/D38*100,"")</f>
        <v>119</v>
      </c>
      <c r="G38" s="462" t="str">
        <f>_xlfn.IFERROR(IF(取值!D65=0,"",取值!D65),"")</f>
        <v/>
      </c>
      <c r="H38" s="456">
        <f>_xlfn.IFERROR(SUM(延炼月报表!H38,永炼月报表!H38,榆炼月报表!H38,石化厂月报表!H38),"")</f>
        <v>76700</v>
      </c>
      <c r="I38" s="457" t="str">
        <f>_xlfn.IFERROR(H38/G38*100,"")</f>
        <v/>
      </c>
      <c r="J38" s="464">
        <v>0</v>
      </c>
      <c r="K38" s="464">
        <v>0</v>
      </c>
      <c r="L38" s="460">
        <f>_xlfn.IFERROR(H38-K38,"")</f>
        <v>76700</v>
      </c>
      <c r="M38" s="456">
        <f>E38</f>
        <v>35700</v>
      </c>
      <c r="N38" s="456">
        <f>H38</f>
        <v>76700</v>
      </c>
    </row>
    <row customHeight="1" ht="14.25">
      <c r="A39" s="384"/>
      <c r="B39" s="461" t="s">
        <v>52</v>
      </c>
      <c r="C39" s="454" t="s">
        <v>19</v>
      </c>
      <c r="D39" s="462">
        <v>20000</v>
      </c>
      <c r="E39" s="456">
        <f>_xlfn.IFERROR(SUM(延炼月报表!E39,永炼月报表!E39,榆炼月报表!E39,石化厂月报表!E39),"")</f>
        <v>33530</v>
      </c>
      <c r="F39" s="463">
        <f>_xlfn.IFERROR(E39/D39*100,"")</f>
        <v>167.65</v>
      </c>
      <c r="G39" s="462" t="str">
        <f>_xlfn.IFERROR(IF(取值!D66=0,"",取值!D66),"")</f>
        <v/>
      </c>
      <c r="H39" s="456">
        <f>_xlfn.IFERROR(SUM(延炼月报表!H39,永炼月报表!H39,榆炼月报表!H39,石化厂月报表!H39),"")</f>
        <v>70939</v>
      </c>
      <c r="I39" s="457" t="str">
        <f>_xlfn.IFERROR(H39/G39*100,"")</f>
        <v/>
      </c>
      <c r="J39" s="464">
        <v>0</v>
      </c>
      <c r="K39" s="464">
        <v>0</v>
      </c>
      <c r="L39" s="460">
        <f>_xlfn.IFERROR(H39-K39,"")</f>
        <v>70939</v>
      </c>
      <c r="M39" s="456">
        <f>E39</f>
        <v>33530</v>
      </c>
      <c r="N39" s="456">
        <f>H39</f>
        <v>70939</v>
      </c>
    </row>
    <row customHeight="1" ht="14.25">
      <c r="A40" s="384"/>
      <c r="B40" s="461" t="s">
        <v>53</v>
      </c>
      <c r="C40" s="454" t="s">
        <v>19</v>
      </c>
      <c r="D40" s="462" t="str">
        <f>_xlfn.IFERROR(IF(取值!C67=0,"",取值!C67),"")</f>
        <v/>
      </c>
      <c r="E40" s="456">
        <f>_xlfn.IFERROR(SUM(延炼月报表!E40,永炼月报表!E40,榆炼月报表!E40,石化厂月报表!E40),"")</f>
        <v>0</v>
      </c>
      <c r="F40" s="463" t="str">
        <f>_xlfn.IFERROR(E40/D40*100,"")</f>
        <v/>
      </c>
      <c r="G40" s="462" t="str">
        <f>_xlfn.IFERROR(IF(取值!D67=0,"",取值!D67),"")</f>
        <v/>
      </c>
      <c r="H40" s="456">
        <f>_xlfn.IFERROR(SUM(延炼月报表!H40,永炼月报表!H40,榆炼月报表!H40,石化厂月报表!H40),"")</f>
        <v>0</v>
      </c>
      <c r="I40" s="457" t="str">
        <f>_xlfn.IFERROR(H40/G40*100,"")</f>
        <v/>
      </c>
      <c r="J40" s="464">
        <v>0</v>
      </c>
      <c r="K40" s="464">
        <v>0</v>
      </c>
      <c r="L40" s="460">
        <f>_xlfn.IFERROR(H40-K40,"")</f>
        <v>0</v>
      </c>
      <c r="M40" s="456">
        <f>E40</f>
        <v>0</v>
      </c>
      <c r="N40" s="456">
        <f>H40</f>
        <v>0</v>
      </c>
    </row>
    <row customHeight="1" ht="14.25">
      <c r="A41" s="384"/>
      <c r="B41" s="461" t="s">
        <v>54</v>
      </c>
      <c r="C41" s="454" t="s">
        <v>19</v>
      </c>
      <c r="D41" s="475" t="str">
        <f>_xlfn.IFERROR(IF(取值!C68=0,"",取值!C68),"")</f>
        <v/>
      </c>
      <c r="E41" s="456">
        <f>_xlfn.IFERROR(SUM(延炼月报表!E41,永炼月报表!E41,榆炼月报表!E41,石化厂月报表!E41),"")</f>
        <v>33135</v>
      </c>
      <c r="F41" s="463" t="str">
        <f>_xlfn.IFERROR(E41/D41*100,"")</f>
        <v/>
      </c>
      <c r="G41" s="462">
        <v>500000</v>
      </c>
      <c r="H41" s="456">
        <f>_xlfn.IFERROR(SUM(延炼月报表!H41,永炼月报表!H41,榆炼月报表!H41,石化厂月报表!H41),"")</f>
        <v>424408.94</v>
      </c>
      <c r="I41" s="457">
        <f>_xlfn.IFERROR(H41/G41*100,"")</f>
        <v>84.881788</v>
      </c>
      <c r="J41" s="464">
        <v>0</v>
      </c>
      <c r="K41" s="464">
        <v>0</v>
      </c>
      <c r="L41" s="460">
        <f>_xlfn.IFERROR(H41-K41,"")</f>
        <v>424408.94</v>
      </c>
      <c r="M41" s="456">
        <f>E41</f>
        <v>33135</v>
      </c>
      <c r="N41" s="456">
        <f>H41</f>
        <v>424408.94</v>
      </c>
    </row>
    <row customHeight="1" ht="14.25">
      <c r="A42" s="384"/>
      <c r="B42" s="461" t="s">
        <v>55</v>
      </c>
      <c r="C42" s="454" t="s">
        <v>19</v>
      </c>
      <c r="D42" s="475">
        <v>7300</v>
      </c>
      <c r="E42" s="456">
        <f>_xlfn.IFERROR(SUM(延炼月报表!E42,永炼月报表!E42,榆炼月报表!E42,石化厂月报表!E42),"")</f>
        <v>11910.68</v>
      </c>
      <c r="F42" s="463">
        <f>_xlfn.IFERROR(E42/D42*100,"")</f>
        <v>163.16</v>
      </c>
      <c r="G42" s="462">
        <v>196525</v>
      </c>
      <c r="H42" s="456">
        <f>_xlfn.IFERROR(SUM(延炼月报表!H42,永炼月报表!H42,榆炼月报表!H42,石化厂月报表!H42),"")</f>
        <v>106561.64</v>
      </c>
      <c r="I42" s="457">
        <f>_xlfn.IFERROR(H42/G42*100,"")</f>
        <v>54.2229436458466</v>
      </c>
      <c r="J42" s="464">
        <v>0</v>
      </c>
      <c r="K42" s="464">
        <v>0</v>
      </c>
      <c r="L42" s="460">
        <f>_xlfn.IFERROR(H42-K42,"")</f>
        <v>106561.64</v>
      </c>
      <c r="M42" s="456">
        <f>E42</f>
        <v>11910.68</v>
      </c>
      <c r="N42" s="456">
        <f>H42</f>
        <v>106561.64</v>
      </c>
    </row>
    <row customHeight="1" ht="14.25">
      <c r="A43" s="384"/>
      <c r="B43" s="461" t="s">
        <v>56</v>
      </c>
      <c r="C43" s="454" t="s">
        <v>19</v>
      </c>
      <c r="D43" s="475" t="str">
        <f>_xlfn.IFERROR(IF(取值!C70=0,"",取值!C70),"")</f>
        <v/>
      </c>
      <c r="E43" s="456">
        <f>_xlfn.IFERROR(SUM(延炼月报表!E43,永炼月报表!E43,榆炼月报表!E43,石化厂月报表!E43),"")</f>
        <v>2428</v>
      </c>
      <c r="F43" s="463" t="str">
        <f>_xlfn.IFERROR(E43/D43*100,"")</f>
        <v/>
      </c>
      <c r="G43" s="462">
        <v>95425</v>
      </c>
      <c r="H43" s="456">
        <f>_xlfn.IFERROR(SUM(延炼月报表!H43,永炼月报表!H43,榆炼月报表!H43,石化厂月报表!H43),"")</f>
        <v>12811.74</v>
      </c>
      <c r="I43" s="457">
        <f>_xlfn.IFERROR(H43/G43*100,"")</f>
        <v>13.4259785171601</v>
      </c>
      <c r="J43" s="464">
        <v>0</v>
      </c>
      <c r="K43" s="464">
        <v>0</v>
      </c>
      <c r="L43" s="460">
        <f>_xlfn.IFERROR(H43-K43,"")</f>
        <v>12811.74</v>
      </c>
      <c r="M43" s="456">
        <f>E43</f>
        <v>2428</v>
      </c>
      <c r="N43" s="456">
        <f>H43</f>
        <v>12811.74</v>
      </c>
    </row>
    <row customHeight="1" ht="14.25">
      <c r="A44" s="384"/>
      <c r="B44" s="461" t="s">
        <v>57</v>
      </c>
      <c r="C44" s="454" t="s">
        <v>19</v>
      </c>
      <c r="D44" s="475">
        <v>5500</v>
      </c>
      <c r="E44" s="456">
        <f>_xlfn.IFERROR(SUM(延炼月报表!E44,永炼月报表!E44,榆炼月报表!E44,石化厂月报表!E44),"")</f>
        <v>6708</v>
      </c>
      <c r="F44" s="463">
        <f>_xlfn.IFERROR(E44/D44*100,"")</f>
        <v>121.963636363636</v>
      </c>
      <c r="G44" s="462">
        <v>70300</v>
      </c>
      <c r="H44" s="456">
        <f>_xlfn.IFERROR(SUM(延炼月报表!H44,永炼月报表!H44,榆炼月报表!H44,石化厂月报表!H44),"")</f>
        <v>68867.4</v>
      </c>
      <c r="I44" s="457">
        <f>_xlfn.IFERROR(H44/G44*100,"")</f>
        <v>97.9621621621622</v>
      </c>
      <c r="J44" s="464">
        <v>0</v>
      </c>
      <c r="K44" s="464">
        <v>0</v>
      </c>
      <c r="L44" s="460">
        <f>_xlfn.IFERROR(H44-K44,"")</f>
        <v>68867.4</v>
      </c>
      <c r="M44" s="456">
        <f>E44</f>
        <v>6708</v>
      </c>
      <c r="N44" s="456">
        <f>H44</f>
        <v>68867.4</v>
      </c>
    </row>
    <row customHeight="1" ht="14.25">
      <c r="A45" s="384"/>
      <c r="B45" s="461" t="s">
        <v>58</v>
      </c>
      <c r="C45" s="454" t="s">
        <v>19</v>
      </c>
      <c r="D45" s="475">
        <v>1800</v>
      </c>
      <c r="E45" s="456">
        <f>_xlfn.IFERROR(SUM(延炼月报表!E45,永炼月报表!E45,榆炼月报表!E45,石化厂月报表!E45),"")</f>
        <v>2774.68</v>
      </c>
      <c r="F45" s="463">
        <f>_xlfn.IFERROR(E45/D45*100,"")</f>
        <v>154.148888888889</v>
      </c>
      <c r="G45" s="462">
        <v>30800</v>
      </c>
      <c r="H45" s="456">
        <f>_xlfn.IFERROR(SUM(延炼月报表!H45,永炼月报表!H45,榆炼月报表!H45,石化厂月报表!H45),"")</f>
        <v>24882.5</v>
      </c>
      <c r="I45" s="457">
        <f>_xlfn.IFERROR(H45/G45*100,"")</f>
        <v>80.7873376623377</v>
      </c>
      <c r="J45" s="464">
        <v>0</v>
      </c>
      <c r="K45" s="464">
        <v>0</v>
      </c>
      <c r="L45" s="460">
        <f>_xlfn.IFERROR(H45-K45,"")</f>
        <v>24882.5</v>
      </c>
      <c r="M45" s="456">
        <f>E45</f>
        <v>2774.68</v>
      </c>
      <c r="N45" s="456">
        <f>H45</f>
        <v>24882.5</v>
      </c>
    </row>
    <row customHeight="1" ht="14.25">
      <c r="A46" s="384"/>
      <c r="B46" s="461" t="s">
        <v>59</v>
      </c>
      <c r="C46" s="454" t="s">
        <v>19</v>
      </c>
      <c r="D46" s="476" t="str">
        <f>_xlfn.IFERROR(IF(取值!C73=0,"",取值!C73),"")</f>
        <v/>
      </c>
      <c r="E46" s="456">
        <f>_xlfn.IFERROR(SUM(E47:E50),"")</f>
        <v>23010.62</v>
      </c>
      <c r="F46" s="463" t="str">
        <f>_xlfn.IFERROR(E46/D46*100,"")</f>
        <v/>
      </c>
      <c r="G46" s="462">
        <v>321255</v>
      </c>
      <c r="H46" s="456">
        <f>_xlfn.IFERROR(SUM(H47:H50),"")</f>
        <v>340504.7</v>
      </c>
      <c r="I46" s="457">
        <f>_xlfn.IFERROR(H46/G46*100,"")</f>
        <v>105.992031252432</v>
      </c>
      <c r="J46" s="464">
        <v>0</v>
      </c>
      <c r="K46" s="464">
        <v>0</v>
      </c>
      <c r="L46" s="460">
        <f>_xlfn.IFERROR(H46-K46,"")</f>
        <v>340504.7</v>
      </c>
      <c r="M46" s="456">
        <f>E46</f>
        <v>23010.62</v>
      </c>
      <c r="N46" s="456">
        <f>H46</f>
        <v>340504.7</v>
      </c>
    </row>
    <row customHeight="1" ht="14.25">
      <c r="A47" s="384"/>
      <c r="B47" s="461" t="s">
        <v>60</v>
      </c>
      <c r="C47" s="454" t="s">
        <v>19</v>
      </c>
      <c r="D47" s="462" t="str">
        <f>_xlfn.IFERROR(IF(取值!C74=0,"",取值!C74),"")</f>
        <v/>
      </c>
      <c r="E47" s="456">
        <f>_xlfn.IFERROR(SUM(延炼月报表!E47,永炼月报表!E47,榆炼月报表!E47,石化厂月报表!E47),"")</f>
        <v>1467</v>
      </c>
      <c r="F47" s="463" t="str">
        <f>_xlfn.IFERROR(E47/D47*100,"")</f>
        <v/>
      </c>
      <c r="G47" s="462" t="str">
        <f>_xlfn.IFERROR(IF(取值!D74=0,"",取值!D74),"")</f>
        <v/>
      </c>
      <c r="H47" s="456">
        <f>_xlfn.IFERROR(SUM(延炼月报表!H47,永炼月报表!H47,榆炼月报表!H47,石化厂月报表!H47),"")</f>
        <v>40209</v>
      </c>
      <c r="I47" s="457" t="str">
        <f>_xlfn.IFERROR(H47/G47*100,"")</f>
        <v/>
      </c>
      <c r="J47" s="464">
        <v>0</v>
      </c>
      <c r="K47" s="464">
        <v>0</v>
      </c>
      <c r="L47" s="460">
        <f>_xlfn.IFERROR(H47-K47,"")</f>
        <v>40209</v>
      </c>
      <c r="M47" s="456">
        <f>E47</f>
        <v>1467</v>
      </c>
      <c r="N47" s="456">
        <f>H47</f>
        <v>40209</v>
      </c>
    </row>
    <row customHeight="1" ht="14.25">
      <c r="A48" s="384"/>
      <c r="B48" s="461" t="s">
        <v>61</v>
      </c>
      <c r="C48" s="454" t="s">
        <v>19</v>
      </c>
      <c r="D48" s="462" t="str">
        <f>_xlfn.IFERROR(IF(取值!C75=0,"",取值!C75),"")</f>
        <v/>
      </c>
      <c r="E48" s="456">
        <f>_xlfn.IFERROR(SUM(延炼月报表!E48,永炼月报表!E48,榆炼月报表!E48,石化厂月报表!E48),"")</f>
        <v>5234.98</v>
      </c>
      <c r="F48" s="463" t="str">
        <f>_xlfn.IFERROR(E48/D48*100,"")</f>
        <v/>
      </c>
      <c r="G48" s="462" t="str">
        <f>_xlfn.IFERROR(IF(取值!D75=0,"",取值!D75),"")</f>
        <v/>
      </c>
      <c r="H48" s="456">
        <f>_xlfn.IFERROR(SUM(延炼月报表!H48,永炼月报表!H48,榆炼月报表!H48,石化厂月报表!H48),"")</f>
        <v>89114.86</v>
      </c>
      <c r="I48" s="457" t="str">
        <f>_xlfn.IFERROR(H48/G48*100,"")</f>
        <v/>
      </c>
      <c r="J48" s="464">
        <v>0</v>
      </c>
      <c r="K48" s="464">
        <v>0</v>
      </c>
      <c r="L48" s="460">
        <f>_xlfn.IFERROR(H48-K48,"")</f>
        <v>89114.86</v>
      </c>
      <c r="M48" s="456">
        <f>E48</f>
        <v>5234.98</v>
      </c>
      <c r="N48" s="456">
        <f>H48</f>
        <v>89114.86</v>
      </c>
    </row>
    <row customHeight="1" ht="14.25">
      <c r="A49" s="384"/>
      <c r="B49" s="461" t="s">
        <v>62</v>
      </c>
      <c r="C49" s="454" t="s">
        <v>19</v>
      </c>
      <c r="D49" s="462" t="str">
        <f>_xlfn.IFERROR(IF(取值!C76=0,"",取值!C76),"")</f>
        <v/>
      </c>
      <c r="E49" s="456">
        <f>_xlfn.IFERROR(SUM(延炼月报表!E49,永炼月报表!E49,榆炼月报表!E49,石化厂月报表!E49),"")</f>
        <v>16308.64</v>
      </c>
      <c r="F49" s="463" t="str">
        <f>_xlfn.IFERROR(E49/D49*100,"")</f>
        <v/>
      </c>
      <c r="G49" s="462">
        <v>321255</v>
      </c>
      <c r="H49" s="456">
        <f>_xlfn.IFERROR(SUM(延炼月报表!H49,永炼月报表!H49,榆炼月报表!H49,石化厂月报表!H49),"")</f>
        <v>211180.84</v>
      </c>
      <c r="I49" s="457">
        <f>_xlfn.IFERROR(H49/G49*100,"")</f>
        <v>65.7362033275747</v>
      </c>
      <c r="J49" s="464">
        <v>0</v>
      </c>
      <c r="K49" s="464">
        <v>0</v>
      </c>
      <c r="L49" s="460">
        <f>_xlfn.IFERROR(H49-K49,"")</f>
        <v>211180.84</v>
      </c>
      <c r="M49" s="456">
        <f>E49</f>
        <v>16308.64</v>
      </c>
      <c r="N49" s="456">
        <f>H49</f>
        <v>211180.84</v>
      </c>
    </row>
    <row customHeight="1" ht="14.25">
      <c r="A50" s="384"/>
      <c r="B50" s="461" t="s">
        <v>63</v>
      </c>
      <c r="C50" s="454" t="s">
        <v>19</v>
      </c>
      <c r="D50" s="462" t="str">
        <f>_xlfn.IFERROR(IF(取值!C77=0,"",取值!C77),"")</f>
        <v/>
      </c>
      <c r="E50" s="456">
        <f>_xlfn.IFERROR(SUM(延炼月报表!E50,永炼月报表!E50,榆炼月报表!E50,石化厂月报表!E50),"")</f>
        <v>0</v>
      </c>
      <c r="F50" s="463" t="str">
        <f>_xlfn.IFERROR(E50/D50*100,"")</f>
        <v/>
      </c>
      <c r="G50" s="462" t="str">
        <f>_xlfn.IFERROR(IF(取值!D77=0,"",取值!D77),"")</f>
        <v/>
      </c>
      <c r="H50" s="456">
        <f>_xlfn.IFERROR(SUM(延炼月报表!H50,永炼月报表!H50,榆炼月报表!H50,石化厂月报表!H50),"")</f>
        <v>0</v>
      </c>
      <c r="I50" s="457" t="str">
        <f>_xlfn.IFERROR(H50/G50*100,"")</f>
        <v/>
      </c>
      <c r="J50" s="464">
        <v>0</v>
      </c>
      <c r="K50" s="464">
        <v>0</v>
      </c>
      <c r="L50" s="460">
        <f>_xlfn.IFERROR(H50-K50,"")</f>
        <v>0</v>
      </c>
      <c r="M50" s="456">
        <f>E50</f>
        <v>0</v>
      </c>
      <c r="N50" s="456">
        <f>H50</f>
        <v>0</v>
      </c>
    </row>
    <row customHeight="1" ht="14.25">
      <c r="A51" s="384"/>
      <c r="B51" s="461" t="s">
        <v>64</v>
      </c>
      <c r="C51" s="454" t="s">
        <v>19</v>
      </c>
      <c r="D51" s="462">
        <v>140000</v>
      </c>
      <c r="E51" s="456">
        <f>_xlfn.IFERROR(SUM(延炼月报表!E51,永炼月报表!E51,榆炼月报表!E51,石化厂月报表!E51),"")</f>
        <v>128701</v>
      </c>
      <c r="F51" s="463">
        <f>_xlfn.IFERROR(E51/D51*100,"")</f>
        <v>91.9292857142857</v>
      </c>
      <c r="G51" s="462">
        <v>1350000</v>
      </c>
      <c r="H51" s="456">
        <f>_xlfn.IFERROR(SUM(延炼月报表!H51,永炼月报表!H51,榆炼月报表!H51,石化厂月报表!H51),"")</f>
        <v>1156621</v>
      </c>
      <c r="I51" s="457">
        <f>_xlfn.IFERROR(H51/G51*100,"")</f>
        <v>85.6756296296296</v>
      </c>
      <c r="J51" s="464">
        <v>0</v>
      </c>
      <c r="K51" s="464">
        <v>0</v>
      </c>
      <c r="L51" s="460">
        <f>_xlfn.IFERROR(H51-K51,"")</f>
        <v>1156621</v>
      </c>
      <c r="M51" s="456">
        <f>E51</f>
        <v>128701</v>
      </c>
      <c r="N51" s="456">
        <f>H51</f>
        <v>1156621</v>
      </c>
    </row>
    <row customHeight="1" ht="14.25">
      <c r="A52" s="384"/>
      <c r="B52" s="461" t="s">
        <v>65</v>
      </c>
      <c r="C52" s="454" t="s">
        <v>19</v>
      </c>
      <c r="D52" s="462">
        <v>7900</v>
      </c>
      <c r="E52" s="456">
        <f>_xlfn.IFERROR(SUM(延炼月报表!E52,永炼月报表!E52,榆炼月报表!E52,石化厂月报表!E52),"")</f>
        <v>7702</v>
      </c>
      <c r="F52" s="463">
        <f>_xlfn.IFERROR(E52/D52*100,"")</f>
        <v>97.4936708860759</v>
      </c>
      <c r="G52" s="462" t="str">
        <f>_xlfn.IFERROR(IF(取值!D79=0,"",取值!D79),"")</f>
        <v/>
      </c>
      <c r="H52" s="456">
        <f>_xlfn.IFERROR(SUM(延炼月报表!H52,永炼月报表!H52,榆炼月报表!H52,石化厂月报表!H52),"")</f>
        <v>84226.96</v>
      </c>
      <c r="I52" s="457" t="str">
        <f>_xlfn.IFERROR(H52/G52*100,"")</f>
        <v/>
      </c>
      <c r="J52" s="464">
        <v>0</v>
      </c>
      <c r="K52" s="464">
        <v>0</v>
      </c>
      <c r="L52" s="460">
        <f>_xlfn.IFERROR(H52-K52,"")</f>
        <v>84226.96</v>
      </c>
      <c r="M52" s="456">
        <f>E52</f>
        <v>7702</v>
      </c>
      <c r="N52" s="456">
        <f>H52</f>
        <v>84226.96</v>
      </c>
    </row>
    <row customHeight="1" ht="14.25">
      <c r="A53" s="384"/>
      <c r="B53" s="461" t="s">
        <v>66</v>
      </c>
      <c r="C53" s="454" t="s">
        <v>19</v>
      </c>
      <c r="D53" s="462">
        <v>26199.939</v>
      </c>
      <c r="E53" s="456">
        <f>_xlfn.IFERROR(SUM(延炼月报表!E53,永炼月报表!E53,榆炼月报表!E53,石化厂月报表!E53),"")</f>
        <v>27308</v>
      </c>
      <c r="F53" s="463">
        <f>_xlfn.IFERROR(E53/D53*100,"")</f>
        <v>104.229250304743</v>
      </c>
      <c r="G53" s="462">
        <v>300000</v>
      </c>
      <c r="H53" s="456">
        <f>_xlfn.IFERROR(SUM(延炼月报表!H53,永炼月报表!H53,榆炼月报表!H53,石化厂月报表!H53),"")</f>
        <v>292563</v>
      </c>
      <c r="I53" s="457">
        <f>_xlfn.IFERROR(H53/G53*100,"")</f>
        <v>97.521</v>
      </c>
      <c r="J53" s="464">
        <v>0</v>
      </c>
      <c r="K53" s="464">
        <v>0</v>
      </c>
      <c r="L53" s="460">
        <f>_xlfn.IFERROR(H53-K53,"")</f>
        <v>292563</v>
      </c>
      <c r="M53" s="456">
        <f>E53</f>
        <v>27308</v>
      </c>
      <c r="N53" s="456">
        <f>H53</f>
        <v>292563</v>
      </c>
    </row>
    <row customHeight="1" ht="14.25">
      <c r="A54" s="384"/>
      <c r="B54" s="461" t="s">
        <v>67</v>
      </c>
      <c r="C54" s="454" t="s">
        <v>19</v>
      </c>
      <c r="D54" s="462" t="str">
        <f>_xlfn.IFERROR(IF(取值!C81=0,"",取值!C81),"")</f>
        <v/>
      </c>
      <c r="E54" s="456">
        <f>_xlfn.IFERROR(SUM(延炼月报表!E54,永炼月报表!E54,榆炼月报表!E54,石化厂月报表!E54),"")</f>
        <v>4995</v>
      </c>
      <c r="F54" s="463" t="str">
        <f>_xlfn.IFERROR(E54/D54*100,"")</f>
        <v/>
      </c>
      <c r="G54" s="462">
        <v>50000</v>
      </c>
      <c r="H54" s="456">
        <f>_xlfn.IFERROR(SUM(延炼月报表!H54,永炼月报表!H54,榆炼月报表!H54,石化厂月报表!H54),"")</f>
        <v>54371</v>
      </c>
      <c r="I54" s="457">
        <f>_xlfn.IFERROR(H54/G54*100,"")</f>
        <v>108.742</v>
      </c>
      <c r="J54" s="464">
        <v>0</v>
      </c>
      <c r="K54" s="464">
        <v>0</v>
      </c>
      <c r="L54" s="460">
        <f>_xlfn.IFERROR(H54-K54,"")</f>
        <v>54371</v>
      </c>
      <c r="M54" s="456">
        <f>E54</f>
        <v>4995</v>
      </c>
      <c r="N54" s="456">
        <f>H54</f>
        <v>54371</v>
      </c>
    </row>
    <row customHeight="1" ht="14.25">
      <c r="A55" s="384"/>
      <c r="B55" s="461" t="s">
        <v>68</v>
      </c>
      <c r="C55" s="454" t="s">
        <v>19</v>
      </c>
      <c r="D55" s="462">
        <v>4200</v>
      </c>
      <c r="E55" s="456">
        <f>_xlfn.IFERROR(SUM(延炼月报表!E55,永炼月报表!E55,榆炼月报表!E55,石化厂月报表!E55),"")</f>
        <v>5117.64</v>
      </c>
      <c r="F55" s="463">
        <f>_xlfn.IFERROR(E55/D55*100,"")</f>
        <v>121.848571428571</v>
      </c>
      <c r="G55" s="462">
        <v>41326</v>
      </c>
      <c r="H55" s="456">
        <f>_xlfn.IFERROR(SUM(延炼月报表!H55,永炼月报表!H55,榆炼月报表!H55,石化厂月报表!H55),"")</f>
        <v>45083.6</v>
      </c>
      <c r="I55" s="457">
        <f>_xlfn.IFERROR(H55/G55*100,"")</f>
        <v>109.09258094178</v>
      </c>
      <c r="J55" s="464">
        <v>0</v>
      </c>
      <c r="K55" s="464">
        <v>0</v>
      </c>
      <c r="L55" s="460">
        <f>_xlfn.IFERROR(H55-K55,"")</f>
        <v>45083.6</v>
      </c>
      <c r="M55" s="456">
        <f>E55</f>
        <v>5117.64</v>
      </c>
      <c r="N55" s="456">
        <f>H55</f>
        <v>45083.6</v>
      </c>
    </row>
    <row customHeight="1" ht="14.25">
      <c r="A56" s="384"/>
      <c r="B56" s="461" t="s">
        <v>69</v>
      </c>
      <c r="C56" s="454" t="s">
        <v>19</v>
      </c>
      <c r="D56" s="462" t="str">
        <f>_xlfn.IFERROR(IF(取值!C83=0,"",取值!C83),"")</f>
        <v/>
      </c>
      <c r="E56" s="456">
        <f>_xlfn.IFERROR(SUM(延炼月报表!E56,永炼月报表!E56,榆炼月报表!E56,石化厂月报表!E56),"")</f>
        <v>6938.88</v>
      </c>
      <c r="F56" s="463" t="str">
        <f>_xlfn.IFERROR(E56/D56*100,"")</f>
        <v/>
      </c>
      <c r="G56" s="462" t="str">
        <f>_xlfn.IFERROR(IF(取值!D83=0,"",取值!D83),"")</f>
        <v/>
      </c>
      <c r="H56" s="456">
        <f>_xlfn.IFERROR(SUM(延炼月报表!H56,永炼月报表!H56,榆炼月报表!H56,石化厂月报表!H56),"")</f>
        <v>6938.88</v>
      </c>
      <c r="I56" s="457" t="str">
        <f>_xlfn.IFERROR(H56/G56*100,"")</f>
        <v/>
      </c>
      <c r="J56" s="464">
        <v>0</v>
      </c>
      <c r="K56" s="464">
        <v>0</v>
      </c>
      <c r="L56" s="460">
        <f>_xlfn.IFERROR(H56-K56,"")</f>
        <v>6938.88</v>
      </c>
      <c r="M56" s="477">
        <f>E56</f>
        <v>6938.88</v>
      </c>
      <c r="N56" s="477">
        <f>H56</f>
        <v>6938.88</v>
      </c>
    </row>
    <row customHeight="1" ht="14.25">
      <c r="A57" s="384"/>
      <c r="B57" s="461" t="s">
        <v>70</v>
      </c>
      <c r="C57" s="454" t="s">
        <v>19</v>
      </c>
      <c r="D57" s="462">
        <v>5299.5702</v>
      </c>
      <c r="E57" s="456">
        <f>_xlfn.IFERROR(SUM(延炼月报表!E57,永炼月报表!E57,榆炼月报表!E57,石化厂月报表!E57),"")</f>
        <v>5307</v>
      </c>
      <c r="F57" s="463">
        <f>_xlfn.IFERROR(E57/D57*100,"")</f>
        <v>100.140196274785</v>
      </c>
      <c r="G57" s="462">
        <v>55000</v>
      </c>
      <c r="H57" s="456">
        <f>_xlfn.IFERROR(SUM(延炼月报表!H57,永炼月报表!H57,榆炼月报表!H57,石化厂月报表!H57),"")</f>
        <v>47549</v>
      </c>
      <c r="I57" s="457">
        <f>_xlfn.IFERROR(H57/G57*100,"")</f>
        <v>86.4527272727273</v>
      </c>
      <c r="J57" s="464">
        <v>0</v>
      </c>
      <c r="K57" s="464">
        <v>0</v>
      </c>
      <c r="L57" s="460">
        <f>_xlfn.IFERROR(H57-K57,"")</f>
        <v>47549</v>
      </c>
      <c r="M57" s="456">
        <f>E57</f>
        <v>5307</v>
      </c>
      <c r="N57" s="456">
        <f>H57</f>
        <v>47549</v>
      </c>
    </row>
    <row customHeight="1" ht="14.25">
      <c r="A58" s="384"/>
      <c r="B58" s="461" t="s">
        <v>71</v>
      </c>
      <c r="C58" s="454" t="s">
        <v>19</v>
      </c>
      <c r="D58" s="462" t="str">
        <f>_xlfn.IFERROR(IF(取值!C85=0,"",取值!C85),"")</f>
        <v/>
      </c>
      <c r="E58" s="456">
        <f>_xlfn.IFERROR(SUM(延炼月报表!E58,永炼月报表!E58,榆炼月报表!E58,石化厂月报表!E58),"")</f>
        <v>868.74</v>
      </c>
      <c r="F58" s="463" t="str">
        <f>_xlfn.IFERROR(E58/D58*100,"")</f>
        <v/>
      </c>
      <c r="G58" s="462" t="str">
        <f>_xlfn.IFERROR(IF(取值!D85=0,"",取值!D85),"")</f>
        <v/>
      </c>
      <c r="H58" s="456">
        <f>_xlfn.IFERROR(SUM(延炼月报表!H58,永炼月报表!H58,榆炼月报表!H58,石化厂月报表!H58),"")</f>
        <v>6861.36</v>
      </c>
      <c r="I58" s="457" t="str">
        <f>_xlfn.IFERROR(H58/G58*100,"")</f>
        <v/>
      </c>
      <c r="J58" s="464">
        <v>0</v>
      </c>
      <c r="K58" s="464">
        <v>0</v>
      </c>
      <c r="L58" s="460">
        <f>_xlfn.IFERROR(H58-K58,"")</f>
        <v>6861.36</v>
      </c>
      <c r="M58" s="456">
        <f>E58</f>
        <v>868.74</v>
      </c>
      <c r="N58" s="456">
        <f>H58</f>
        <v>6861.36</v>
      </c>
    </row>
    <row customHeight="1" ht="14.25">
      <c r="A59" s="384"/>
      <c r="B59" s="461" t="s">
        <v>72</v>
      </c>
      <c r="C59" s="454" t="s">
        <v>19</v>
      </c>
      <c r="D59" s="462" t="str">
        <f>_xlfn.IFERROR(IF(取值!C86=0,"",取值!C86),"")</f>
        <v/>
      </c>
      <c r="E59" s="456">
        <f>_xlfn.IFERROR(SUM(延炼月报表!E59,永炼月报表!E59,榆炼月报表!E59,石化厂月报表!E59),"")</f>
        <v>601.26</v>
      </c>
      <c r="F59" s="463" t="str">
        <f>_xlfn.IFERROR(E59/D59*100,"")</f>
        <v/>
      </c>
      <c r="G59" s="462" t="str">
        <f>_xlfn.IFERROR(IF(取值!D86=0,"",取值!D86),"")</f>
        <v/>
      </c>
      <c r="H59" s="456">
        <f>_xlfn.IFERROR(SUM(延炼月报表!H59,永炼月报表!H59,榆炼月报表!H59,石化厂月报表!H59),"")</f>
        <v>7379.16</v>
      </c>
      <c r="I59" s="457" t="str">
        <f>_xlfn.IFERROR(H59/G59*100,"")</f>
        <v/>
      </c>
      <c r="J59" s="464">
        <v>0</v>
      </c>
      <c r="K59" s="464">
        <v>0</v>
      </c>
      <c r="L59" s="460">
        <f>_xlfn.IFERROR(H59-K59,"")</f>
        <v>7379.16</v>
      </c>
      <c r="M59" s="456">
        <f>E59</f>
        <v>601.26</v>
      </c>
      <c r="N59" s="456">
        <f>H59</f>
        <v>7379.16</v>
      </c>
    </row>
    <row customHeight="1" ht="14.25">
      <c r="A60" s="384"/>
      <c r="B60" s="478" t="s">
        <v>73</v>
      </c>
      <c r="C60" s="454" t="s">
        <v>19</v>
      </c>
      <c r="D60" s="462" t="str">
        <f>_xlfn.IFERROR(IF(取值!C87=0,"",取值!C87),"")</f>
        <v/>
      </c>
      <c r="E60" s="456">
        <f>_xlfn.IFERROR(SUM(延炼月报表!E60,永炼月报表!E60,榆炼月报表!E60,石化厂月报表!E60),"")</f>
        <v>4425.8</v>
      </c>
      <c r="F60" s="463" t="str">
        <f>_xlfn.IFERROR(E60/D60*100,"")</f>
        <v/>
      </c>
      <c r="G60" s="462">
        <v>25313</v>
      </c>
      <c r="H60" s="456">
        <f>_xlfn.IFERROR(SUM(延炼月报表!H60,永炼月报表!H60,榆炼月报表!H60,石化厂月报表!H60),"")</f>
        <v>30850.34</v>
      </c>
      <c r="I60" s="457">
        <f>_xlfn.IFERROR(H60/G60*100,"")</f>
        <v>121.875479002884</v>
      </c>
      <c r="J60" s="464">
        <v>0</v>
      </c>
      <c r="K60" s="464">
        <v>0</v>
      </c>
      <c r="L60" s="460">
        <f>_xlfn.IFERROR(H60-K60,"")</f>
        <v>30850.34</v>
      </c>
      <c r="M60" s="456">
        <f>E60</f>
        <v>4425.8</v>
      </c>
      <c r="N60" s="456">
        <f>H60</f>
        <v>30850.34</v>
      </c>
    </row>
    <row customHeight="1" ht="14.25">
      <c r="A61" s="384"/>
      <c r="B61" s="478" t="s">
        <v>74</v>
      </c>
      <c r="C61" s="479" t="s">
        <v>19</v>
      </c>
      <c r="D61" s="462" t="str">
        <f>_xlfn.IFERROR(IF(取值!C88=0,"",取值!C88),"")</f>
        <v/>
      </c>
      <c r="E61" s="456">
        <f>_xlfn.IFERROR(SUM(延炼月报表!E61,永炼月报表!E61,榆炼月报表!E61,石化厂月报表!E61),"")</f>
        <v>0</v>
      </c>
      <c r="F61" s="463" t="str">
        <f>_xlfn.IFERROR(E61/D61*100,"")</f>
        <v/>
      </c>
      <c r="G61" s="462" t="str">
        <f>_xlfn.IFERROR(IF(取值!D88=0,"",取值!D88),"")</f>
        <v/>
      </c>
      <c r="H61" s="456">
        <f>_xlfn.IFERROR(SUM(延炼月报表!H61,永炼月报表!H61,榆炼月报表!H61,石化厂月报表!H61),"")</f>
        <v>177.14</v>
      </c>
      <c r="I61" s="457" t="str">
        <f>_xlfn.IFERROR(H61/G61*100,"")</f>
        <v/>
      </c>
      <c r="J61" s="464">
        <v>0</v>
      </c>
      <c r="K61" s="464">
        <v>0</v>
      </c>
      <c r="L61" s="460">
        <f>_xlfn.IFERROR(H61-K61,"")</f>
        <v>177.14</v>
      </c>
      <c r="M61" s="456">
        <f>E61</f>
        <v>0</v>
      </c>
      <c r="N61" s="456">
        <f>H61</f>
        <v>177.14</v>
      </c>
    </row>
    <row customHeight="1" ht="14.25">
      <c r="A62" s="384"/>
      <c r="B62" s="461" t="s">
        <v>75</v>
      </c>
      <c r="C62" s="454" t="s">
        <v>19</v>
      </c>
      <c r="D62" s="462">
        <v>18000.055</v>
      </c>
      <c r="E62" s="456">
        <f>_xlfn.IFERROR(SUM(延炼月报表!E62,永炼月报表!E62,榆炼月报表!E62,石化厂月报表!E62),"")</f>
        <v>18963</v>
      </c>
      <c r="F62" s="463">
        <f>_xlfn.IFERROR(E62/D62*100,"")</f>
        <v>105.349678098206</v>
      </c>
      <c r="G62" s="462">
        <v>210000</v>
      </c>
      <c r="H62" s="456">
        <f>_xlfn.IFERROR(SUM(延炼月报表!H62,永炼月报表!H62,榆炼月报表!H62,石化厂月报表!H62),"")</f>
        <v>210582</v>
      </c>
      <c r="I62" s="457">
        <f>_xlfn.IFERROR(H62/G62*100,"")</f>
        <v>100.277142857143</v>
      </c>
      <c r="J62" s="464">
        <v>0</v>
      </c>
      <c r="K62" s="464">
        <v>0</v>
      </c>
      <c r="L62" s="460">
        <f>_xlfn.IFERROR(H62-K62,"")</f>
        <v>210582</v>
      </c>
      <c r="M62" s="456">
        <f>E62</f>
        <v>18963</v>
      </c>
      <c r="N62" s="456">
        <f>H62</f>
        <v>210582</v>
      </c>
    </row>
    <row customHeight="1" ht="14.25">
      <c r="A63" s="384"/>
      <c r="B63" s="461" t="s">
        <v>76</v>
      </c>
      <c r="C63" s="454" t="s">
        <v>19</v>
      </c>
      <c r="D63" s="462" t="str">
        <f>_xlfn.IFERROR(IF(取值!C90=0,"",取值!C90),"")</f>
        <v/>
      </c>
      <c r="E63" s="456">
        <f>_xlfn.IFERROR(SUM(延炼月报表!E63,永炼月报表!E63,榆炼月报表!E63,石化厂月报表!E63),"")</f>
        <v>0</v>
      </c>
      <c r="F63" s="463" t="str">
        <f>_xlfn.IFERROR(E63/D63*100,"")</f>
        <v/>
      </c>
      <c r="G63" s="462" t="str">
        <f>_xlfn.IFERROR(IF(取值!D90=0,"",取值!D90),"")</f>
        <v/>
      </c>
      <c r="H63" s="456">
        <f>_xlfn.IFERROR(SUM(延炼月报表!H63,永炼月报表!H63,榆炼月报表!H63,石化厂月报表!H63),"")</f>
        <v>0</v>
      </c>
      <c r="I63" s="457" t="str">
        <f>_xlfn.IFERROR(H63/G63*100,"")</f>
        <v/>
      </c>
      <c r="J63" s="464">
        <v>0</v>
      </c>
      <c r="K63" s="464">
        <v>0</v>
      </c>
      <c r="L63" s="460">
        <f>_xlfn.IFERROR(H63-K63,"")</f>
        <v>0</v>
      </c>
      <c r="M63" s="456">
        <f>E63</f>
        <v>0</v>
      </c>
      <c r="N63" s="456">
        <f>H63</f>
        <v>0</v>
      </c>
    </row>
    <row customHeight="1" ht="14.25">
      <c r="A64" s="384"/>
      <c r="B64" s="461" t="s">
        <v>77</v>
      </c>
      <c r="C64" s="454" t="s">
        <v>19</v>
      </c>
      <c r="D64" s="462">
        <v>26900</v>
      </c>
      <c r="E64" s="456">
        <f>_xlfn.IFERROR(SUM(延炼月报表!E64,永炼月报表!E64,榆炼月报表!E64,石化厂月报表!E64),"")</f>
        <v>30759</v>
      </c>
      <c r="F64" s="463">
        <f>_xlfn.IFERROR(E64/D64*100,"")</f>
        <v>114.345724907063</v>
      </c>
      <c r="G64" s="462">
        <v>290000</v>
      </c>
      <c r="H64" s="456">
        <f>_xlfn.IFERROR(SUM(延炼月报表!H64,永炼月报表!H64,榆炼月报表!H64,石化厂月报表!H64),"")</f>
        <v>278660</v>
      </c>
      <c r="I64" s="457">
        <f>_xlfn.IFERROR(H64/G64*100,"")</f>
        <v>96.0896551724138</v>
      </c>
      <c r="J64" s="464">
        <v>0</v>
      </c>
      <c r="K64" s="464">
        <v>0</v>
      </c>
      <c r="L64" s="460">
        <f>_xlfn.IFERROR(H64-K64,"")</f>
        <v>278660</v>
      </c>
      <c r="M64" s="456">
        <f>E64</f>
        <v>30759</v>
      </c>
      <c r="N64" s="456">
        <f>H64</f>
        <v>278660</v>
      </c>
    </row>
    <row customHeight="1" ht="14.25">
      <c r="A65" s="384"/>
      <c r="B65" s="461" t="s">
        <v>78</v>
      </c>
      <c r="C65" s="454" t="s">
        <v>19</v>
      </c>
      <c r="D65" s="462" t="str">
        <f>_xlfn.IFERROR(IF(取值!C92=0,"",取值!C92),"")</f>
        <v/>
      </c>
      <c r="E65" s="456">
        <f>_xlfn.IFERROR(SUM(延炼月报表!E65,永炼月报表!E65,榆炼月报表!E65,石化厂月报表!E65),"")</f>
        <v>0</v>
      </c>
      <c r="F65" s="463" t="str">
        <f>_xlfn.IFERROR(E65/D65*100,"")</f>
        <v/>
      </c>
      <c r="G65" s="462" t="str">
        <f>_xlfn.IFERROR(IF(取值!D92=0,"",取值!D92),"")</f>
        <v/>
      </c>
      <c r="H65" s="456">
        <f>_xlfn.IFERROR(SUM(延炼月报表!H65,永炼月报表!H65,榆炼月报表!H65,石化厂月报表!H65),"")</f>
        <v>0</v>
      </c>
      <c r="I65" s="457" t="str">
        <f>_xlfn.IFERROR(H65/G65*100,"")</f>
        <v/>
      </c>
      <c r="J65" s="464">
        <v>0</v>
      </c>
      <c r="K65" s="464">
        <v>0</v>
      </c>
      <c r="L65" s="460">
        <f>_xlfn.IFERROR(H65-K65,"")</f>
        <v>0</v>
      </c>
      <c r="M65" s="456">
        <f>E65</f>
        <v>0</v>
      </c>
      <c r="N65" s="456">
        <f>H65</f>
        <v>0</v>
      </c>
    </row>
    <row customHeight="1" ht="14.25">
      <c r="A66" s="384"/>
      <c r="B66" s="461" t="s">
        <v>79</v>
      </c>
      <c r="C66" s="454" t="s">
        <v>19</v>
      </c>
      <c r="D66" s="462" t="str">
        <f>_xlfn.IFERROR(IF(取值!C93=0,"",取值!C93),"")</f>
        <v/>
      </c>
      <c r="E66" s="456">
        <f>_xlfn.IFERROR(SUM(延炼月报表!E66,永炼月报表!E66,榆炼月报表!E66,石化厂月报表!E66),"")</f>
        <v>0</v>
      </c>
      <c r="F66" s="463" t="str">
        <f>_xlfn.IFERROR(E66/D66*100,"")</f>
        <v/>
      </c>
      <c r="G66" s="462" t="str">
        <f>_xlfn.IFERROR(IF(取值!D93=0,"",取值!D93),"")</f>
        <v/>
      </c>
      <c r="H66" s="456">
        <f>_xlfn.IFERROR(SUM(延炼月报表!H66,永炼月报表!H66,榆炼月报表!H66,石化厂月报表!H66),"")</f>
        <v>2830</v>
      </c>
      <c r="I66" s="457" t="str">
        <f>_xlfn.IFERROR(H66/G66*100,"")</f>
        <v/>
      </c>
      <c r="J66" s="464">
        <v>0</v>
      </c>
      <c r="K66" s="464">
        <v>0</v>
      </c>
      <c r="L66" s="460">
        <f>_xlfn.IFERROR(H66-K66,"")</f>
        <v>2830</v>
      </c>
      <c r="M66" s="456">
        <f>E66</f>
        <v>0</v>
      </c>
      <c r="N66" s="456">
        <f>H66</f>
        <v>2830</v>
      </c>
    </row>
    <row customHeight="1" ht="14.25">
      <c r="A67" s="384"/>
      <c r="B67" s="461" t="s">
        <v>80</v>
      </c>
      <c r="C67" s="454" t="s">
        <v>19</v>
      </c>
      <c r="D67" s="462" t="str">
        <f>_xlfn.IFERROR(IF(取值!C94=0,"",取值!C94),"")</f>
        <v/>
      </c>
      <c r="E67" s="480">
        <v>0</v>
      </c>
      <c r="F67" s="463" t="str">
        <f>_xlfn.IFERROR(E67/D67*100,"")</f>
        <v/>
      </c>
      <c r="G67" s="462" t="str">
        <f>_xlfn.IFERROR(IF(取值!D94=0,"",取值!D94),"")</f>
        <v/>
      </c>
      <c r="H67" s="480">
        <v>0</v>
      </c>
      <c r="I67" s="457" t="str">
        <f>_xlfn.IFERROR(H67/G67*100,"")</f>
        <v/>
      </c>
      <c r="J67" s="464">
        <v>0</v>
      </c>
      <c r="K67" s="464">
        <v>0</v>
      </c>
      <c r="L67" s="460">
        <f>_xlfn.IFERROR(H67-K67,"")</f>
        <v>0</v>
      </c>
      <c r="M67" s="456">
        <f>E67</f>
        <v>0</v>
      </c>
      <c r="N67" s="456">
        <f>H67</f>
        <v>0</v>
      </c>
    </row>
    <row customHeight="1" ht="14.25">
      <c r="A68" s="384"/>
      <c r="B68" s="453" t="s">
        <v>81</v>
      </c>
      <c r="C68" s="454"/>
      <c r="D68" s="472" t="str">
        <f>_xlfn.IFERROR(IF(取值!C95=0,"",取值!C95),"")</f>
        <v/>
      </c>
      <c r="E68" s="481"/>
      <c r="F68" s="463" t="str">
        <f>_xlfn.IFERROR(E68/D68*100,"")</f>
        <v/>
      </c>
      <c r="G68" s="472" t="str">
        <f>_xlfn.IFERROR(IF(取值!D95=0,"",取值!D95),"")</f>
        <v/>
      </c>
      <c r="H68" s="481"/>
      <c r="I68" s="457" t="str">
        <f>_xlfn.IFERROR(H68/G68*100,"")</f>
        <v/>
      </c>
      <c r="J68" s="459"/>
      <c r="K68" s="459"/>
      <c r="L68" s="460"/>
      <c r="M68" s="481">
        <f>E68</f>
        <v>0</v>
      </c>
      <c r="N68" s="481">
        <f>H68</f>
        <v>0</v>
      </c>
    </row>
    <row customHeight="1" ht="14.25">
      <c r="A69" s="384"/>
      <c r="B69" s="461" t="s">
        <v>82</v>
      </c>
      <c r="C69" s="454" t="s">
        <v>19</v>
      </c>
      <c r="D69" s="462">
        <v>940000</v>
      </c>
      <c r="E69" s="480">
        <v>988970</v>
      </c>
      <c r="F69" s="463">
        <f>_xlfn.IFERROR(E69/D69*100,"")</f>
        <v>105.209574468085</v>
      </c>
      <c r="G69" s="462">
        <v>10806867</v>
      </c>
      <c r="H69" s="480">
        <v>10880324.94</v>
      </c>
      <c r="I69" s="457">
        <f>_xlfn.IFERROR(H69/G69*100,"")</f>
        <v>100.679733913631</v>
      </c>
      <c r="J69" s="464">
        <v>0</v>
      </c>
      <c r="K69" s="464">
        <v>0</v>
      </c>
      <c r="L69" s="460">
        <f>_xlfn.IFERROR(H69-K69,"")</f>
        <v>10880324.94</v>
      </c>
      <c r="M69" s="456">
        <f>E69</f>
        <v>988970</v>
      </c>
      <c r="N69" s="456">
        <f>H69</f>
        <v>10880324.94</v>
      </c>
    </row>
    <row customHeight="1" ht="14.25">
      <c r="A70" s="384"/>
      <c r="B70" s="461" t="s">
        <v>83</v>
      </c>
      <c r="C70" s="454" t="s">
        <v>19</v>
      </c>
      <c r="D70" s="482">
        <v>1153000</v>
      </c>
      <c r="E70" s="456">
        <f>_xlfn.IFERROR(E31+E35+E41+E42+E46+E51+E52+E53+E54+E55+E56+E57+E58+E59+E60+E61+E63+E65+E66,"")</f>
        <v>1215856.62</v>
      </c>
      <c r="F70" s="463">
        <f>_xlfn.IFERROR(E70/D70*100,"")</f>
        <v>105.451571552472</v>
      </c>
      <c r="G70" s="482">
        <v>14113572</v>
      </c>
      <c r="H70" s="456">
        <f>H31+H35+H41+H42+H46+H51+H52+H53+H54+H55+H56+H57+H58+H59+H60+H61+H63+H65+H66</f>
        <v>13062842.72</v>
      </c>
      <c r="I70" s="457">
        <f>_xlfn.IFERROR(H70/G70*100,"")</f>
        <v>92.5551853209095</v>
      </c>
      <c r="J70" s="464">
        <v>0</v>
      </c>
      <c r="K70" s="464">
        <v>0</v>
      </c>
      <c r="L70" s="460">
        <f>_xlfn.IFERROR(H70-K70,"")</f>
        <v>13062842.72</v>
      </c>
      <c r="M70" s="456">
        <f>E70</f>
        <v>1215856.62</v>
      </c>
      <c r="N70" s="456">
        <f>H70</f>
        <v>13062842.72</v>
      </c>
    </row>
    <row customHeight="1" ht="14.25">
      <c r="A71" s="384"/>
      <c r="B71" s="461" t="s">
        <v>84</v>
      </c>
      <c r="C71" s="454" t="s">
        <v>85</v>
      </c>
      <c r="D71" s="483" t="str">
        <f>_xlfn.IFERROR(IF(取值!C98=0,"",取值!C98),"")</f>
        <v/>
      </c>
      <c r="E71" s="484"/>
      <c r="F71" s="463" t="str">
        <f>_xlfn.IFERROR(E71-D71,"")</f>
        <v/>
      </c>
      <c r="G71" s="483">
        <v>92.5</v>
      </c>
      <c r="H71" s="484"/>
      <c r="I71" s="457">
        <f>_xlfn.IFERROR(H71-G71,"")</f>
        <v>-92.5</v>
      </c>
      <c r="J71" s="485">
        <v>0</v>
      </c>
      <c r="K71" s="485">
        <v>0</v>
      </c>
      <c r="L71" s="486">
        <f>_xlfn.IFERROR(H71-K71,"")</f>
        <v>0</v>
      </c>
      <c r="M71" s="434"/>
      <c r="N71" s="434"/>
    </row>
    <row customHeight="1" ht="14.25">
      <c r="A72" s="384"/>
      <c r="B72" s="461" t="s">
        <v>86</v>
      </c>
      <c r="C72" s="454" t="s">
        <v>85</v>
      </c>
      <c r="D72" s="483">
        <v>6</v>
      </c>
      <c r="E72" s="487">
        <f>_xlfn.IFERROR(取值!K4/E6*100,"")</f>
        <v>6.42423756158654</v>
      </c>
      <c r="F72" s="463">
        <f>_xlfn.IFERROR(E72-D72,"")</f>
        <v>0.42423756158654</v>
      </c>
      <c r="G72" s="483">
        <v>5.55</v>
      </c>
      <c r="H72" s="487">
        <f>_xlfn.IFERROR(取值!V4/H6*100,"")</f>
        <v>5.79777077861769</v>
      </c>
      <c r="I72" s="457">
        <f>_xlfn.IFERROR(H72-G72,"")</f>
        <v>0.24777077861769</v>
      </c>
      <c r="J72" s="485">
        <v>0</v>
      </c>
      <c r="K72" s="485">
        <v>0</v>
      </c>
      <c r="L72" s="486">
        <f>_xlfn.IFERROR(H72-K72,"")</f>
        <v>5.79777077861769</v>
      </c>
      <c r="M72" s="487">
        <f>E72</f>
        <v>6.42423756158654</v>
      </c>
      <c r="N72" s="487">
        <f>H72</f>
        <v>5.79777077861769</v>
      </c>
    </row>
    <row customHeight="1" ht="14.25">
      <c r="A73" s="384"/>
      <c r="B73" s="461" t="s">
        <v>87</v>
      </c>
      <c r="C73" s="454" t="s">
        <v>85</v>
      </c>
      <c r="D73" s="483" t="str">
        <f>_xlfn.IFERROR(IF(取值!C100=0,"",取值!C100),"")</f>
        <v/>
      </c>
      <c r="E73" s="487">
        <f>_xlfn.IFERROR(取值!K5/E6*100,"")</f>
        <v>1.79772562424422</v>
      </c>
      <c r="F73" s="463" t="str">
        <f>_xlfn.IFERROR(E73-D73,"")</f>
        <v/>
      </c>
      <c r="G73" s="483">
        <v>1.95</v>
      </c>
      <c r="H73" s="487">
        <f>_xlfn.IFERROR(取值!V5/H6*100,"")</f>
        <v>1.59872642639272</v>
      </c>
      <c r="I73" s="457">
        <f>_xlfn.IFERROR(H73-G73,"")</f>
        <v>-0.35127357360728</v>
      </c>
      <c r="J73" s="485">
        <v>0</v>
      </c>
      <c r="K73" s="485">
        <v>0</v>
      </c>
      <c r="L73" s="486">
        <f>_xlfn.IFERROR(H73-K73,"")</f>
        <v>1.59872642639272</v>
      </c>
      <c r="M73" s="487">
        <f>E73</f>
        <v>1.79772562424422</v>
      </c>
      <c r="N73" s="487">
        <f>H73</f>
        <v>1.59872642639272</v>
      </c>
    </row>
    <row customHeight="1" ht="14.25">
      <c r="A74" s="384"/>
      <c r="B74" s="461" t="s">
        <v>88</v>
      </c>
      <c r="C74" s="488" t="s">
        <v>89</v>
      </c>
      <c r="D74" s="483">
        <v>76.9840237759205</v>
      </c>
      <c r="E74" s="489">
        <f>_xlfn.IFERROR(取值!K22,"")</f>
        <v>66.557147641147</v>
      </c>
      <c r="F74" s="463">
        <f>_xlfn.IFERROR(E74-D74,"")</f>
        <v>-10.4268761347735</v>
      </c>
      <c r="G74" s="483">
        <v>77.5</v>
      </c>
      <c r="H74" s="487">
        <f>_xlfn.IFERROR(取值!V22,"")</f>
        <v>69.9948491215933</v>
      </c>
      <c r="I74" s="457">
        <f>_xlfn.IFERROR(H74-G74,"")</f>
        <v>-7.5051508784067</v>
      </c>
      <c r="J74" s="485">
        <v>0</v>
      </c>
      <c r="K74" s="485">
        <v>0</v>
      </c>
      <c r="L74" s="486">
        <f>_xlfn.IFERROR(H74-K74,"")</f>
        <v>69.9948491215933</v>
      </c>
      <c r="M74" s="490">
        <f>E74</f>
        <v>66.557147641147</v>
      </c>
      <c r="N74" s="487">
        <f>H74</f>
        <v>69.9948491215933</v>
      </c>
    </row>
    <row customHeight="1" ht="14.25">
      <c r="A75" s="384"/>
      <c r="B75" s="461" t="s">
        <v>90</v>
      </c>
      <c r="C75" s="488" t="s">
        <v>91</v>
      </c>
      <c r="D75" s="483">
        <v>1.05005961854819</v>
      </c>
      <c r="E75" s="484">
        <v>1.03364404165342</v>
      </c>
      <c r="F75" s="463">
        <f>_xlfn.IFERROR(E75-D75,"")</f>
        <v>-0.01641557689477</v>
      </c>
      <c r="G75" s="483">
        <v>1.05</v>
      </c>
      <c r="H75" s="484">
        <v>1.03619948787585</v>
      </c>
      <c r="I75" s="457">
        <f>_xlfn.IFERROR(H75-G75,"")</f>
        <v>-0.01380051212415</v>
      </c>
      <c r="J75" s="485">
        <v>0</v>
      </c>
      <c r="K75" s="485">
        <v>0</v>
      </c>
      <c r="L75" s="486">
        <f>_xlfn.IFERROR(H75-K75,"")</f>
        <v>1.03619948787585</v>
      </c>
      <c r="M75" s="434" t="str">
        <f>_xlfn.IFERROR(100/M86,"")</f>
        <v/>
      </c>
      <c r="N75" s="434"/>
    </row>
    <row customHeight="1" ht="14.25">
      <c r="A76" s="384"/>
      <c r="B76" s="461" t="s">
        <v>92</v>
      </c>
      <c r="C76" s="454" t="s">
        <v>85</v>
      </c>
      <c r="D76" s="483" t="str">
        <f>_xlfn.IFERROR(IF(取值!C103=0,"",取值!C103),"")</f>
        <v/>
      </c>
      <c r="E76" s="484">
        <v>100</v>
      </c>
      <c r="F76" s="463" t="str">
        <f>_xlfn.IFERROR(E76-D76,"")</f>
        <v/>
      </c>
      <c r="G76" s="483">
        <v>100</v>
      </c>
      <c r="H76" s="484">
        <v>100</v>
      </c>
      <c r="I76" s="457">
        <f>_xlfn.IFERROR(H76-G76,"")</f>
        <v>0</v>
      </c>
      <c r="J76" s="464">
        <v>0</v>
      </c>
      <c r="K76" s="464">
        <v>0</v>
      </c>
      <c r="L76" s="486">
        <f>_xlfn.IFERROR(H76-K76,"")</f>
        <v>100</v>
      </c>
      <c r="M76" s="434"/>
      <c r="N76" s="434"/>
    </row>
    <row customHeight="1" ht="14.25">
      <c r="A77" s="384"/>
      <c r="B77" s="453" t="s">
        <v>93</v>
      </c>
      <c r="C77" s="491"/>
      <c r="D77" s="492"/>
      <c r="E77" s="487"/>
      <c r="F77" s="463"/>
      <c r="G77" s="492"/>
      <c r="H77" s="487"/>
      <c r="I77" s="457"/>
      <c r="J77" s="459"/>
      <c r="K77" s="459"/>
      <c r="L77" s="460"/>
      <c r="M77" s="434"/>
      <c r="N77" s="434"/>
    </row>
    <row customHeight="1" ht="14.25">
      <c r="A78" s="384"/>
      <c r="B78" s="461" t="s">
        <v>94</v>
      </c>
      <c r="C78" s="454" t="s">
        <v>85</v>
      </c>
      <c r="D78" s="483">
        <v>48.565625</v>
      </c>
      <c r="E78" s="484">
        <v>50.3520817051865</v>
      </c>
      <c r="F78" s="463">
        <f>_xlfn.IFERROR(E78-D78,"")</f>
        <v>1.7864567051865</v>
      </c>
      <c r="G78" s="483">
        <v>48.97</v>
      </c>
      <c r="H78" s="484">
        <v>49.615462157834</v>
      </c>
      <c r="I78" s="457">
        <f>_xlfn.IFERROR(H78-G78,"")</f>
        <v>0.645462157834004</v>
      </c>
      <c r="J78" s="485">
        <v>0</v>
      </c>
      <c r="K78" s="485">
        <v>0</v>
      </c>
      <c r="L78" s="486">
        <f>_xlfn.IFERROR(H78-K78,"")</f>
        <v>49.615462157834</v>
      </c>
      <c r="M78" s="434"/>
      <c r="N78" s="434"/>
    </row>
    <row customHeight="1" ht="14.25">
      <c r="A79" s="384"/>
      <c r="B79" s="461" t="s">
        <v>95</v>
      </c>
      <c r="C79" s="454" t="s">
        <v>85</v>
      </c>
      <c r="D79" s="483">
        <v>86.3124748490945</v>
      </c>
      <c r="E79" s="484">
        <v>87.0798543771647</v>
      </c>
      <c r="F79" s="463">
        <f>_xlfn.IFERROR(E79-D79,"")</f>
        <v>0.767379528070194</v>
      </c>
      <c r="G79" s="483">
        <v>86.03</v>
      </c>
      <c r="H79" s="484">
        <v>86.9277577081276</v>
      </c>
      <c r="I79" s="457">
        <f>_xlfn.IFERROR(H79-G79,"")</f>
        <v>0.8977577081276</v>
      </c>
      <c r="J79" s="485">
        <v>0</v>
      </c>
      <c r="K79" s="485">
        <v>0</v>
      </c>
      <c r="L79" s="486">
        <f>_xlfn.IFERROR(H79-K79,"")</f>
        <v>86.9277577081276</v>
      </c>
      <c r="M79" s="434"/>
      <c r="N79" s="434"/>
    </row>
    <row customHeight="1" ht="14.25">
      <c r="A80" s="384"/>
      <c r="B80" s="461" t="s">
        <v>96</v>
      </c>
      <c r="C80" s="454" t="s">
        <v>85</v>
      </c>
      <c r="D80" s="483">
        <v>69.2173038229376</v>
      </c>
      <c r="E80" s="484">
        <v>72.0460532639672</v>
      </c>
      <c r="F80" s="463">
        <f>_xlfn.IFERROR(E80-D80,"")</f>
        <v>2.8287494410296</v>
      </c>
      <c r="G80" s="483">
        <v>69.77</v>
      </c>
      <c r="H80" s="484">
        <v>71.2790976016126</v>
      </c>
      <c r="I80" s="457">
        <f>_xlfn.IFERROR(H80-G80,"")</f>
        <v>1.50909760161261</v>
      </c>
      <c r="J80" s="485">
        <v>0</v>
      </c>
      <c r="K80" s="485">
        <v>0</v>
      </c>
      <c r="L80" s="486">
        <f>_xlfn.IFERROR(H80-K80,"")</f>
        <v>71.2790976016126</v>
      </c>
      <c r="M80" s="434"/>
      <c r="N80" s="434"/>
    </row>
    <row customHeight="1" ht="14.25">
      <c r="A81" s="384"/>
      <c r="B81" s="461" t="s">
        <v>97</v>
      </c>
      <c r="C81" s="454" t="s">
        <v>85</v>
      </c>
      <c r="D81" s="483">
        <v>17.0951710261569</v>
      </c>
      <c r="E81" s="484">
        <v>15.0338011131977</v>
      </c>
      <c r="F81" s="463">
        <f>_xlfn.IFERROR(E81-D81,"")</f>
        <v>-2.0613699129592</v>
      </c>
      <c r="G81" s="483">
        <v>16.26</v>
      </c>
      <c r="H81" s="484">
        <v>15.6486601065151</v>
      </c>
      <c r="I81" s="457">
        <f>_xlfn.IFERROR(H81-G81,"")</f>
        <v>-0.611339893484901</v>
      </c>
      <c r="J81" s="485">
        <v>0</v>
      </c>
      <c r="K81" s="485">
        <v>0</v>
      </c>
      <c r="L81" s="486">
        <f>_xlfn.IFERROR(H81-K81,"")</f>
        <v>15.6486601065151</v>
      </c>
      <c r="M81" s="434"/>
      <c r="N81" s="434"/>
    </row>
    <row customHeight="1" ht="14.25">
      <c r="A82" s="384"/>
      <c r="B82" s="461" t="s">
        <v>98</v>
      </c>
      <c r="C82" s="454" t="s">
        <v>85</v>
      </c>
      <c r="D82" s="483">
        <v>92.4537414965986</v>
      </c>
      <c r="E82" s="484">
        <v>93.24044889683</v>
      </c>
      <c r="F82" s="463">
        <f>_xlfn.IFERROR(E82-D82,"")</f>
        <v>0.786707400231407</v>
      </c>
      <c r="G82" s="483">
        <v>92.68</v>
      </c>
      <c r="H82" s="484">
        <v>93.0310664074853</v>
      </c>
      <c r="I82" s="457">
        <f>_xlfn.IFERROR(H82-G82,"")</f>
        <v>0.351066407485291</v>
      </c>
      <c r="J82" s="485">
        <v>0</v>
      </c>
      <c r="K82" s="485">
        <v>0</v>
      </c>
      <c r="L82" s="486">
        <f>_xlfn.IFERROR(H82-K82,"")</f>
        <v>93.0310664074853</v>
      </c>
      <c r="M82" s="434"/>
      <c r="N82" s="434"/>
    </row>
    <row customHeight="1" ht="14.25">
      <c r="A83" s="384"/>
      <c r="B83" s="461" t="s">
        <v>99</v>
      </c>
      <c r="C83" s="454" t="s">
        <v>85</v>
      </c>
      <c r="D83" s="483">
        <v>25.561438426959</v>
      </c>
      <c r="E83" s="484">
        <v>27.5188610367486</v>
      </c>
      <c r="F83" s="463">
        <f>_xlfn.IFERROR(E83-D83,"")</f>
        <v>1.9574226097896</v>
      </c>
      <c r="G83" s="483">
        <v>24.69</v>
      </c>
      <c r="H83" s="484">
        <v>27.1895443068888</v>
      </c>
      <c r="I83" s="457">
        <f>_xlfn.IFERROR(H83-G83,"")</f>
        <v>2.4995443068888</v>
      </c>
      <c r="J83" s="485">
        <v>0</v>
      </c>
      <c r="K83" s="485">
        <v>0</v>
      </c>
      <c r="L83" s="486">
        <f>_xlfn.IFERROR(H83-K83,"")</f>
        <v>27.1895443068888</v>
      </c>
      <c r="M83" s="434"/>
      <c r="N83" s="434"/>
    </row>
    <row customHeight="1" ht="14.25">
      <c r="A84" s="384"/>
      <c r="B84" s="461" t="s">
        <v>100</v>
      </c>
      <c r="C84" s="454" t="s">
        <v>85</v>
      </c>
      <c r="D84" s="483" t="str">
        <f>_xlfn.IFERROR(IF(取值!C111=0,"",取值!C111),"")</f>
        <v/>
      </c>
      <c r="E84" s="487">
        <f>_xlfn.IFERROR(E64/(延炼月报表!E64/延炼月报表!E84+石化厂月报表!E64/石化厂月报表!E84),"")</f>
        <v>33.1880320669824</v>
      </c>
      <c r="F84" s="463" t="str">
        <f>_xlfn.IFERROR(E84-D84,"")</f>
        <v/>
      </c>
      <c r="G84" s="483" t="str">
        <f>_xlfn.IFERROR(IF(取值!D111=0,"",取值!D111),"")</f>
        <v/>
      </c>
      <c r="H84" s="487">
        <f>_xlfn.IFERROR(H64/(延炼月报表!H64/延炼月报表!H84+石化厂月报表!H64/石化厂月报表!H84),"")</f>
        <v>29.6536916634553</v>
      </c>
      <c r="I84" s="457" t="str">
        <f>_xlfn.IFERROR(H84-G84,"")</f>
        <v/>
      </c>
      <c r="J84" s="485">
        <v>0</v>
      </c>
      <c r="K84" s="485">
        <v>0</v>
      </c>
      <c r="L84" s="486">
        <f>_xlfn.IFERROR(H84-K84,"")</f>
        <v>29.6536916634553</v>
      </c>
      <c r="M84" s="487">
        <f>E84</f>
        <v>33.1880320669824</v>
      </c>
      <c r="N84" s="487">
        <f>H84</f>
        <v>29.6536916634553</v>
      </c>
    </row>
    <row customHeight="1" ht="14.25">
      <c r="A85" s="384"/>
      <c r="B85" s="461" t="s">
        <v>101</v>
      </c>
      <c r="C85" s="454" t="s">
        <v>85</v>
      </c>
      <c r="D85" s="483">
        <v>43.5</v>
      </c>
      <c r="E85" s="484">
        <v>39.6903746914965</v>
      </c>
      <c r="F85" s="463">
        <f>_xlfn.IFERROR(E85-D85,"")</f>
        <v>-3.8096253085035</v>
      </c>
      <c r="G85" s="483">
        <v>40</v>
      </c>
      <c r="H85" s="484">
        <v>37.0466462535742</v>
      </c>
      <c r="I85" s="457">
        <f>_xlfn.IFERROR(H85-G85,"")</f>
        <v>-2.9533537464258</v>
      </c>
      <c r="J85" s="485">
        <v>0</v>
      </c>
      <c r="K85" s="485">
        <v>0</v>
      </c>
      <c r="L85" s="486">
        <f>_xlfn.IFERROR(H85-K85,"")</f>
        <v>37.0466462535742</v>
      </c>
      <c r="M85" s="434"/>
      <c r="N85" s="434"/>
    </row>
    <row customHeight="1" ht="14.25">
      <c r="A86" s="384"/>
      <c r="B86" s="461" t="s">
        <v>102</v>
      </c>
      <c r="C86" s="454" t="s">
        <v>85</v>
      </c>
      <c r="D86" s="483" t="str">
        <f>_xlfn.IFERROR(IF(取值!C113=0,"",取值!C113),"")</f>
        <v/>
      </c>
      <c r="E86" s="484">
        <v>96.745103701309</v>
      </c>
      <c r="F86" s="463" t="str">
        <f>_xlfn.IFERROR(E86-D86,"")</f>
        <v/>
      </c>
      <c r="G86" s="483" t="str">
        <f>_xlfn.IFERROR(IF(取值!D113=0,"",取值!D113),"")</f>
        <v/>
      </c>
      <c r="H86" s="484">
        <v>96.5065136299134</v>
      </c>
      <c r="I86" s="457" t="str">
        <f>_xlfn.IFERROR(H86-G86,"")</f>
        <v/>
      </c>
      <c r="J86" s="485">
        <v>0</v>
      </c>
      <c r="K86" s="485">
        <v>0</v>
      </c>
      <c r="L86" s="486">
        <f>_xlfn.IFERROR(H86-K86,"")</f>
        <v>96.5065136299134</v>
      </c>
      <c r="M86" s="434"/>
      <c r="N86" s="434"/>
    </row>
    <row customHeight="1" ht="14.25">
      <c r="A87" s="384"/>
      <c r="B87" s="461" t="s">
        <v>103</v>
      </c>
      <c r="C87" s="454" t="s">
        <v>85</v>
      </c>
      <c r="D87" s="483">
        <v>98.244635193133</v>
      </c>
      <c r="E87" s="484">
        <v>98.9234284383709</v>
      </c>
      <c r="F87" s="463">
        <f>_xlfn.IFERROR(E87-D87,"")</f>
        <v>0.678793245237898</v>
      </c>
      <c r="G87" s="483">
        <v>98.65</v>
      </c>
      <c r="H87" s="484">
        <v>98.7969207823966</v>
      </c>
      <c r="I87" s="457">
        <f>_xlfn.IFERROR(H87-G87,"")</f>
        <v>0.146920782396592</v>
      </c>
      <c r="J87" s="485">
        <v>0</v>
      </c>
      <c r="K87" s="485">
        <v>0</v>
      </c>
      <c r="L87" s="486">
        <f>_xlfn.IFERROR(H87-K87,"")</f>
        <v>98.7969207823966</v>
      </c>
      <c r="M87" s="434"/>
      <c r="N87" s="434"/>
    </row>
    <row customHeight="1" ht="14.25">
      <c r="A88" s="384"/>
      <c r="B88" s="461" t="s">
        <v>104</v>
      </c>
      <c r="C88" s="479" t="s">
        <v>85</v>
      </c>
      <c r="D88" s="493">
        <v>98.5878151260504</v>
      </c>
      <c r="E88" s="494">
        <v>99.2967615968305</v>
      </c>
      <c r="F88" s="495">
        <f>_xlfn.IFERROR(E88-D88,"")</f>
        <v>0.708946470780106</v>
      </c>
      <c r="G88" s="493">
        <v>98.87</v>
      </c>
      <c r="H88" s="494">
        <v>99.2518644160554</v>
      </c>
      <c r="I88" s="496">
        <f>_xlfn.IFERROR(H88-G88,"")</f>
        <v>0.381864416055393</v>
      </c>
      <c r="J88" s="497">
        <v>0</v>
      </c>
      <c r="K88" s="497">
        <v>0</v>
      </c>
      <c r="L88" s="498">
        <f>_xlfn.IFERROR(H88-K88,"")</f>
        <v>99.2518644160554</v>
      </c>
      <c r="M88" s="434"/>
      <c r="N88" s="434"/>
    </row>
    <row customHeight="1" ht="14.25">
      <c r="A89" s="384"/>
      <c r="B89" s="499" t="s">
        <v>105</v>
      </c>
      <c r="C89" s="500" t="s">
        <v>85</v>
      </c>
      <c r="D89" s="483">
        <v>94</v>
      </c>
      <c r="E89" s="485">
        <v>94.7278589038498</v>
      </c>
      <c r="F89" s="501">
        <f>_xlfn.IFERROR(E89-D89,"")</f>
        <v>0.727858903849807</v>
      </c>
      <c r="G89" s="483" t="str">
        <f>_xlfn.IFERROR(IF(取值!D116=0,"",取值!D116),"")</f>
        <v/>
      </c>
      <c r="H89" s="485">
        <v>94.8039266970062</v>
      </c>
      <c r="I89" s="457" t="str">
        <f>_xlfn.IFERROR(H89-G89,"")</f>
        <v/>
      </c>
      <c r="J89" s="485">
        <v>0</v>
      </c>
      <c r="K89" s="485">
        <v>0</v>
      </c>
      <c r="L89" s="486">
        <f>_xlfn.IFERROR(H89-K89,"")</f>
        <v>94.8039266970062</v>
      </c>
      <c r="M89" s="434"/>
      <c r="N89" s="434"/>
    </row>
    <row customHeight="1" ht="14.25">
      <c r="A90" s="384"/>
      <c r="B90" s="502" t="s">
        <v>106</v>
      </c>
      <c r="C90" s="503"/>
      <c r="D90" s="504"/>
      <c r="E90" s="504"/>
      <c r="F90" s="504"/>
      <c r="G90" s="504"/>
      <c r="H90" s="504"/>
      <c r="I90" s="505"/>
      <c r="J90" s="504"/>
      <c r="K90" s="504"/>
      <c r="L90" s="506"/>
      <c r="M90" s="434"/>
      <c r="N90" s="434"/>
    </row>
    <row customHeight="1" ht="14.25">
      <c r="A91" s="384"/>
      <c r="B91" s="507"/>
      <c r="C91" s="504"/>
      <c r="D91" s="504"/>
      <c r="E91" s="504"/>
      <c r="F91" s="504"/>
      <c r="G91" s="504"/>
      <c r="H91" s="504"/>
      <c r="I91" s="505"/>
      <c r="J91" s="504"/>
      <c r="K91" s="504"/>
      <c r="L91" s="506"/>
      <c r="M91" s="434"/>
      <c r="N91" s="434"/>
    </row>
    <row customHeight="1" ht="14.25">
      <c r="A92" s="384"/>
      <c r="B92" s="507"/>
      <c r="C92" s="504"/>
      <c r="D92" s="504"/>
      <c r="E92" s="504"/>
      <c r="F92" s="504"/>
      <c r="G92" s="504"/>
      <c r="H92" s="504"/>
      <c r="I92" s="505"/>
      <c r="J92" s="504"/>
      <c r="K92" s="504"/>
      <c r="L92" s="506"/>
      <c r="M92" s="434"/>
      <c r="N92" s="434"/>
    </row>
    <row customHeight="1" ht="15">
      <c r="A93" s="384"/>
      <c r="B93" s="508"/>
      <c r="C93" s="509"/>
      <c r="D93" s="509"/>
      <c r="E93" s="509"/>
      <c r="F93" s="509"/>
      <c r="G93" s="509"/>
      <c r="H93" s="509"/>
      <c r="I93" s="510"/>
      <c r="J93" s="509"/>
      <c r="K93" s="509"/>
      <c r="L93" s="511"/>
      <c r="M93" s="434"/>
      <c r="N93" s="434"/>
    </row>
    <row customHeight="1" ht="13.5">
      <c r="A94" s="384"/>
      <c r="B94" s="239" t="s">
        <v>107</v>
      </c>
      <c r="C94" s="514" t="s">
        <v>108</v>
      </c>
      <c r="D94" s="239" t="s">
        <v>109</v>
      </c>
      <c r="E94" s="239"/>
      <c r="F94" s="515" t="s">
        <v>110</v>
      </c>
      <c r="G94" s="239" t="s">
        <v>111</v>
      </c>
      <c r="H94" s="516" t="s">
        <v>112</v>
      </c>
      <c r="I94" s="250"/>
      <c r="J94" s="239" t="s">
        <v>113</v>
      </c>
      <c r="K94" s="514" t="s">
        <v>114</v>
      </c>
      <c r="L94" s="518"/>
      <c r="M94" s="434"/>
      <c r="N94" s="434"/>
    </row>
    <row customHeight="1" ht="14.25">
      <c r="A95" s="384"/>
      <c r="B95" s="384"/>
      <c r="C95" s="384"/>
      <c r="D95" s="384"/>
      <c r="E95" s="384"/>
      <c r="F95" s="519"/>
      <c r="G95" s="384"/>
      <c r="H95" s="384"/>
      <c r="I95" s="519"/>
      <c r="J95" s="384"/>
      <c r="K95" s="384"/>
      <c r="L95" s="384"/>
      <c r="M95" s="434"/>
      <c r="N95" s="434"/>
    </row>
    <row customHeight="1" ht="14.25" hidden="1">
      <c r="A96" s="384"/>
      <c r="B96" s="384"/>
      <c r="C96" s="435" t="s">
        <v>108</v>
      </c>
      <c r="D96" s="384"/>
      <c r="E96" s="384"/>
      <c r="F96" s="520" t="s">
        <v>110</v>
      </c>
      <c r="G96" s="384"/>
      <c r="H96" s="435" t="s">
        <v>112</v>
      </c>
      <c r="I96" s="519"/>
      <c r="J96" s="384"/>
      <c r="K96" s="435" t="s">
        <v>114</v>
      </c>
      <c r="L96" s="384"/>
      <c r="M96" s="434"/>
      <c r="N96" s="434"/>
    </row>
    <row customHeight="1" ht="14.25" hidden="1">
      <c r="A97" s="384"/>
      <c r="B97" s="384"/>
      <c r="C97" s="384"/>
      <c r="D97" s="384"/>
      <c r="E97" s="384"/>
      <c r="F97" s="519"/>
      <c r="G97" s="384"/>
      <c r="H97" s="384"/>
      <c r="I97" s="519"/>
      <c r="J97" s="384"/>
      <c r="K97" s="384"/>
      <c r="L97" s="384"/>
      <c r="M97" s="434"/>
      <c r="N97" s="434"/>
    </row>
    <row customHeight="1" ht="14.4525">
      <c r="A98" s="384"/>
      <c r="B98" s="384"/>
      <c r="C98" s="384"/>
      <c r="D98" s="384"/>
      <c r="E98" s="384"/>
      <c r="F98" s="519"/>
      <c r="G98" s="384"/>
      <c r="H98" s="384"/>
      <c r="I98" s="519"/>
      <c r="J98" s="384"/>
      <c r="K98" s="384"/>
      <c r="L98" s="384"/>
      <c r="M98" s="434"/>
      <c r="N98" s="434"/>
    </row>
    <row customHeight="1" ht="14.4525">
      <c r="A99" s="384"/>
      <c r="B99" s="384"/>
      <c r="C99" s="384"/>
      <c r="D99" s="384"/>
      <c r="E99" s="384"/>
      <c r="F99" s="519"/>
      <c r="G99" s="384"/>
      <c r="H99" s="384"/>
      <c r="I99" s="519"/>
      <c r="J99" s="384"/>
      <c r="K99" s="384"/>
      <c r="L99" s="384"/>
      <c r="M99" s="434"/>
      <c r="N99" s="434"/>
    </row>
    <row customHeight="1" ht="14.4525">
      <c r="A100" s="384"/>
      <c r="B100" s="384"/>
      <c r="C100" s="384"/>
      <c r="D100" s="384"/>
      <c r="E100" s="384"/>
      <c r="F100" s="519"/>
      <c r="G100" s="384"/>
      <c r="H100" s="384"/>
      <c r="I100" s="519"/>
      <c r="J100" s="384"/>
      <c r="K100" s="384"/>
      <c r="L100" s="384"/>
      <c r="M100" s="434"/>
      <c r="N100" s="434"/>
    </row>
    <row customHeight="1" ht="14.4525">
      <c r="A101" s="384"/>
      <c r="B101" s="384"/>
      <c r="C101" s="384"/>
      <c r="D101" s="384"/>
      <c r="E101" s="384"/>
      <c r="F101" s="519"/>
      <c r="G101" s="384"/>
      <c r="H101" s="384"/>
      <c r="I101" s="519"/>
      <c r="J101" s="384"/>
      <c r="K101" s="384"/>
      <c r="L101" s="384"/>
      <c r="M101" s="434"/>
      <c r="N101" s="434"/>
    </row>
    <row customHeight="1" ht="14.4525">
      <c r="A102" s="384"/>
      <c r="B102" s="384"/>
      <c r="C102" s="384"/>
      <c r="D102" s="384"/>
      <c r="E102" s="384"/>
      <c r="F102" s="519"/>
      <c r="G102" s="384"/>
      <c r="H102" s="384"/>
      <c r="I102" s="519"/>
      <c r="J102" s="384"/>
      <c r="K102" s="384"/>
      <c r="L102" s="384"/>
      <c r="M102" s="434"/>
      <c r="N102" s="434"/>
    </row>
    <row customHeight="1" ht="14.4525">
      <c r="A103" s="384"/>
      <c r="B103" s="384"/>
      <c r="C103" s="384"/>
      <c r="D103" s="384"/>
      <c r="E103" s="384"/>
      <c r="F103" s="519"/>
      <c r="G103" s="384"/>
      <c r="H103" s="384"/>
      <c r="I103" s="519"/>
      <c r="J103" s="384"/>
      <c r="K103" s="384"/>
      <c r="L103" s="384"/>
      <c r="M103" s="434"/>
      <c r="N103" s="434"/>
    </row>
    <row customHeight="1" ht="14.4525">
      <c r="A104" s="384"/>
      <c r="B104" s="384"/>
      <c r="C104" s="384"/>
      <c r="D104" s="384"/>
      <c r="E104" s="384"/>
      <c r="F104" s="519"/>
      <c r="G104" s="384"/>
      <c r="H104" s="384"/>
      <c r="I104" s="519"/>
      <c r="J104" s="384"/>
      <c r="K104" s="384"/>
      <c r="L104" s="384"/>
      <c r="M104" s="434"/>
      <c r="N104" s="434"/>
    </row>
    <row customHeight="1" ht="14.4525">
      <c r="A105" s="384"/>
      <c r="B105" s="384"/>
      <c r="C105" s="384"/>
      <c r="D105" s="384"/>
      <c r="E105" s="384"/>
      <c r="F105" s="519"/>
      <c r="G105" s="384"/>
      <c r="H105" s="384"/>
      <c r="I105" s="519"/>
      <c r="J105" s="384"/>
      <c r="K105" s="384"/>
      <c r="L105" s="384"/>
      <c r="M105" s="434"/>
      <c r="N105" s="434"/>
    </row>
    <row customHeight="1" ht="14.4525">
      <c r="A106" s="384"/>
      <c r="B106" s="384"/>
      <c r="C106" s="384"/>
      <c r="D106" s="384"/>
      <c r="E106" s="384"/>
      <c r="F106" s="519"/>
      <c r="G106" s="384"/>
      <c r="H106" s="384"/>
      <c r="I106" s="519"/>
      <c r="J106" s="384"/>
      <c r="K106" s="384"/>
      <c r="L106" s="384"/>
      <c r="M106" s="434"/>
      <c r="N106" s="434"/>
    </row>
    <row customHeight="1" ht="14.4525">
      <c r="A107" s="384"/>
      <c r="B107" s="384"/>
      <c r="C107" s="384"/>
      <c r="D107" s="384"/>
      <c r="E107" s="384"/>
      <c r="F107" s="519"/>
      <c r="G107" s="384"/>
      <c r="H107" s="384"/>
      <c r="I107" s="519"/>
      <c r="J107" s="384"/>
      <c r="K107" s="384"/>
      <c r="L107" s="384"/>
      <c r="M107" s="434"/>
      <c r="N107" s="434"/>
    </row>
    <row customHeight="1" ht="14.4525">
      <c r="A108" s="384"/>
      <c r="B108" s="384"/>
      <c r="C108" s="384"/>
      <c r="D108" s="384"/>
      <c r="E108" s="384"/>
      <c r="F108" s="519"/>
      <c r="G108" s="384"/>
      <c r="H108" s="384"/>
      <c r="I108" s="519"/>
      <c r="J108" s="384"/>
      <c r="K108" s="384"/>
      <c r="L108" s="384"/>
      <c r="M108" s="434"/>
      <c r="N108" s="434"/>
    </row>
    <row customHeight="1" ht="14.4525">
      <c r="A109" s="384"/>
      <c r="B109" s="384"/>
      <c r="C109" s="384"/>
      <c r="D109" s="384"/>
      <c r="E109" s="384"/>
      <c r="F109" s="519"/>
      <c r="G109" s="384"/>
      <c r="H109" s="384"/>
      <c r="I109" s="519"/>
      <c r="J109" s="384"/>
      <c r="K109" s="384"/>
      <c r="L109" s="384"/>
      <c r="M109" s="434"/>
      <c r="N109" s="434"/>
    </row>
    <row customHeight="1" ht="14.4525">
      <c r="A110" s="384"/>
      <c r="B110" s="384"/>
      <c r="C110" s="384"/>
      <c r="D110" s="384"/>
      <c r="E110" s="384"/>
      <c r="F110" s="519"/>
      <c r="G110" s="384"/>
      <c r="H110" s="384"/>
      <c r="I110" s="519"/>
      <c r="J110" s="384"/>
      <c r="K110" s="384"/>
      <c r="L110" s="384"/>
      <c r="M110" s="434"/>
      <c r="N110" s="434"/>
    </row>
    <row customHeight="1" ht="14.4525">
      <c r="A111" s="384"/>
      <c r="B111" s="384"/>
      <c r="C111" s="384"/>
      <c r="D111" s="384"/>
      <c r="E111" s="384"/>
      <c r="F111" s="519"/>
      <c r="G111" s="384"/>
      <c r="H111" s="384"/>
      <c r="I111" s="519"/>
      <c r="J111" s="384"/>
      <c r="K111" s="384"/>
      <c r="L111" s="384"/>
      <c r="M111" s="434"/>
      <c r="N111" s="434"/>
    </row>
    <row customHeight="1" ht="14.4525">
      <c r="A112" s="384"/>
      <c r="B112" s="384"/>
      <c r="C112" s="384"/>
      <c r="D112" s="384"/>
      <c r="E112" s="384"/>
      <c r="F112" s="519"/>
      <c r="G112" s="384"/>
      <c r="H112" s="384"/>
      <c r="I112" s="519"/>
      <c r="J112" s="384"/>
      <c r="K112" s="384"/>
      <c r="L112" s="384"/>
      <c r="M112" s="434"/>
      <c r="N112" s="434"/>
    </row>
    <row customHeight="1" ht="14.4525">
      <c r="A113" s="384"/>
      <c r="B113" s="384"/>
      <c r="C113" s="384"/>
      <c r="D113" s="384"/>
      <c r="E113" s="384"/>
      <c r="F113" s="519"/>
      <c r="G113" s="384"/>
      <c r="H113" s="384"/>
      <c r="I113" s="519"/>
      <c r="J113" s="384"/>
      <c r="K113" s="384"/>
      <c r="L113" s="384"/>
      <c r="M113" s="434"/>
      <c r="N113" s="434"/>
    </row>
    <row customHeight="1" ht="14.4525">
      <c r="A114" s="384"/>
      <c r="B114" s="384"/>
      <c r="C114" s="384"/>
      <c r="D114" s="384"/>
      <c r="E114" s="384"/>
      <c r="F114" s="519"/>
      <c r="G114" s="384"/>
      <c r="H114" s="384"/>
      <c r="I114" s="519"/>
      <c r="J114" s="384"/>
      <c r="K114" s="384"/>
      <c r="L114" s="384"/>
      <c r="M114" s="434"/>
      <c r="N114" s="434"/>
    </row>
    <row customHeight="1" ht="14.4525">
      <c r="A115" s="384"/>
      <c r="B115" s="384"/>
      <c r="C115" s="384"/>
      <c r="D115" s="384"/>
      <c r="E115" s="384"/>
      <c r="F115" s="519"/>
      <c r="G115" s="384"/>
      <c r="H115" s="384"/>
      <c r="I115" s="519"/>
      <c r="J115" s="384"/>
      <c r="K115" s="384"/>
      <c r="L115" s="384"/>
      <c r="M115" s="434"/>
      <c r="N115" s="434"/>
    </row>
    <row customHeight="1" ht="14.4525">
      <c r="A116" s="384"/>
      <c r="B116" s="384"/>
      <c r="C116" s="384"/>
      <c r="D116" s="384"/>
      <c r="E116" s="384"/>
      <c r="F116" s="519"/>
      <c r="G116" s="384"/>
      <c r="H116" s="384"/>
      <c r="I116" s="519"/>
      <c r="J116" s="384"/>
      <c r="K116" s="384"/>
      <c r="L116" s="384"/>
      <c r="M116" s="434"/>
      <c r="N116" s="434"/>
    </row>
    <row customHeight="1" ht="14.4525">
      <c r="A117" s="384"/>
      <c r="B117" s="384"/>
      <c r="C117" s="384"/>
      <c r="D117" s="384"/>
      <c r="E117" s="384"/>
      <c r="F117" s="519"/>
      <c r="G117" s="384"/>
      <c r="H117" s="384"/>
      <c r="I117" s="519"/>
      <c r="J117" s="384"/>
      <c r="K117" s="384"/>
      <c r="L117" s="384"/>
      <c r="M117" s="434"/>
      <c r="N117" s="434"/>
    </row>
    <row customHeight="1" ht="14.4525">
      <c r="A118" s="384"/>
      <c r="B118" s="384"/>
      <c r="C118" s="384"/>
      <c r="D118" s="384"/>
      <c r="E118" s="384"/>
      <c r="F118" s="519"/>
      <c r="G118" s="384"/>
      <c r="H118" s="384"/>
      <c r="I118" s="519"/>
      <c r="J118" s="384"/>
      <c r="K118" s="384"/>
      <c r="L118" s="384"/>
      <c r="M118" s="434"/>
      <c r="N118" s="434"/>
    </row>
    <row customHeight="1" ht="14.4525">
      <c r="A119" s="384"/>
      <c r="B119" s="384"/>
      <c r="C119" s="384"/>
      <c r="D119" s="384"/>
      <c r="E119" s="384"/>
      <c r="F119" s="519"/>
      <c r="G119" s="384"/>
      <c r="H119" s="384"/>
      <c r="I119" s="519"/>
      <c r="J119" s="384"/>
      <c r="K119" s="384"/>
      <c r="L119" s="384"/>
      <c r="M119" s="434"/>
      <c r="N119" s="434"/>
    </row>
    <row customHeight="1" ht="14.4525">
      <c r="A120" s="384"/>
      <c r="B120" s="384"/>
      <c r="C120" s="384"/>
      <c r="D120" s="384"/>
      <c r="E120" s="384"/>
      <c r="F120" s="519"/>
      <c r="G120" s="384"/>
      <c r="H120" s="384"/>
      <c r="I120" s="519"/>
      <c r="J120" s="384"/>
      <c r="K120" s="384"/>
      <c r="L120" s="384"/>
      <c r="M120" s="434"/>
      <c r="N120" s="434"/>
    </row>
    <row customHeight="1" ht="14.4525">
      <c r="A121" s="384"/>
      <c r="B121" s="384"/>
      <c r="C121" s="384"/>
      <c r="D121" s="384"/>
      <c r="E121" s="384"/>
      <c r="F121" s="519"/>
      <c r="G121" s="384"/>
      <c r="H121" s="384"/>
      <c r="I121" s="519"/>
      <c r="J121" s="384"/>
      <c r="K121" s="384"/>
      <c r="L121" s="384"/>
      <c r="M121" s="434"/>
      <c r="N121" s="434"/>
    </row>
    <row customHeight="1" ht="14.4525">
      <c r="A122" s="384"/>
      <c r="B122" s="384"/>
      <c r="C122" s="384"/>
      <c r="D122" s="384"/>
      <c r="E122" s="384"/>
      <c r="F122" s="519"/>
      <c r="G122" s="384"/>
      <c r="H122" s="384"/>
      <c r="I122" s="519"/>
      <c r="J122" s="384"/>
      <c r="K122" s="384"/>
      <c r="L122" s="384"/>
      <c r="M122" s="434"/>
      <c r="N122" s="434"/>
    </row>
    <row customHeight="1" ht="14.4525">
      <c r="A123" s="384"/>
      <c r="B123" s="384"/>
      <c r="C123" s="384"/>
      <c r="D123" s="384"/>
      <c r="E123" s="384"/>
      <c r="F123" s="519"/>
      <c r="G123" s="384"/>
      <c r="H123" s="384"/>
      <c r="I123" s="519"/>
      <c r="J123" s="384"/>
      <c r="K123" s="384"/>
      <c r="L123" s="384"/>
      <c r="M123" s="434"/>
      <c r="N123" s="434"/>
    </row>
    <row customHeight="1" ht="14.4525">
      <c r="A124" s="384"/>
      <c r="B124" s="384"/>
      <c r="C124" s="384"/>
      <c r="D124" s="384"/>
      <c r="E124" s="384"/>
      <c r="F124" s="519"/>
      <c r="G124" s="384"/>
      <c r="H124" s="384"/>
      <c r="I124" s="519"/>
      <c r="J124" s="384"/>
      <c r="K124" s="384"/>
      <c r="L124" s="384"/>
      <c r="M124" s="434"/>
      <c r="N124" s="434"/>
    </row>
    <row customHeight="1" ht="14.4525">
      <c r="A125" s="384"/>
      <c r="B125" s="384"/>
      <c r="C125" s="384"/>
      <c r="D125" s="384"/>
      <c r="E125" s="384"/>
      <c r="F125" s="519"/>
      <c r="G125" s="384"/>
      <c r="H125" s="384"/>
      <c r="I125" s="519"/>
      <c r="J125" s="384"/>
      <c r="K125" s="384"/>
      <c r="L125" s="384"/>
      <c r="M125" s="434"/>
      <c r="N125" s="434"/>
    </row>
    <row customHeight="1" ht="14.4525">
      <c r="A126" s="384"/>
      <c r="B126" s="384"/>
      <c r="C126" s="384"/>
      <c r="D126" s="384"/>
      <c r="E126" s="384"/>
      <c r="F126" s="519"/>
      <c r="G126" s="384"/>
      <c r="H126" s="384"/>
      <c r="I126" s="519"/>
      <c r="J126" s="384"/>
      <c r="K126" s="384"/>
      <c r="L126" s="384"/>
      <c r="M126" s="434"/>
      <c r="N126" s="434"/>
    </row>
    <row customHeight="1" ht="14.4525">
      <c r="A127" s="384"/>
      <c r="B127" s="384"/>
      <c r="C127" s="384"/>
      <c r="D127" s="384"/>
      <c r="E127" s="384"/>
      <c r="F127" s="519"/>
      <c r="G127" s="384"/>
      <c r="H127" s="384"/>
      <c r="I127" s="519"/>
      <c r="J127" s="384"/>
      <c r="K127" s="384"/>
      <c r="L127" s="384"/>
      <c r="M127" s="434"/>
      <c r="N127" s="434"/>
    </row>
    <row customHeight="1" ht="14.4525">
      <c r="A128" s="384"/>
      <c r="B128" s="384"/>
      <c r="C128" s="384"/>
      <c r="D128" s="384"/>
      <c r="E128" s="384"/>
      <c r="F128" s="519"/>
      <c r="G128" s="384"/>
      <c r="H128" s="384"/>
      <c r="I128" s="519"/>
      <c r="J128" s="384"/>
      <c r="K128" s="384"/>
      <c r="L128" s="384"/>
      <c r="M128" s="434"/>
      <c r="N128" s="434"/>
    </row>
    <row customHeight="1" ht="14.4525">
      <c r="A129" s="384"/>
      <c r="B129" s="384"/>
      <c r="C129" s="384"/>
      <c r="D129" s="384"/>
      <c r="E129" s="384"/>
      <c r="F129" s="519"/>
      <c r="G129" s="384"/>
      <c r="H129" s="384"/>
      <c r="I129" s="519"/>
      <c r="J129" s="384"/>
      <c r="K129" s="384"/>
      <c r="L129" s="384"/>
      <c r="M129" s="434"/>
      <c r="N129" s="434"/>
    </row>
    <row customHeight="1" ht="14.4525">
      <c r="A130" s="384"/>
      <c r="B130" s="384"/>
      <c r="C130" s="384"/>
      <c r="D130" s="384"/>
      <c r="E130" s="384"/>
      <c r="F130" s="519"/>
      <c r="G130" s="384"/>
      <c r="H130" s="384"/>
      <c r="I130" s="519"/>
      <c r="J130" s="384"/>
      <c r="K130" s="384"/>
      <c r="L130" s="384"/>
      <c r="M130" s="434"/>
      <c r="N130" s="434"/>
    </row>
    <row customHeight="1" ht="14.4525">
      <c r="A131" s="384"/>
      <c r="B131" s="384"/>
      <c r="C131" s="384"/>
      <c r="D131" s="384"/>
      <c r="E131" s="384"/>
      <c r="F131" s="519"/>
      <c r="G131" s="384"/>
      <c r="H131" s="384"/>
      <c r="I131" s="519"/>
      <c r="J131" s="384"/>
      <c r="K131" s="384"/>
      <c r="L131" s="384"/>
      <c r="M131" s="434"/>
      <c r="N131" s="434"/>
    </row>
    <row customHeight="1" ht="14.4525">
      <c r="A132" s="384"/>
      <c r="B132" s="384"/>
      <c r="C132" s="384"/>
      <c r="D132" s="384"/>
      <c r="E132" s="384"/>
      <c r="F132" s="519"/>
      <c r="G132" s="384"/>
      <c r="H132" s="384"/>
      <c r="I132" s="519"/>
      <c r="J132" s="384"/>
      <c r="K132" s="384"/>
      <c r="L132" s="384"/>
      <c r="M132" s="434"/>
      <c r="N132" s="434"/>
    </row>
    <row customHeight="1" ht="14.4525">
      <c r="A133" s="384"/>
      <c r="B133" s="384"/>
      <c r="C133" s="384"/>
      <c r="D133" s="384"/>
      <c r="E133" s="384"/>
      <c r="F133" s="519"/>
      <c r="G133" s="384"/>
      <c r="H133" s="384"/>
      <c r="I133" s="519"/>
      <c r="J133" s="384"/>
      <c r="K133" s="384"/>
      <c r="L133" s="384"/>
      <c r="M133" s="434"/>
      <c r="N133" s="434"/>
    </row>
    <row customHeight="1" ht="14.4525">
      <c r="A134" s="384"/>
      <c r="B134" s="384"/>
      <c r="C134" s="384"/>
      <c r="D134" s="384"/>
      <c r="E134" s="384"/>
      <c r="F134" s="519"/>
      <c r="G134" s="384"/>
      <c r="H134" s="384"/>
      <c r="I134" s="519"/>
      <c r="J134" s="384"/>
      <c r="K134" s="384"/>
      <c r="L134" s="384"/>
      <c r="M134" s="434"/>
      <c r="N134" s="434"/>
    </row>
    <row customHeight="1" ht="14.4525">
      <c r="A135" s="384"/>
      <c r="B135" s="384"/>
      <c r="C135" s="384"/>
      <c r="D135" s="384"/>
      <c r="E135" s="384"/>
      <c r="F135" s="519"/>
      <c r="G135" s="384"/>
      <c r="H135" s="384"/>
      <c r="I135" s="519"/>
      <c r="J135" s="384"/>
      <c r="K135" s="384"/>
      <c r="L135" s="384"/>
      <c r="M135" s="434"/>
      <c r="N135" s="434"/>
    </row>
    <row customHeight="1" ht="14.4525">
      <c r="A136" s="384"/>
      <c r="B136" s="384"/>
      <c r="C136" s="384"/>
      <c r="D136" s="384"/>
      <c r="E136" s="384"/>
      <c r="F136" s="519"/>
      <c r="G136" s="384"/>
      <c r="H136" s="384"/>
      <c r="I136" s="519"/>
      <c r="J136" s="384"/>
      <c r="K136" s="384"/>
      <c r="L136" s="384"/>
      <c r="M136" s="434"/>
      <c r="N136" s="434"/>
    </row>
    <row customHeight="1" ht="14.4525">
      <c r="A137" s="384"/>
      <c r="B137" s="384"/>
      <c r="C137" s="384"/>
      <c r="D137" s="384"/>
      <c r="E137" s="384"/>
      <c r="F137" s="519"/>
      <c r="G137" s="384"/>
      <c r="H137" s="384"/>
      <c r="I137" s="519"/>
      <c r="J137" s="384"/>
      <c r="K137" s="384"/>
      <c r="L137" s="384"/>
      <c r="M137" s="434"/>
      <c r="N137" s="434"/>
    </row>
    <row customHeight="1" ht="14.4525">
      <c r="A138" s="384"/>
      <c r="B138" s="384"/>
      <c r="C138" s="384"/>
      <c r="D138" s="384"/>
      <c r="E138" s="384"/>
      <c r="F138" s="519"/>
      <c r="G138" s="384"/>
      <c r="H138" s="384"/>
      <c r="I138" s="519"/>
      <c r="J138" s="384"/>
      <c r="K138" s="384"/>
      <c r="L138" s="384"/>
      <c r="M138" s="434"/>
      <c r="N138" s="434"/>
    </row>
    <row customHeight="1" ht="14.4525">
      <c r="A139" s="384"/>
      <c r="B139" s="384"/>
      <c r="C139" s="384"/>
      <c r="D139" s="384"/>
      <c r="E139" s="384"/>
      <c r="F139" s="519"/>
      <c r="G139" s="384"/>
      <c r="H139" s="384"/>
      <c r="I139" s="519"/>
      <c r="J139" s="384"/>
      <c r="K139" s="384"/>
      <c r="L139" s="384"/>
      <c r="M139" s="434"/>
      <c r="N139" s="434"/>
    </row>
    <row customHeight="1" ht="14.4525">
      <c r="A140" s="384"/>
      <c r="B140" s="384"/>
      <c r="C140" s="384"/>
      <c r="D140" s="384"/>
      <c r="E140" s="384"/>
      <c r="F140" s="519"/>
      <c r="G140" s="384"/>
      <c r="H140" s="384"/>
      <c r="I140" s="519"/>
      <c r="J140" s="384"/>
      <c r="K140" s="384"/>
      <c r="L140" s="384"/>
      <c r="M140" s="434"/>
      <c r="N140" s="434"/>
    </row>
    <row customHeight="1" ht="14.4525">
      <c r="A141" s="384"/>
      <c r="B141" s="384"/>
      <c r="C141" s="384"/>
      <c r="D141" s="384"/>
      <c r="E141" s="384"/>
      <c r="F141" s="519"/>
      <c r="G141" s="384"/>
      <c r="H141" s="384"/>
      <c r="I141" s="519"/>
      <c r="J141" s="384"/>
      <c r="K141" s="384"/>
      <c r="L141" s="384"/>
      <c r="M141" s="434"/>
      <c r="N141" s="434"/>
    </row>
    <row customHeight="1" ht="14.4525">
      <c r="A142" s="384"/>
      <c r="B142" s="384"/>
      <c r="C142" s="384"/>
      <c r="D142" s="384"/>
      <c r="E142" s="384"/>
      <c r="F142" s="519"/>
      <c r="G142" s="384"/>
      <c r="H142" s="384"/>
      <c r="I142" s="519"/>
      <c r="J142" s="384"/>
      <c r="K142" s="384"/>
      <c r="L142" s="384"/>
      <c r="M142" s="434"/>
      <c r="N142" s="434"/>
    </row>
    <row customHeight="1" ht="14.4525">
      <c r="A143" s="384"/>
      <c r="B143" s="384"/>
      <c r="C143" s="384"/>
      <c r="D143" s="384"/>
      <c r="E143" s="384"/>
      <c r="F143" s="519"/>
      <c r="G143" s="384"/>
      <c r="H143" s="384"/>
      <c r="I143" s="519"/>
      <c r="J143" s="384"/>
      <c r="K143" s="384"/>
      <c r="L143" s="384"/>
      <c r="M143" s="434"/>
      <c r="N143" s="434"/>
    </row>
    <row customHeight="1" ht="14.4525">
      <c r="A144" s="384"/>
      <c r="B144" s="384"/>
      <c r="C144" s="384"/>
      <c r="D144" s="384"/>
      <c r="E144" s="384"/>
      <c r="F144" s="519"/>
      <c r="G144" s="384"/>
      <c r="H144" s="384"/>
      <c r="I144" s="519"/>
      <c r="J144" s="384"/>
      <c r="K144" s="384"/>
      <c r="L144" s="384"/>
      <c r="M144" s="434"/>
      <c r="N144" s="434"/>
    </row>
    <row customHeight="1" ht="14.4525">
      <c r="A145" s="384"/>
      <c r="B145" s="384"/>
      <c r="C145" s="384"/>
      <c r="D145" s="384"/>
      <c r="E145" s="384"/>
      <c r="F145" s="519"/>
      <c r="G145" s="384"/>
      <c r="H145" s="384"/>
      <c r="I145" s="519"/>
      <c r="J145" s="384"/>
      <c r="K145" s="384"/>
      <c r="L145" s="384"/>
      <c r="M145" s="434"/>
      <c r="N145" s="434"/>
    </row>
    <row customHeight="1" ht="14.4525">
      <c r="A146" s="384"/>
      <c r="B146" s="384"/>
      <c r="C146" s="384"/>
      <c r="D146" s="384"/>
      <c r="E146" s="384"/>
      <c r="F146" s="519"/>
      <c r="G146" s="384"/>
      <c r="H146" s="384"/>
      <c r="I146" s="519"/>
      <c r="J146" s="384"/>
      <c r="K146" s="384"/>
      <c r="L146" s="384"/>
      <c r="M146" s="434"/>
      <c r="N146" s="434"/>
    </row>
    <row customHeight="1" ht="14.4525">
      <c r="A147" s="384"/>
      <c r="B147" s="384"/>
      <c r="C147" s="384"/>
      <c r="D147" s="384"/>
      <c r="E147" s="384"/>
      <c r="F147" s="519"/>
      <c r="G147" s="384"/>
      <c r="H147" s="384"/>
      <c r="I147" s="519"/>
      <c r="J147" s="384"/>
      <c r="K147" s="384"/>
      <c r="L147" s="384"/>
      <c r="M147" s="434"/>
      <c r="N147" s="434"/>
    </row>
    <row customHeight="1" ht="14.4525">
      <c r="A148" s="384"/>
      <c r="B148" s="384"/>
      <c r="C148" s="384"/>
      <c r="D148" s="384"/>
      <c r="E148" s="384"/>
      <c r="F148" s="519"/>
      <c r="G148" s="384"/>
      <c r="H148" s="384"/>
      <c r="I148" s="519"/>
      <c r="J148" s="384"/>
      <c r="K148" s="384"/>
      <c r="L148" s="384"/>
      <c r="M148" s="434"/>
      <c r="N148" s="434"/>
    </row>
    <row customHeight="1" ht="14.4525">
      <c r="A149" s="384"/>
      <c r="B149" s="384"/>
      <c r="C149" s="384"/>
      <c r="D149" s="384"/>
      <c r="E149" s="384"/>
      <c r="F149" s="519"/>
      <c r="G149" s="384"/>
      <c r="H149" s="384"/>
      <c r="I149" s="519"/>
      <c r="J149" s="384"/>
      <c r="K149" s="384"/>
      <c r="L149" s="384"/>
      <c r="M149" s="434"/>
      <c r="N149" s="434"/>
    </row>
    <row customHeight="1" ht="14.4525">
      <c r="A150" s="384"/>
      <c r="B150" s="384"/>
      <c r="C150" s="384"/>
      <c r="D150" s="384"/>
      <c r="E150" s="384"/>
      <c r="F150" s="519"/>
      <c r="G150" s="384"/>
      <c r="H150" s="384"/>
      <c r="I150" s="519"/>
      <c r="J150" s="384"/>
      <c r="K150" s="384"/>
      <c r="L150" s="384"/>
      <c r="M150" s="434"/>
      <c r="N150" s="434"/>
    </row>
    <row customHeight="1" ht="14.4525">
      <c r="A151" s="384"/>
      <c r="B151" s="384"/>
      <c r="C151" s="384"/>
      <c r="D151" s="384"/>
      <c r="E151" s="384"/>
      <c r="F151" s="519"/>
      <c r="G151" s="384"/>
      <c r="H151" s="384"/>
      <c r="I151" s="519"/>
      <c r="J151" s="384"/>
      <c r="K151" s="384"/>
      <c r="L151" s="384"/>
      <c r="M151" s="434"/>
      <c r="N151" s="434"/>
    </row>
    <row customHeight="1" ht="14.4525">
      <c r="A152" s="384"/>
      <c r="B152" s="384"/>
      <c r="C152" s="384"/>
      <c r="D152" s="384"/>
      <c r="E152" s="384"/>
      <c r="F152" s="519"/>
      <c r="G152" s="384"/>
      <c r="H152" s="384"/>
      <c r="I152" s="519"/>
      <c r="J152" s="384"/>
      <c r="K152" s="384"/>
      <c r="L152" s="384"/>
      <c r="M152" s="434"/>
      <c r="N152" s="434"/>
    </row>
    <row customHeight="1" ht="14.4525">
      <c r="A153" s="384"/>
      <c r="B153" s="384"/>
      <c r="C153" s="384"/>
      <c r="D153" s="384"/>
      <c r="E153" s="384"/>
      <c r="F153" s="519"/>
      <c r="G153" s="384"/>
      <c r="H153" s="384"/>
      <c r="I153" s="519"/>
      <c r="J153" s="384"/>
      <c r="K153" s="384"/>
      <c r="L153" s="384"/>
      <c r="M153" s="434"/>
      <c r="N153" s="434"/>
    </row>
    <row customHeight="1" ht="14.4525">
      <c r="A154" s="384"/>
      <c r="B154" s="384"/>
      <c r="C154" s="384"/>
      <c r="D154" s="384"/>
      <c r="E154" s="384"/>
      <c r="F154" s="519"/>
      <c r="G154" s="384"/>
      <c r="H154" s="384"/>
      <c r="I154" s="519"/>
      <c r="J154" s="384"/>
      <c r="K154" s="384"/>
      <c r="L154" s="384"/>
      <c r="M154" s="434"/>
      <c r="N154" s="434"/>
    </row>
    <row customHeight="1" ht="14.4525">
      <c r="A155" s="384"/>
      <c r="B155" s="384"/>
      <c r="C155" s="384"/>
      <c r="D155" s="384"/>
      <c r="E155" s="384"/>
      <c r="F155" s="519"/>
      <c r="G155" s="384"/>
      <c r="H155" s="384"/>
      <c r="I155" s="519"/>
      <c r="J155" s="384"/>
      <c r="K155" s="384"/>
      <c r="L155" s="384"/>
      <c r="M155" s="434"/>
      <c r="N155" s="434"/>
    </row>
    <row customHeight="1" ht="14.4525">
      <c r="A156" s="384"/>
      <c r="B156" s="384"/>
      <c r="C156" s="384"/>
      <c r="D156" s="384"/>
      <c r="E156" s="384"/>
      <c r="F156" s="519"/>
      <c r="G156" s="384"/>
      <c r="H156" s="384"/>
      <c r="I156" s="519"/>
      <c r="J156" s="384"/>
      <c r="K156" s="384"/>
      <c r="L156" s="384"/>
      <c r="M156" s="434"/>
      <c r="N156" s="434"/>
    </row>
    <row customHeight="1" ht="14.4525">
      <c r="A157" s="384"/>
      <c r="B157" s="384"/>
      <c r="C157" s="384"/>
      <c r="D157" s="384"/>
      <c r="E157" s="384"/>
      <c r="F157" s="519"/>
      <c r="G157" s="384"/>
      <c r="H157" s="384"/>
      <c r="I157" s="519"/>
      <c r="J157" s="384"/>
      <c r="K157" s="384"/>
      <c r="L157" s="384"/>
      <c r="M157" s="434"/>
      <c r="N157" s="434"/>
    </row>
    <row customHeight="1" ht="14.4525">
      <c r="A158" s="384"/>
      <c r="B158" s="384"/>
      <c r="C158" s="384"/>
      <c r="D158" s="384"/>
      <c r="E158" s="384"/>
      <c r="F158" s="519"/>
      <c r="G158" s="384"/>
      <c r="H158" s="384"/>
      <c r="I158" s="519"/>
      <c r="J158" s="384"/>
      <c r="K158" s="384"/>
      <c r="L158" s="384"/>
      <c r="M158" s="434"/>
      <c r="N158" s="434"/>
    </row>
    <row customHeight="1" ht="14.4525">
      <c r="A159" s="384"/>
      <c r="B159" s="384"/>
      <c r="C159" s="384"/>
      <c r="D159" s="384"/>
      <c r="E159" s="384"/>
      <c r="F159" s="519"/>
      <c r="G159" s="384"/>
      <c r="H159" s="384"/>
      <c r="I159" s="519"/>
      <c r="J159" s="384"/>
      <c r="K159" s="384"/>
      <c r="L159" s="384"/>
      <c r="M159" s="434"/>
      <c r="N159" s="434"/>
    </row>
    <row customHeight="1" ht="14.4525">
      <c r="A160" s="384"/>
      <c r="B160" s="384"/>
      <c r="C160" s="384"/>
      <c r="D160" s="384"/>
      <c r="E160" s="384"/>
      <c r="F160" s="519"/>
      <c r="G160" s="384"/>
      <c r="H160" s="384"/>
      <c r="I160" s="519"/>
      <c r="J160" s="384"/>
      <c r="K160" s="384"/>
      <c r="L160" s="384"/>
      <c r="M160" s="434"/>
      <c r="N160" s="434"/>
    </row>
    <row customHeight="1" ht="14.4525">
      <c r="A161" s="384"/>
      <c r="B161" s="384"/>
      <c r="C161" s="384"/>
      <c r="D161" s="384"/>
      <c r="E161" s="384"/>
      <c r="F161" s="519"/>
      <c r="G161" s="384"/>
      <c r="H161" s="384"/>
      <c r="I161" s="519"/>
      <c r="J161" s="384"/>
      <c r="K161" s="384"/>
      <c r="L161" s="384"/>
      <c r="M161" s="434"/>
      <c r="N161" s="434"/>
    </row>
    <row customHeight="1" ht="14.4525">
      <c r="A162" s="384"/>
      <c r="B162" s="384"/>
      <c r="C162" s="384"/>
      <c r="D162" s="384"/>
      <c r="E162" s="384"/>
      <c r="F162" s="519"/>
      <c r="G162" s="384"/>
      <c r="H162" s="384"/>
      <c r="I162" s="519"/>
      <c r="J162" s="384"/>
      <c r="K162" s="384"/>
      <c r="L162" s="384"/>
      <c r="M162" s="434"/>
      <c r="N162" s="434"/>
    </row>
    <row customHeight="1" ht="14.4525">
      <c r="A163" s="384"/>
      <c r="B163" s="384"/>
      <c r="C163" s="384"/>
      <c r="D163" s="384"/>
      <c r="E163" s="384"/>
      <c r="F163" s="519"/>
      <c r="G163" s="384"/>
      <c r="H163" s="384"/>
      <c r="I163" s="519"/>
      <c r="J163" s="384"/>
      <c r="K163" s="384"/>
      <c r="L163" s="384"/>
      <c r="M163" s="434"/>
      <c r="N163" s="434"/>
    </row>
    <row customHeight="1" ht="14.4525">
      <c r="A164" s="384"/>
      <c r="B164" s="384"/>
      <c r="C164" s="384"/>
      <c r="D164" s="384"/>
      <c r="E164" s="384"/>
      <c r="F164" s="519"/>
      <c r="G164" s="384"/>
      <c r="H164" s="384"/>
      <c r="I164" s="519"/>
      <c r="J164" s="384"/>
      <c r="K164" s="384"/>
      <c r="L164" s="384"/>
      <c r="M164" s="434"/>
      <c r="N164" s="434"/>
    </row>
    <row customHeight="1" ht="14.4525">
      <c r="A165" s="384"/>
      <c r="B165" s="384"/>
      <c r="C165" s="384"/>
      <c r="D165" s="384"/>
      <c r="E165" s="384"/>
      <c r="F165" s="519"/>
      <c r="G165" s="384"/>
      <c r="H165" s="384"/>
      <c r="I165" s="519"/>
      <c r="J165" s="384"/>
      <c r="K165" s="384"/>
      <c r="L165" s="384"/>
      <c r="M165" s="434"/>
      <c r="N165" s="434"/>
    </row>
    <row customHeight="1" ht="14.4525">
      <c r="A166" s="384"/>
      <c r="B166" s="384"/>
      <c r="C166" s="384"/>
      <c r="D166" s="384"/>
      <c r="E166" s="384"/>
      <c r="F166" s="519"/>
      <c r="G166" s="384"/>
      <c r="H166" s="384"/>
      <c r="I166" s="519"/>
      <c r="J166" s="384"/>
      <c r="K166" s="384"/>
      <c r="L166" s="384"/>
      <c r="M166" s="434"/>
      <c r="N166" s="434"/>
    </row>
    <row customHeight="1" ht="14.4525">
      <c r="A167" s="384"/>
      <c r="B167" s="384"/>
      <c r="C167" s="384"/>
      <c r="D167" s="384"/>
      <c r="E167" s="384"/>
      <c r="F167" s="519"/>
      <c r="G167" s="384"/>
      <c r="H167" s="384"/>
      <c r="I167" s="519"/>
      <c r="J167" s="384"/>
      <c r="K167" s="384"/>
      <c r="L167" s="384"/>
      <c r="M167" s="434"/>
      <c r="N167" s="434"/>
    </row>
    <row customHeight="1" ht="14.4525">
      <c r="A168" s="384"/>
      <c r="B168" s="384"/>
      <c r="C168" s="384"/>
      <c r="D168" s="384"/>
      <c r="E168" s="384"/>
      <c r="F168" s="519"/>
      <c r="G168" s="384"/>
      <c r="H168" s="384"/>
      <c r="I168" s="519"/>
      <c r="J168" s="384"/>
      <c r="K168" s="384"/>
      <c r="L168" s="384"/>
      <c r="M168" s="434"/>
      <c r="N168" s="434"/>
    </row>
    <row customHeight="1" ht="14.4525">
      <c r="A169" s="384"/>
      <c r="B169" s="384"/>
      <c r="C169" s="384"/>
      <c r="D169" s="384"/>
      <c r="E169" s="384"/>
      <c r="F169" s="519"/>
      <c r="G169" s="384"/>
      <c r="H169" s="384"/>
      <c r="I169" s="519"/>
      <c r="J169" s="384"/>
      <c r="K169" s="384"/>
      <c r="L169" s="384"/>
      <c r="M169" s="434"/>
      <c r="N169" s="434"/>
    </row>
    <row customHeight="1" ht="14.4525">
      <c r="A170" s="384"/>
      <c r="B170" s="384"/>
      <c r="C170" s="384"/>
      <c r="D170" s="384"/>
      <c r="E170" s="384"/>
      <c r="F170" s="519"/>
      <c r="G170" s="384"/>
      <c r="H170" s="384"/>
      <c r="I170" s="519"/>
      <c r="J170" s="384"/>
      <c r="K170" s="384"/>
      <c r="L170" s="384"/>
      <c r="M170" s="434"/>
      <c r="N170" s="434"/>
    </row>
    <row customHeight="1" ht="14.4525">
      <c r="A171" s="384"/>
      <c r="B171" s="384"/>
      <c r="C171" s="384"/>
      <c r="D171" s="384"/>
      <c r="E171" s="384"/>
      <c r="F171" s="519"/>
      <c r="G171" s="384"/>
      <c r="H171" s="384"/>
      <c r="I171" s="519"/>
      <c r="J171" s="384"/>
      <c r="K171" s="384"/>
      <c r="L171" s="384"/>
      <c r="M171" s="434"/>
      <c r="N171" s="434"/>
    </row>
    <row customHeight="1" ht="14.4525">
      <c r="A172" s="384"/>
      <c r="B172" s="384"/>
      <c r="C172" s="384"/>
      <c r="D172" s="384"/>
      <c r="E172" s="384"/>
      <c r="F172" s="519"/>
      <c r="G172" s="384"/>
      <c r="H172" s="384"/>
      <c r="I172" s="519"/>
      <c r="J172" s="384"/>
      <c r="K172" s="384"/>
      <c r="L172" s="384"/>
      <c r="M172" s="434"/>
      <c r="N172" s="434"/>
    </row>
    <row customHeight="1" ht="14.4525">
      <c r="A173" s="384"/>
      <c r="B173" s="384"/>
      <c r="C173" s="384"/>
      <c r="D173" s="384"/>
      <c r="E173" s="384"/>
      <c r="F173" s="519"/>
      <c r="G173" s="384"/>
      <c r="H173" s="384"/>
      <c r="I173" s="519"/>
      <c r="J173" s="384"/>
      <c r="K173" s="384"/>
      <c r="L173" s="384"/>
      <c r="M173" s="434"/>
      <c r="N173" s="434"/>
    </row>
    <row customHeight="1" ht="14.4525">
      <c r="A174" s="384"/>
      <c r="B174" s="384"/>
      <c r="C174" s="384"/>
      <c r="D174" s="384"/>
      <c r="E174" s="384"/>
      <c r="F174" s="519"/>
      <c r="G174" s="384"/>
      <c r="H174" s="384"/>
      <c r="I174" s="519"/>
      <c r="J174" s="384"/>
      <c r="K174" s="384"/>
      <c r="L174" s="384"/>
      <c r="M174" s="434"/>
      <c r="N174" s="434"/>
    </row>
    <row customHeight="1" ht="14.4525">
      <c r="A175" s="384"/>
      <c r="B175" s="384"/>
      <c r="C175" s="384"/>
      <c r="D175" s="384"/>
      <c r="E175" s="384"/>
      <c r="F175" s="519"/>
      <c r="G175" s="384"/>
      <c r="H175" s="384"/>
      <c r="I175" s="519"/>
      <c r="J175" s="384"/>
      <c r="K175" s="384"/>
      <c r="L175" s="384"/>
      <c r="M175" s="434"/>
      <c r="N175" s="434"/>
    </row>
  </sheetData>
  <mergeCells count="12">
    <mergeCell ref="B1:L1"/>
    <mergeCell ref="C2:I2"/>
    <mergeCell ref="J2:L2"/>
    <mergeCell ref="D3:F3"/>
    <mergeCell ref="G3:I3"/>
    <mergeCell ref="J3:K3"/>
    <mergeCell ref="D94:E94"/>
    <mergeCell ref="B3:B4"/>
    <mergeCell ref="B90:B93"/>
    <mergeCell ref="C3:C4"/>
    <mergeCell ref="L3:L4"/>
    <mergeCell ref="C90:L93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201E778-CF86-7071-4188-189DE3F1D946}" mc:Ignorable="x14ac xr xr2 xr3">
  <dimension ref="A1:V206"/>
  <sheetViews>
    <sheetView topLeftCell="A103" workbookViewId="0">
      <selection activeCell="H132" sqref="H132"/>
    </sheetView>
  </sheetViews>
  <sheetFormatPr defaultColWidth="9.00390625" customHeight="1" defaultRowHeight="13.5"/>
  <cols>
    <col min="2" max="2" style="52" width="14.140625" customWidth="1"/>
    <col min="3" max="3" style="52" width="23.7109375" customWidth="1"/>
    <col min="4" max="4" style="52" width="30.28125" customWidth="1"/>
    <col min="9" max="9" style="139" width="30.8515625" customWidth="1"/>
  </cols>
  <sheetData>
    <row customHeight="1" ht="13.5">
      <c r="A1" s="521"/>
      <c r="B1" s="434"/>
      <c r="C1" s="434"/>
      <c r="D1" s="434"/>
      <c r="E1" s="521"/>
      <c r="F1" s="521"/>
      <c r="G1" s="521"/>
      <c r="H1" s="521"/>
      <c r="I1" s="402"/>
      <c r="J1" s="521"/>
      <c r="K1" s="521"/>
      <c r="L1" s="521"/>
      <c r="M1" s="521"/>
      <c r="N1" s="521"/>
      <c r="O1" s="521"/>
      <c r="P1" s="521"/>
      <c r="Q1" s="521"/>
      <c r="R1" s="521"/>
      <c r="S1" s="521"/>
      <c r="T1" s="521"/>
      <c r="U1" s="521"/>
      <c r="V1" s="521"/>
    </row>
    <row customHeight="1" ht="13.5">
      <c r="A2" s="521"/>
      <c r="B2" s="522" t="s">
        <v>115</v>
      </c>
      <c r="C2" s="434"/>
      <c r="D2" s="434"/>
      <c r="E2" s="521"/>
      <c r="F2" s="521"/>
      <c r="G2" s="521"/>
      <c r="H2" s="521"/>
      <c r="I2" s="402"/>
      <c r="J2" s="521"/>
      <c r="K2" s="521"/>
      <c r="L2" s="521"/>
      <c r="M2" s="522" t="s">
        <v>116</v>
      </c>
      <c r="N2" s="521"/>
      <c r="O2" s="521"/>
      <c r="P2" s="521"/>
      <c r="Q2" s="521"/>
      <c r="R2" s="521"/>
      <c r="S2" s="521"/>
      <c r="T2" s="521"/>
      <c r="U2" s="521"/>
      <c r="V2" s="521"/>
    </row>
    <row customHeight="1" ht="13.5">
      <c r="A3" s="521"/>
      <c r="B3" s="434"/>
      <c r="C3" s="523" t="s">
        <v>117</v>
      </c>
      <c r="D3" s="434"/>
      <c r="E3" s="523" t="s">
        <v>118</v>
      </c>
      <c r="F3" s="521"/>
      <c r="G3" s="523" t="s">
        <v>119</v>
      </c>
      <c r="H3" s="521"/>
      <c r="I3" s="524" t="s">
        <v>120</v>
      </c>
      <c r="J3" s="521"/>
      <c r="K3" s="523" t="s">
        <v>121</v>
      </c>
      <c r="L3" s="521"/>
      <c r="M3" s="521"/>
      <c r="N3" s="523" t="s">
        <v>117</v>
      </c>
      <c r="O3" s="521"/>
      <c r="P3" s="523" t="s">
        <v>118</v>
      </c>
      <c r="Q3" s="521"/>
      <c r="R3" s="523" t="s">
        <v>119</v>
      </c>
      <c r="S3" s="521"/>
      <c r="T3" s="523" t="s">
        <v>120</v>
      </c>
      <c r="U3" s="521"/>
      <c r="V3" s="523" t="s">
        <v>121</v>
      </c>
    </row>
    <row customHeight="1" ht="13.5">
      <c r="A4" s="521"/>
      <c r="B4" s="525" t="s">
        <v>122</v>
      </c>
      <c r="C4" s="523">
        <f>_xlfn.IFERROR(C7/C8*100,"")</f>
        <v>2.52051239031253</v>
      </c>
      <c r="D4" s="434"/>
      <c r="E4" s="523">
        <f>_xlfn.IFERROR(E7/E8*100,"")</f>
        <v>4.70967252880534</v>
      </c>
      <c r="F4" s="521"/>
      <c r="G4" s="523">
        <f>_xlfn.IFERROR(G7/G8*100,"")</f>
        <v>4.58538584947665</v>
      </c>
      <c r="H4" s="521"/>
      <c r="I4" s="523">
        <f>_xlfn.IFERROR(I7/I8*100,"")</f>
        <v>3.9615310068576</v>
      </c>
      <c r="J4" s="521"/>
      <c r="K4" s="523">
        <f>_xlfn.IFERROR(C7+E7+G7+I7,"")</f>
        <v>84777</v>
      </c>
      <c r="L4" s="521"/>
      <c r="M4" s="521"/>
      <c r="N4" s="523">
        <f>_xlfn.IFERROR(N7/N8*100,"")</f>
        <v>2.50627490369878</v>
      </c>
      <c r="O4" s="521"/>
      <c r="P4" s="523">
        <f>_xlfn.IFERROR(P7/P8*100,"")</f>
        <v>4.45042883292998</v>
      </c>
      <c r="Q4" s="521"/>
      <c r="R4" s="523">
        <f>_xlfn.IFERROR(R7/R8*100,"")</f>
        <v>5.34450315656698</v>
      </c>
      <c r="S4" s="521"/>
      <c r="T4" s="523">
        <f>_xlfn.IFERROR(T7/T8*100,"")</f>
        <v>2.04207529857369</v>
      </c>
      <c r="U4" s="521"/>
      <c r="V4" s="523">
        <f>_xlfn.IFERROR(N7+P7+R7+T7,"")</f>
        <v>820867</v>
      </c>
    </row>
    <row customHeight="1" ht="13.5">
      <c r="A5" s="521"/>
      <c r="B5" s="525" t="s">
        <v>123</v>
      </c>
      <c r="C5" s="523">
        <f>_xlfn.IFERROR(C10/C11*100,"")</f>
        <v>0.765953575998431</v>
      </c>
      <c r="D5" s="434"/>
      <c r="E5" s="523">
        <f>_xlfn.IFERROR(E10/E11*100,"")</f>
        <v>0.734915100060643</v>
      </c>
      <c r="F5" s="521"/>
      <c r="G5" s="523">
        <f>_xlfn.IFERROR(G10/G11*100,"")</f>
        <v>1.52410366590573</v>
      </c>
      <c r="H5" s="521"/>
      <c r="I5" s="523">
        <f>_xlfn.IFERROR(I10/I11*100,"")</f>
        <v>1.03006082309616</v>
      </c>
      <c r="J5" s="521"/>
      <c r="K5" s="523">
        <f>_xlfn.IFERROR(C10+E10+G10+I10,"")</f>
        <v>23723.56</v>
      </c>
      <c r="L5" s="521"/>
      <c r="M5" s="521"/>
      <c r="N5" s="523">
        <f>_xlfn.IFERROR(N10/N11*100,"")</f>
        <v>0.757732248625708</v>
      </c>
      <c r="O5" s="521"/>
      <c r="P5" s="523">
        <f>_xlfn.IFERROR(P10/P11*100,"")</f>
        <v>0.73497370784514</v>
      </c>
      <c r="Q5" s="521"/>
      <c r="R5" s="523">
        <f>_xlfn.IFERROR(R10/R11*100,"")</f>
        <v>1.13417183378315</v>
      </c>
      <c r="S5" s="521"/>
      <c r="T5" s="523">
        <f>_xlfn.IFERROR(T10/T11*100,"")</f>
        <v>1.04002953657254</v>
      </c>
      <c r="U5" s="521"/>
      <c r="V5" s="523">
        <f>_xlfn.IFERROR(N10+P10+R10+T10,"")</f>
        <v>226352.82</v>
      </c>
    </row>
    <row customHeight="1" ht="13.5">
      <c r="A6" s="521"/>
      <c r="B6" s="434"/>
      <c r="C6" s="434"/>
      <c r="D6" s="434"/>
      <c r="E6" s="521"/>
      <c r="F6" s="521"/>
      <c r="G6" s="521"/>
      <c r="H6" s="521"/>
      <c r="I6" s="402"/>
      <c r="J6" s="521"/>
      <c r="K6" s="521"/>
      <c r="L6" s="521"/>
      <c r="M6" s="521"/>
      <c r="N6" s="521"/>
      <c r="O6" s="521"/>
      <c r="P6" s="521"/>
      <c r="Q6" s="521"/>
      <c r="R6" s="521"/>
      <c r="S6" s="521"/>
      <c r="T6" s="521"/>
      <c r="U6" s="521"/>
      <c r="V6" s="521"/>
    </row>
    <row customHeight="1" ht="13.5">
      <c r="A7" s="521"/>
      <c r="B7" s="434"/>
      <c r="C7" s="134">
        <v>24938</v>
      </c>
      <c r="D7" s="434"/>
      <c r="E7" s="134">
        <v>12426</v>
      </c>
      <c r="F7" s="521"/>
      <c r="G7" s="134">
        <v>25952</v>
      </c>
      <c r="H7" s="521"/>
      <c r="I7" s="402">
        <v>21461</v>
      </c>
      <c r="J7" s="521"/>
      <c r="K7" s="521"/>
      <c r="L7" s="521"/>
      <c r="M7" s="521"/>
      <c r="N7" s="134">
        <v>287320</v>
      </c>
      <c r="O7" s="521"/>
      <c r="P7" s="134">
        <v>162286</v>
      </c>
      <c r="Q7" s="521"/>
      <c r="R7" s="134">
        <v>257157</v>
      </c>
      <c r="S7" s="521"/>
      <c r="T7" s="134">
        <v>114104</v>
      </c>
      <c r="U7" s="521"/>
      <c r="V7" s="521"/>
    </row>
    <row customHeight="1" ht="13.5">
      <c r="A8" s="521"/>
      <c r="B8" s="434"/>
      <c r="C8" s="134">
        <v>989402</v>
      </c>
      <c r="D8" s="434"/>
      <c r="E8" s="134">
        <v>263840</v>
      </c>
      <c r="F8" s="521"/>
      <c r="G8" s="134">
        <v>565972</v>
      </c>
      <c r="H8" s="521"/>
      <c r="I8" s="134">
        <v>541735</v>
      </c>
      <c r="J8" s="521"/>
      <c r="K8" s="521"/>
      <c r="L8" s="521"/>
      <c r="M8" s="521"/>
      <c r="N8" s="134">
        <v>11464025.737</v>
      </c>
      <c r="O8" s="521"/>
      <c r="P8" s="134">
        <v>3646525</v>
      </c>
      <c r="Q8" s="521"/>
      <c r="R8" s="134">
        <v>4811616.58</v>
      </c>
      <c r="S8" s="521"/>
      <c r="T8" s="134">
        <v>5587649</v>
      </c>
      <c r="U8" s="521"/>
      <c r="V8" s="521"/>
    </row>
    <row customHeight="1" ht="13.5">
      <c r="A9" s="521"/>
      <c r="B9" s="434"/>
      <c r="C9" s="434"/>
      <c r="D9" s="434"/>
      <c r="E9" s="521"/>
      <c r="F9" s="521"/>
      <c r="G9" s="521"/>
      <c r="H9" s="521"/>
      <c r="I9" s="402"/>
      <c r="J9" s="521"/>
      <c r="K9" s="521"/>
      <c r="L9" s="521"/>
      <c r="M9" s="521"/>
      <c r="N9" s="521"/>
      <c r="O9" s="521"/>
      <c r="P9" s="521"/>
      <c r="Q9" s="521"/>
      <c r="R9" s="521"/>
      <c r="S9" s="521"/>
      <c r="T9" s="521"/>
      <c r="U9" s="521"/>
      <c r="V9" s="521"/>
    </row>
    <row customHeight="1" ht="13.5">
      <c r="A10" s="521"/>
      <c r="B10" s="434"/>
      <c r="C10" s="134">
        <v>7578.36</v>
      </c>
      <c r="D10" s="434"/>
      <c r="E10" s="134">
        <v>1939</v>
      </c>
      <c r="F10" s="521"/>
      <c r="G10" s="134">
        <v>8626</v>
      </c>
      <c r="H10" s="521"/>
      <c r="I10" s="134">
        <v>5580.20000000001</v>
      </c>
      <c r="J10" s="521"/>
      <c r="K10" s="521"/>
      <c r="L10" s="521"/>
      <c r="M10" s="521"/>
      <c r="N10" s="134">
        <v>86866.61999999998</v>
      </c>
      <c r="O10" s="521"/>
      <c r="P10" s="134">
        <v>26801</v>
      </c>
      <c r="Q10" s="521"/>
      <c r="R10" s="134">
        <v>54572</v>
      </c>
      <c r="S10" s="521"/>
      <c r="T10" s="134">
        <v>58113.20000000005</v>
      </c>
      <c r="U10" s="521"/>
      <c r="V10" s="521"/>
    </row>
    <row customHeight="1" ht="13.5">
      <c r="A11" s="521"/>
      <c r="B11" s="434"/>
      <c r="C11" s="134">
        <v>989402</v>
      </c>
      <c r="D11" s="434"/>
      <c r="E11" s="134">
        <v>263840</v>
      </c>
      <c r="F11" s="521"/>
      <c r="G11" s="134">
        <v>565972</v>
      </c>
      <c r="H11" s="521"/>
      <c r="I11" s="134">
        <v>541735</v>
      </c>
      <c r="J11" s="521"/>
      <c r="K11" s="521"/>
      <c r="L11" s="521"/>
      <c r="M11" s="521"/>
      <c r="N11" s="134">
        <v>11464025.737</v>
      </c>
      <c r="O11" s="521"/>
      <c r="P11" s="134">
        <v>3646525</v>
      </c>
      <c r="Q11" s="521"/>
      <c r="R11" s="134">
        <v>4811616.58</v>
      </c>
      <c r="S11" s="521"/>
      <c r="T11" s="134">
        <v>5587649</v>
      </c>
      <c r="U11" s="521"/>
      <c r="V11" s="521"/>
    </row>
    <row customHeight="1" ht="13.5">
      <c r="A12" s="521"/>
      <c r="B12" s="434"/>
      <c r="C12" s="434"/>
      <c r="D12" s="434"/>
      <c r="E12" s="521"/>
      <c r="F12" s="521"/>
      <c r="G12" s="521"/>
      <c r="H12" s="521"/>
      <c r="I12" s="402"/>
      <c r="J12" s="521"/>
      <c r="K12" s="521"/>
      <c r="L12" s="521"/>
      <c r="M12" s="521"/>
      <c r="N12" s="521"/>
      <c r="O12" s="521"/>
      <c r="P12" s="521"/>
      <c r="Q12" s="521"/>
      <c r="R12" s="521"/>
      <c r="S12" s="521"/>
      <c r="T12" s="521"/>
      <c r="U12" s="521"/>
      <c r="V12" s="521"/>
    </row>
    <row customHeight="1" ht="13.5">
      <c r="A13" s="521"/>
      <c r="B13" s="434"/>
      <c r="C13" s="434"/>
      <c r="D13" s="434"/>
      <c r="E13" s="521"/>
      <c r="F13" s="521"/>
      <c r="G13" s="521"/>
      <c r="H13" s="521"/>
      <c r="I13" s="402"/>
      <c r="J13" s="521"/>
      <c r="K13" s="521"/>
      <c r="L13" s="521"/>
      <c r="M13" s="521"/>
      <c r="N13" s="521"/>
      <c r="O13" s="521"/>
      <c r="P13" s="521"/>
      <c r="Q13" s="521"/>
      <c r="R13" s="521"/>
      <c r="S13" s="521"/>
      <c r="T13" s="521"/>
      <c r="U13" s="521"/>
      <c r="V13" s="521"/>
    </row>
    <row customHeight="1" ht="13.5">
      <c r="A14" s="521"/>
      <c r="B14" s="434"/>
      <c r="C14" s="434"/>
      <c r="D14" s="434"/>
      <c r="E14" s="521"/>
      <c r="F14" s="521"/>
      <c r="G14" s="521"/>
      <c r="H14" s="521"/>
      <c r="I14" s="402"/>
      <c r="J14" s="521"/>
      <c r="K14" s="521"/>
      <c r="L14" s="521"/>
      <c r="M14" s="521"/>
      <c r="N14" s="521"/>
      <c r="O14" s="521"/>
      <c r="P14" s="521"/>
      <c r="Q14" s="521"/>
      <c r="R14" s="521"/>
      <c r="S14" s="521"/>
      <c r="T14" s="521"/>
      <c r="U14" s="521"/>
      <c r="V14" s="521"/>
    </row>
    <row customHeight="1" ht="13.5">
      <c r="A15" s="521"/>
      <c r="B15" s="434"/>
      <c r="C15" s="434"/>
      <c r="D15" s="434"/>
      <c r="E15" s="521"/>
      <c r="F15" s="521"/>
      <c r="G15" s="521"/>
      <c r="H15" s="521"/>
      <c r="I15" s="402"/>
      <c r="J15" s="521"/>
      <c r="K15" s="521"/>
      <c r="L15" s="521"/>
      <c r="M15" s="521"/>
      <c r="N15" s="521"/>
      <c r="O15" s="521"/>
      <c r="P15" s="521"/>
      <c r="Q15" s="521"/>
      <c r="R15" s="521"/>
      <c r="S15" s="521"/>
      <c r="T15" s="521"/>
      <c r="U15" s="521"/>
      <c r="V15" s="521"/>
    </row>
    <row customHeight="1" ht="13.5">
      <c r="A16" s="521"/>
      <c r="B16" s="434"/>
      <c r="C16" s="434"/>
      <c r="D16" s="434"/>
      <c r="E16" s="521"/>
      <c r="F16" s="521"/>
      <c r="G16" s="521"/>
      <c r="H16" s="521"/>
      <c r="I16" s="402"/>
      <c r="J16" s="521"/>
      <c r="K16" s="521"/>
      <c r="L16" s="521"/>
      <c r="M16" s="521"/>
      <c r="N16" s="521"/>
      <c r="O16" s="521"/>
      <c r="P16" s="521"/>
      <c r="Q16" s="521"/>
      <c r="R16" s="521"/>
      <c r="S16" s="521"/>
      <c r="T16" s="521"/>
      <c r="U16" s="521"/>
      <c r="V16" s="521"/>
    </row>
    <row customHeight="1" ht="13.5">
      <c r="A17" s="521"/>
      <c r="B17" s="434"/>
      <c r="C17" s="434"/>
      <c r="D17" s="434"/>
      <c r="E17" s="521"/>
      <c r="F17" s="521"/>
      <c r="G17" s="521"/>
      <c r="H17" s="521"/>
      <c r="I17" s="402"/>
      <c r="J17" s="521"/>
      <c r="K17" s="521"/>
      <c r="L17" s="521"/>
      <c r="M17" s="521"/>
      <c r="N17" s="521"/>
      <c r="O17" s="521"/>
      <c r="P17" s="521"/>
      <c r="Q17" s="521"/>
      <c r="R17" s="521"/>
      <c r="S17" s="521"/>
      <c r="T17" s="521"/>
      <c r="U17" s="521"/>
      <c r="V17" s="521"/>
    </row>
    <row customHeight="1" ht="13.5">
      <c r="A18" s="521"/>
      <c r="B18" s="434"/>
      <c r="C18" s="434"/>
      <c r="D18" s="434"/>
      <c r="E18" s="521"/>
      <c r="F18" s="521"/>
      <c r="G18" s="521"/>
      <c r="H18" s="521"/>
      <c r="I18" s="402"/>
      <c r="J18" s="521"/>
      <c r="K18" s="521"/>
      <c r="L18" s="521"/>
      <c r="M18" s="521"/>
      <c r="N18" s="521"/>
      <c r="O18" s="521"/>
      <c r="P18" s="521"/>
      <c r="Q18" s="521"/>
      <c r="R18" s="521"/>
      <c r="S18" s="521"/>
      <c r="T18" s="521"/>
      <c r="U18" s="521"/>
      <c r="V18" s="521"/>
    </row>
    <row customHeight="1" ht="13.5">
      <c r="A19" s="521"/>
      <c r="B19" s="434"/>
      <c r="C19" s="434"/>
      <c r="D19" s="434"/>
      <c r="E19" s="521"/>
      <c r="F19" s="521"/>
      <c r="G19" s="521"/>
      <c r="H19" s="521"/>
      <c r="I19" s="402"/>
      <c r="J19" s="521"/>
      <c r="K19" s="521"/>
      <c r="L19" s="521"/>
      <c r="M19" s="521"/>
      <c r="N19" s="521"/>
      <c r="O19" s="521"/>
      <c r="P19" s="521"/>
      <c r="Q19" s="521"/>
      <c r="R19" s="521"/>
      <c r="S19" s="521"/>
      <c r="T19" s="521"/>
      <c r="U19" s="521"/>
      <c r="V19" s="521"/>
    </row>
    <row customHeight="1" ht="13.5">
      <c r="A20" s="521"/>
      <c r="B20" s="434" t="s">
        <v>124</v>
      </c>
      <c r="C20" s="134">
        <v>24552.64</v>
      </c>
      <c r="D20" s="528"/>
      <c r="E20" s="134">
        <v>14043.47</v>
      </c>
      <c r="F20" s="521"/>
      <c r="G20" s="134">
        <v>26881.22</v>
      </c>
      <c r="H20" s="521"/>
      <c r="I20" s="134">
        <v>42.21</v>
      </c>
      <c r="J20" s="521"/>
      <c r="K20" s="521"/>
      <c r="L20" s="521"/>
      <c r="M20" s="521"/>
      <c r="N20" s="134">
        <v>271660.8</v>
      </c>
      <c r="O20" s="521"/>
      <c r="P20" s="134">
        <v>165580.77</v>
      </c>
      <c r="Q20" s="521"/>
      <c r="R20" s="134">
        <v>278184</v>
      </c>
      <c r="S20" s="521"/>
      <c r="T20" s="134">
        <v>42.6</v>
      </c>
      <c r="U20" s="521"/>
      <c r="V20" s="521"/>
    </row>
    <row customHeight="1" ht="13.5">
      <c r="A21" s="521"/>
      <c r="B21" s="434"/>
      <c r="C21" s="134">
        <v>524629</v>
      </c>
      <c r="D21" s="528"/>
      <c r="E21" s="134">
        <v>252343</v>
      </c>
      <c r="F21" s="521"/>
      <c r="G21" s="134">
        <v>550368</v>
      </c>
      <c r="H21" s="521"/>
      <c r="I21" s="402"/>
      <c r="J21" s="521"/>
      <c r="K21" s="521"/>
      <c r="L21" s="521"/>
      <c r="M21" s="521"/>
      <c r="N21" s="134">
        <v>5905379</v>
      </c>
      <c r="O21" s="521"/>
      <c r="P21" s="134">
        <v>3486701</v>
      </c>
      <c r="Q21" s="521"/>
      <c r="R21" s="134">
        <v>4553852</v>
      </c>
      <c r="S21" s="521"/>
      <c r="T21" s="521"/>
      <c r="U21" s="521"/>
      <c r="V21" s="521"/>
    </row>
    <row customHeight="1" ht="13.5">
      <c r="A22" s="521"/>
      <c r="B22" s="434"/>
      <c r="C22" s="434">
        <f>C20/C21*1000</f>
        <v>46.8000053371049</v>
      </c>
      <c r="D22" s="528"/>
      <c r="E22" s="521">
        <f>E20/E21*1000</f>
        <v>55.6523065827069</v>
      </c>
      <c r="F22" s="521"/>
      <c r="G22" s="521">
        <f>G20/G21*1000</f>
        <v>48.8422655386941</v>
      </c>
      <c r="H22" s="521"/>
      <c r="I22" s="134">
        <f>I20</f>
        <v>42.21</v>
      </c>
      <c r="J22" s="521"/>
      <c r="K22" s="521">
        <f>(C22*C23+E22*E23+G22*G23+I22*I23)/K23</f>
        <v>66.557147641147</v>
      </c>
      <c r="L22" s="521"/>
      <c r="M22" s="521"/>
      <c r="N22" s="521">
        <f>N20/N21*1000</f>
        <v>46.0022633602348</v>
      </c>
      <c r="O22" s="521"/>
      <c r="P22" s="521">
        <f>P20/P21*1000</f>
        <v>47.4892369606685</v>
      </c>
      <c r="Q22" s="521"/>
      <c r="R22" s="521">
        <f>R20/R21*1000</f>
        <v>61.0876242794013</v>
      </c>
      <c r="S22" s="521"/>
      <c r="T22" s="134">
        <f>T20</f>
        <v>42.6</v>
      </c>
      <c r="U22" s="521"/>
      <c r="V22" s="521">
        <f>(N22*N23+P22*P23+R22*R23+T22*T23)/V23</f>
        <v>69.9948491215933</v>
      </c>
    </row>
    <row customHeight="1" ht="13.5">
      <c r="A23" s="521"/>
      <c r="B23" s="434"/>
      <c r="C23" s="134">
        <v>524629</v>
      </c>
      <c r="D23" s="528"/>
      <c r="E23" s="134">
        <v>252343</v>
      </c>
      <c r="F23" s="521"/>
      <c r="G23" s="134">
        <v>550368</v>
      </c>
      <c r="H23" s="521"/>
      <c r="I23" s="134">
        <v>541735</v>
      </c>
      <c r="J23" s="521"/>
      <c r="K23" s="521">
        <f>C23+E23+G23</f>
        <v>1327340</v>
      </c>
      <c r="L23" s="521"/>
      <c r="M23" s="521"/>
      <c r="N23" s="134">
        <v>5905379</v>
      </c>
      <c r="O23" s="521"/>
      <c r="P23" s="134">
        <v>3486701</v>
      </c>
      <c r="Q23" s="521"/>
      <c r="R23" s="134">
        <v>4553852</v>
      </c>
      <c r="S23" s="521"/>
      <c r="T23" s="134">
        <v>6120137</v>
      </c>
      <c r="U23" s="521"/>
      <c r="V23" s="521">
        <f>N23+P23+R23</f>
        <v>13945932</v>
      </c>
    </row>
    <row customHeight="1" ht="13.5">
      <c r="A24" s="521"/>
      <c r="B24" s="434"/>
      <c r="C24" s="434"/>
      <c r="D24" s="528"/>
      <c r="E24" s="521"/>
      <c r="F24" s="521"/>
      <c r="G24" s="521"/>
      <c r="H24" s="521"/>
      <c r="I24" s="402"/>
      <c r="J24" s="521"/>
      <c r="K24" s="521"/>
      <c r="L24" s="521"/>
      <c r="M24" s="521"/>
      <c r="N24" s="521"/>
      <c r="O24" s="521"/>
      <c r="P24" s="521"/>
      <c r="Q24" s="521"/>
      <c r="R24" s="521"/>
      <c r="S24" s="521"/>
      <c r="T24" s="521"/>
      <c r="U24" s="521"/>
      <c r="V24" s="521"/>
    </row>
    <row customHeight="1" ht="13.5">
      <c r="A25" s="521"/>
      <c r="B25" s="434"/>
      <c r="C25" s="434"/>
      <c r="D25" s="528"/>
      <c r="E25" s="521"/>
      <c r="F25" s="521"/>
      <c r="G25" s="521"/>
      <c r="H25" s="521"/>
      <c r="I25" s="402"/>
      <c r="J25" s="521"/>
      <c r="K25" s="521"/>
      <c r="L25" s="521"/>
      <c r="M25" s="521"/>
      <c r="N25" s="521"/>
      <c r="O25" s="521"/>
      <c r="P25" s="521"/>
      <c r="Q25" s="521"/>
      <c r="R25" s="521"/>
      <c r="S25" s="521"/>
      <c r="T25" s="521"/>
      <c r="U25" s="521"/>
      <c r="V25" s="521"/>
    </row>
    <row customHeight="1" ht="13.5">
      <c r="A26" s="521"/>
      <c r="B26" s="434"/>
      <c r="C26" s="434"/>
      <c r="D26" s="528"/>
      <c r="E26" s="521"/>
      <c r="F26" s="521"/>
      <c r="G26" s="521"/>
      <c r="H26" s="521"/>
      <c r="I26" s="402"/>
      <c r="J26" s="521"/>
      <c r="K26" s="521"/>
      <c r="L26" s="521"/>
      <c r="M26" s="521"/>
      <c r="N26" s="521"/>
      <c r="O26" s="521"/>
      <c r="P26" s="521"/>
      <c r="Q26" s="521"/>
      <c r="R26" s="521"/>
      <c r="S26" s="521"/>
      <c r="T26" s="521"/>
      <c r="U26" s="521"/>
      <c r="V26" s="521"/>
    </row>
    <row customHeight="1" ht="16.5">
      <c r="A27" s="521"/>
      <c r="B27" s="434"/>
      <c r="C27" s="434"/>
      <c r="D27" s="529"/>
      <c r="E27" s="521"/>
      <c r="F27" s="521"/>
      <c r="G27" s="521"/>
      <c r="H27" s="521"/>
      <c r="I27" s="402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</row>
    <row customHeight="1" ht="13.5">
      <c r="A28" s="521"/>
      <c r="B28" s="434"/>
      <c r="C28" s="434"/>
      <c r="D28" s="528"/>
      <c r="E28" s="521"/>
      <c r="F28" s="521"/>
      <c r="G28" s="521"/>
      <c r="H28" s="521"/>
      <c r="I28" s="402"/>
      <c r="J28" s="521"/>
      <c r="K28" s="521"/>
      <c r="L28" s="521"/>
      <c r="M28" s="521"/>
      <c r="N28" s="521"/>
      <c r="O28" s="521"/>
      <c r="P28" s="521"/>
      <c r="Q28" s="521"/>
      <c r="R28" s="521"/>
      <c r="S28" s="521"/>
      <c r="T28" s="521"/>
      <c r="U28" s="521"/>
      <c r="V28" s="521"/>
    </row>
    <row customHeight="1" ht="13.5">
      <c r="A29" s="521"/>
      <c r="B29" s="434"/>
      <c r="C29" s="434"/>
      <c r="D29" s="528"/>
      <c r="E29" s="521"/>
      <c r="F29" s="521"/>
      <c r="G29" s="521"/>
      <c r="H29" s="521"/>
      <c r="I29" s="402"/>
      <c r="J29" s="521"/>
      <c r="K29" s="521"/>
      <c r="L29" s="521"/>
      <c r="M29" s="521"/>
      <c r="N29" s="521"/>
      <c r="O29" s="521"/>
      <c r="P29" s="521"/>
      <c r="Q29" s="521"/>
      <c r="R29" s="521"/>
      <c r="S29" s="521"/>
      <c r="T29" s="521"/>
      <c r="U29" s="521"/>
      <c r="V29" s="521"/>
    </row>
    <row customHeight="1" ht="16.5">
      <c r="A30" s="521"/>
      <c r="B30" s="434"/>
      <c r="C30" s="434"/>
      <c r="D30" s="529"/>
      <c r="E30" s="521"/>
      <c r="F30" s="521"/>
      <c r="G30" s="521"/>
      <c r="H30" s="521"/>
      <c r="I30" s="402"/>
      <c r="J30" s="521"/>
      <c r="K30" s="521"/>
      <c r="L30" s="521"/>
      <c r="M30" s="521"/>
      <c r="N30" s="521"/>
      <c r="O30" s="521"/>
      <c r="P30" s="521"/>
      <c r="Q30" s="521"/>
      <c r="R30" s="521"/>
      <c r="S30" s="521"/>
      <c r="T30" s="521"/>
      <c r="U30" s="521"/>
      <c r="V30" s="521"/>
    </row>
    <row customHeight="1" ht="13.5">
      <c r="A31" s="521"/>
      <c r="B31" s="434"/>
      <c r="C31" s="434"/>
      <c r="D31" s="528"/>
      <c r="E31" s="521"/>
      <c r="F31" s="521"/>
      <c r="G31" s="521"/>
      <c r="H31" s="521"/>
      <c r="I31" s="402"/>
      <c r="J31" s="521"/>
      <c r="K31" s="521"/>
      <c r="L31" s="521"/>
      <c r="M31" s="521"/>
      <c r="N31" s="521"/>
      <c r="O31" s="521"/>
      <c r="P31" s="521"/>
      <c r="Q31" s="521"/>
      <c r="R31" s="521"/>
      <c r="S31" s="521"/>
      <c r="T31" s="521"/>
      <c r="U31" s="521"/>
      <c r="V31" s="521"/>
    </row>
    <row customHeight="1" ht="13.5">
      <c r="A32" s="521"/>
      <c r="B32" s="434"/>
      <c r="C32" s="434"/>
      <c r="D32" s="528"/>
      <c r="E32" s="521"/>
      <c r="F32" s="521"/>
      <c r="G32" s="521"/>
      <c r="H32" s="521"/>
      <c r="I32" s="402"/>
      <c r="J32" s="521"/>
      <c r="K32" s="521"/>
      <c r="L32" s="521"/>
      <c r="M32" s="521"/>
      <c r="N32" s="521"/>
      <c r="O32" s="521"/>
      <c r="P32" s="521"/>
      <c r="Q32" s="521"/>
      <c r="R32" s="521"/>
      <c r="S32" s="521"/>
      <c r="T32" s="521"/>
      <c r="U32" s="521"/>
      <c r="V32" s="521"/>
    </row>
    <row customHeight="1" ht="16.5">
      <c r="A33" s="521"/>
      <c r="B33" s="434"/>
      <c r="C33" s="434" t="s">
        <v>10</v>
      </c>
      <c r="D33" s="529" t="s">
        <v>13</v>
      </c>
      <c r="E33" s="521"/>
      <c r="F33" s="521"/>
      <c r="G33" s="521"/>
      <c r="H33" s="521"/>
      <c r="I33" s="402"/>
      <c r="J33" s="521"/>
      <c r="K33" s="521"/>
      <c r="L33" s="521"/>
      <c r="M33" s="521"/>
      <c r="N33" s="521"/>
      <c r="O33" s="521"/>
      <c r="P33" s="521"/>
      <c r="Q33" s="521"/>
      <c r="R33" s="521"/>
      <c r="S33" s="521"/>
      <c r="T33" s="521"/>
      <c r="U33" s="521"/>
      <c r="V33" s="521"/>
    </row>
    <row customHeight="1" ht="13.5">
      <c r="A34" s="521"/>
      <c r="B34" s="434"/>
      <c r="C34" s="530"/>
      <c r="D34" s="531"/>
      <c r="E34" s="521"/>
      <c r="F34" s="521"/>
      <c r="G34" s="521"/>
      <c r="H34" s="521"/>
      <c r="I34" s="402"/>
      <c r="J34" s="521"/>
      <c r="K34" s="521"/>
      <c r="L34" s="521"/>
      <c r="M34" s="521"/>
      <c r="N34" s="521"/>
      <c r="O34" s="521"/>
      <c r="P34" s="521"/>
      <c r="Q34" s="521"/>
      <c r="R34" s="521"/>
      <c r="S34" s="521"/>
      <c r="T34" s="521"/>
      <c r="U34" s="521"/>
      <c r="V34" s="521"/>
    </row>
    <row customHeight="1" ht="13.5">
      <c r="A35" s="521"/>
      <c r="B35" s="434">
        <v>7</v>
      </c>
      <c r="C35" s="399">
        <v>1280000</v>
      </c>
      <c r="D35" s="399">
        <v>15100000</v>
      </c>
      <c r="E35" s="521"/>
      <c r="F35" s="521"/>
      <c r="G35" s="521"/>
      <c r="H35" s="521"/>
      <c r="I35" s="402"/>
      <c r="J35" s="521"/>
      <c r="K35" s="521"/>
      <c r="L35" s="521"/>
      <c r="M35" s="521"/>
      <c r="N35" s="521"/>
      <c r="O35" s="521"/>
      <c r="P35" s="521"/>
      <c r="Q35" s="521"/>
      <c r="R35" s="521"/>
      <c r="S35" s="521"/>
      <c r="T35" s="521"/>
      <c r="U35" s="521"/>
      <c r="V35" s="521"/>
    </row>
    <row customHeight="1" ht="13.5">
      <c r="A36" s="521"/>
      <c r="B36" s="434">
        <v>8</v>
      </c>
      <c r="C36" s="399">
        <v>10300</v>
      </c>
      <c r="D36" s="399">
        <v>129528</v>
      </c>
      <c r="E36" s="521"/>
      <c r="F36" s="521"/>
      <c r="G36" s="521"/>
      <c r="H36" s="521"/>
      <c r="I36" s="402"/>
      <c r="J36" s="521"/>
      <c r="K36" s="521"/>
      <c r="L36" s="521"/>
      <c r="M36" s="521"/>
      <c r="N36" s="521"/>
      <c r="O36" s="521"/>
      <c r="P36" s="521"/>
      <c r="Q36" s="521"/>
      <c r="R36" s="521"/>
      <c r="S36" s="521"/>
      <c r="T36" s="521"/>
      <c r="U36" s="521"/>
      <c r="V36" s="521"/>
    </row>
    <row customHeight="1" ht="16.5">
      <c r="A37" s="521"/>
      <c r="B37" s="434">
        <v>9</v>
      </c>
      <c r="C37" s="400"/>
      <c r="D37" s="320"/>
      <c r="E37" s="521"/>
      <c r="F37" s="521"/>
      <c r="G37" s="521"/>
      <c r="H37" s="521"/>
      <c r="I37" s="402"/>
      <c r="J37" s="521"/>
      <c r="K37" s="521"/>
      <c r="L37" s="521"/>
      <c r="M37" s="521"/>
      <c r="N37" s="521"/>
      <c r="O37" s="521"/>
      <c r="P37" s="521"/>
      <c r="Q37" s="521"/>
      <c r="R37" s="521"/>
      <c r="S37" s="521"/>
      <c r="T37" s="521"/>
      <c r="U37" s="521"/>
      <c r="V37" s="521"/>
    </row>
    <row customHeight="1" ht="13.5">
      <c r="A38" s="521"/>
      <c r="B38" s="434">
        <v>10</v>
      </c>
      <c r="C38" s="400"/>
      <c r="D38" s="400">
        <f>_xlfn.IFERROR(SUM('延炼取值 '!G10,永炼取值!G10,榆炼取值!G10,石化取值!G10),"")</f>
        <v>0</v>
      </c>
      <c r="E38" s="521"/>
      <c r="F38" s="521"/>
      <c r="G38" s="521"/>
      <c r="H38" s="521"/>
      <c r="I38" s="402"/>
      <c r="J38" s="521"/>
      <c r="K38" s="521"/>
      <c r="L38" s="521"/>
      <c r="M38" s="521"/>
      <c r="N38" s="521"/>
      <c r="O38" s="521"/>
      <c r="P38" s="521"/>
      <c r="Q38" s="521"/>
      <c r="R38" s="521"/>
      <c r="S38" s="521"/>
      <c r="T38" s="521"/>
      <c r="U38" s="521"/>
      <c r="V38" s="521"/>
    </row>
    <row customHeight="1" ht="13.5">
      <c r="A39" s="521"/>
      <c r="B39" s="434">
        <v>11</v>
      </c>
      <c r="C39" s="399">
        <v>0</v>
      </c>
      <c r="D39" s="399"/>
      <c r="E39" s="521"/>
      <c r="F39" s="521"/>
      <c r="G39" s="521"/>
      <c r="H39" s="521"/>
      <c r="I39" s="402"/>
      <c r="J39" s="521"/>
      <c r="K39" s="521"/>
      <c r="L39" s="521"/>
      <c r="M39" s="521"/>
      <c r="N39" s="521"/>
      <c r="O39" s="521"/>
      <c r="P39" s="521"/>
      <c r="Q39" s="521"/>
      <c r="R39" s="521"/>
      <c r="S39" s="521"/>
      <c r="T39" s="521"/>
      <c r="U39" s="521"/>
      <c r="V39" s="521"/>
    </row>
    <row customHeight="1" ht="16.5">
      <c r="A40" s="521"/>
      <c r="B40" s="434">
        <v>12</v>
      </c>
      <c r="C40" s="400"/>
      <c r="D40" s="400">
        <f>_xlfn.IFERROR(SUM('延炼取值 '!G12,永炼取值!G12,榆炼取值!G12,石化取值!G12),"")</f>
        <v>0</v>
      </c>
      <c r="E40" s="521"/>
      <c r="F40" s="521"/>
      <c r="G40" s="521"/>
      <c r="H40" s="521"/>
      <c r="I40" s="402"/>
      <c r="J40" s="521"/>
      <c r="K40" s="521"/>
      <c r="L40" s="521"/>
      <c r="M40" s="521"/>
      <c r="N40" s="521"/>
      <c r="O40" s="521"/>
      <c r="P40" s="521"/>
      <c r="Q40" s="521"/>
      <c r="R40" s="521"/>
      <c r="S40" s="521"/>
      <c r="T40" s="521"/>
      <c r="U40" s="521"/>
      <c r="V40" s="521"/>
    </row>
    <row customHeight="1" ht="13.5">
      <c r="A41" s="521"/>
      <c r="B41" s="434">
        <v>13</v>
      </c>
      <c r="C41" s="399">
        <v>2200</v>
      </c>
      <c r="D41" s="399">
        <v>30625</v>
      </c>
      <c r="E41" s="521"/>
      <c r="F41" s="521"/>
      <c r="G41" s="521"/>
      <c r="H41" s="521"/>
      <c r="I41" s="402"/>
      <c r="J41" s="521"/>
      <c r="K41" s="521"/>
      <c r="L41" s="521"/>
      <c r="M41" s="521"/>
      <c r="N41" s="521"/>
      <c r="O41" s="521"/>
      <c r="P41" s="521"/>
      <c r="Q41" s="521"/>
      <c r="R41" s="521"/>
      <c r="S41" s="521"/>
      <c r="T41" s="521"/>
      <c r="U41" s="521"/>
      <c r="V41" s="521"/>
    </row>
    <row customHeight="1" ht="13.5">
      <c r="A42" s="521"/>
      <c r="B42" s="434">
        <v>14</v>
      </c>
      <c r="C42" s="400"/>
      <c r="D42" s="400">
        <f>_xlfn.IFERROR(SUM('延炼取值 '!G14,永炼取值!G14,榆炼取值!G14,石化取值!G14),"")</f>
        <v>0</v>
      </c>
      <c r="E42" s="521"/>
      <c r="F42" s="521"/>
      <c r="G42" s="521"/>
      <c r="H42" s="521"/>
      <c r="I42" s="402"/>
      <c r="J42" s="521"/>
      <c r="K42" s="521"/>
      <c r="L42" s="521"/>
      <c r="M42" s="521"/>
      <c r="N42" s="521"/>
      <c r="O42" s="521"/>
      <c r="P42" s="521"/>
      <c r="Q42" s="521"/>
      <c r="R42" s="521"/>
      <c r="S42" s="521"/>
      <c r="T42" s="521"/>
      <c r="U42" s="521"/>
      <c r="V42" s="521"/>
    </row>
    <row customHeight="1" ht="16.5">
      <c r="A43" s="521"/>
      <c r="B43" s="434">
        <v>15</v>
      </c>
      <c r="C43" s="400"/>
      <c r="D43" s="400">
        <f>_xlfn.IFERROR(SUM('延炼取值 '!G15,永炼取值!G15,榆炼取值!G15,石化取值!G15),"")</f>
        <v>50000</v>
      </c>
      <c r="E43" s="521"/>
      <c r="F43" s="521"/>
      <c r="G43" s="521"/>
      <c r="H43" s="521"/>
      <c r="I43" s="402"/>
      <c r="J43" s="521"/>
      <c r="K43" s="521"/>
      <c r="L43" s="521"/>
      <c r="M43" s="521"/>
      <c r="N43" s="521"/>
      <c r="O43" s="521"/>
      <c r="P43" s="521"/>
      <c r="Q43" s="521"/>
      <c r="R43" s="521"/>
      <c r="S43" s="521"/>
      <c r="T43" s="521"/>
      <c r="U43" s="521"/>
      <c r="V43" s="521"/>
    </row>
    <row customHeight="1" ht="13.5">
      <c r="A44" s="521"/>
      <c r="B44" s="434">
        <v>16</v>
      </c>
      <c r="C44" s="400"/>
      <c r="D44" s="400">
        <f>_xlfn.IFERROR(SUM('延炼取值 '!G16,永炼取值!G16,榆炼取值!G16,石化取值!G16),"")</f>
        <v>0</v>
      </c>
      <c r="E44" s="521"/>
      <c r="F44" s="521"/>
      <c r="G44" s="521"/>
      <c r="H44" s="521"/>
      <c r="I44" s="402"/>
      <c r="J44" s="521"/>
      <c r="K44" s="521"/>
      <c r="L44" s="521"/>
      <c r="M44" s="521"/>
      <c r="N44" s="521"/>
      <c r="O44" s="521"/>
      <c r="P44" s="521"/>
      <c r="Q44" s="521"/>
      <c r="R44" s="521"/>
      <c r="S44" s="521"/>
      <c r="T44" s="521"/>
      <c r="U44" s="521"/>
      <c r="V44" s="521"/>
    </row>
    <row customHeight="1" ht="13.5">
      <c r="A45" s="521"/>
      <c r="B45" s="434">
        <v>17</v>
      </c>
      <c r="C45" s="399">
        <v>1280000</v>
      </c>
      <c r="D45" s="399">
        <v>15100000</v>
      </c>
      <c r="E45" s="521"/>
      <c r="F45" s="521"/>
      <c r="G45" s="521"/>
      <c r="H45" s="521"/>
      <c r="I45" s="402"/>
      <c r="J45" s="521"/>
      <c r="K45" s="521"/>
      <c r="L45" s="521"/>
      <c r="M45" s="521"/>
      <c r="N45" s="521"/>
      <c r="O45" s="521"/>
      <c r="P45" s="521"/>
      <c r="Q45" s="521"/>
      <c r="R45" s="521"/>
      <c r="S45" s="521"/>
      <c r="T45" s="521"/>
      <c r="U45" s="521"/>
      <c r="V45" s="521"/>
    </row>
    <row customHeight="1" ht="13.5">
      <c r="A46" s="521"/>
      <c r="B46" s="434">
        <v>18</v>
      </c>
      <c r="C46" s="400"/>
      <c r="D46" s="400"/>
      <c r="E46" s="521"/>
      <c r="F46" s="521"/>
      <c r="G46" s="521"/>
      <c r="H46" s="521"/>
      <c r="I46" s="402"/>
      <c r="J46" s="521"/>
      <c r="K46" s="521"/>
      <c r="L46" s="521"/>
      <c r="M46" s="521"/>
      <c r="N46" s="521"/>
      <c r="O46" s="521"/>
      <c r="P46" s="521"/>
      <c r="Q46" s="521"/>
      <c r="R46" s="521"/>
      <c r="S46" s="521"/>
      <c r="T46" s="521"/>
      <c r="U46" s="521"/>
      <c r="V46" s="521"/>
    </row>
    <row customHeight="1" ht="16.5">
      <c r="A47" s="521"/>
      <c r="B47" s="434">
        <v>19</v>
      </c>
      <c r="C47" s="399">
        <v>497000</v>
      </c>
      <c r="D47" s="399">
        <v>5980000</v>
      </c>
      <c r="E47" s="521"/>
      <c r="F47" s="521"/>
      <c r="G47" s="521"/>
      <c r="H47" s="521"/>
      <c r="I47" s="402"/>
      <c r="J47" s="521"/>
      <c r="K47" s="521"/>
      <c r="L47" s="521"/>
      <c r="M47" s="521"/>
      <c r="N47" s="521"/>
      <c r="O47" s="521"/>
      <c r="P47" s="521"/>
      <c r="Q47" s="521"/>
      <c r="R47" s="521"/>
      <c r="S47" s="521"/>
      <c r="T47" s="521"/>
      <c r="U47" s="521"/>
      <c r="V47" s="521"/>
    </row>
    <row customHeight="1" ht="13.5">
      <c r="A48" s="521"/>
      <c r="B48" s="434">
        <v>20</v>
      </c>
      <c r="C48" s="399">
        <v>220500</v>
      </c>
      <c r="D48" s="399">
        <v>2570000</v>
      </c>
      <c r="E48" s="521"/>
      <c r="F48" s="521"/>
      <c r="G48" s="521"/>
      <c r="H48" s="521"/>
      <c r="I48" s="402"/>
      <c r="J48" s="521"/>
      <c r="K48" s="521"/>
      <c r="L48" s="521"/>
      <c r="M48" s="521"/>
      <c r="N48" s="521"/>
      <c r="O48" s="521"/>
      <c r="P48" s="521"/>
      <c r="Q48" s="521"/>
      <c r="R48" s="521"/>
      <c r="S48" s="521"/>
      <c r="T48" s="521"/>
      <c r="U48" s="521"/>
      <c r="V48" s="521"/>
    </row>
    <row customHeight="1" ht="13.5">
      <c r="A49" s="521"/>
      <c r="B49" s="434">
        <v>21</v>
      </c>
      <c r="C49" s="399">
        <v>0</v>
      </c>
      <c r="D49" s="399"/>
      <c r="E49" s="521"/>
      <c r="F49" s="521"/>
      <c r="G49" s="521"/>
      <c r="H49" s="521"/>
      <c r="I49" s="402"/>
      <c r="J49" s="521"/>
      <c r="K49" s="521"/>
      <c r="L49" s="521"/>
      <c r="M49" s="521"/>
      <c r="N49" s="521"/>
      <c r="O49" s="521"/>
      <c r="P49" s="521"/>
      <c r="Q49" s="521"/>
      <c r="R49" s="521"/>
      <c r="S49" s="521"/>
      <c r="T49" s="521"/>
      <c r="U49" s="521"/>
      <c r="V49" s="521"/>
    </row>
    <row customHeight="1" ht="16.5">
      <c r="A50" s="521"/>
      <c r="B50" s="434">
        <v>22</v>
      </c>
      <c r="C50" s="400"/>
      <c r="D50" s="400"/>
      <c r="E50" s="521"/>
      <c r="F50" s="521"/>
      <c r="G50" s="521"/>
      <c r="H50" s="521"/>
      <c r="I50" s="402"/>
      <c r="J50" s="521"/>
      <c r="K50" s="521"/>
      <c r="L50" s="521"/>
      <c r="M50" s="521"/>
      <c r="N50" s="521"/>
      <c r="O50" s="521"/>
      <c r="P50" s="521"/>
      <c r="Q50" s="521"/>
      <c r="R50" s="521"/>
      <c r="S50" s="521"/>
      <c r="T50" s="521"/>
      <c r="U50" s="521"/>
      <c r="V50" s="521"/>
    </row>
    <row customHeight="1" ht="13.5">
      <c r="A51" s="521"/>
      <c r="B51" s="434">
        <v>23</v>
      </c>
      <c r="C51" s="399">
        <v>233000</v>
      </c>
      <c r="D51" s="399">
        <v>2890000</v>
      </c>
      <c r="E51" s="521"/>
      <c r="F51" s="521"/>
      <c r="G51" s="521"/>
      <c r="H51" s="521"/>
      <c r="I51" s="402"/>
      <c r="J51" s="521"/>
      <c r="K51" s="521"/>
      <c r="L51" s="521"/>
      <c r="M51" s="521"/>
      <c r="N51" s="521"/>
      <c r="O51" s="521"/>
      <c r="P51" s="521"/>
      <c r="Q51" s="521"/>
      <c r="R51" s="521"/>
      <c r="S51" s="521"/>
      <c r="T51" s="521"/>
      <c r="U51" s="521"/>
      <c r="V51" s="521"/>
    </row>
    <row customHeight="1" ht="13.5">
      <c r="A52" s="521"/>
      <c r="B52" s="434">
        <v>24</v>
      </c>
      <c r="C52" s="399">
        <v>476000</v>
      </c>
      <c r="D52" s="399">
        <v>5890000</v>
      </c>
      <c r="E52" s="521"/>
      <c r="F52" s="521"/>
      <c r="G52" s="521"/>
      <c r="H52" s="521"/>
      <c r="I52" s="402"/>
      <c r="J52" s="521"/>
      <c r="K52" s="521"/>
      <c r="L52" s="521"/>
      <c r="M52" s="521"/>
      <c r="N52" s="521"/>
      <c r="O52" s="521"/>
      <c r="P52" s="521"/>
      <c r="Q52" s="521"/>
      <c r="R52" s="521"/>
      <c r="S52" s="521"/>
      <c r="T52" s="521"/>
      <c r="U52" s="521"/>
      <c r="V52" s="521"/>
    </row>
    <row customHeight="1" ht="13.5">
      <c r="A53" s="521"/>
      <c r="B53" s="434">
        <v>25</v>
      </c>
      <c r="C53" s="399">
        <v>82600</v>
      </c>
      <c r="D53" s="399">
        <v>900000</v>
      </c>
      <c r="E53" s="521"/>
      <c r="F53" s="521"/>
      <c r="G53" s="521"/>
      <c r="H53" s="521"/>
      <c r="I53" s="402"/>
      <c r="J53" s="521"/>
      <c r="K53" s="521"/>
      <c r="L53" s="521"/>
      <c r="M53" s="521"/>
      <c r="N53" s="521"/>
      <c r="O53" s="521"/>
      <c r="P53" s="521"/>
      <c r="Q53" s="521"/>
      <c r="R53" s="521"/>
      <c r="S53" s="521"/>
      <c r="T53" s="521"/>
      <c r="U53" s="521"/>
      <c r="V53" s="521"/>
    </row>
    <row customHeight="1" ht="13.5">
      <c r="A54" s="521"/>
      <c r="B54" s="434">
        <v>26</v>
      </c>
      <c r="C54" s="400"/>
      <c r="D54" s="400">
        <v>525843</v>
      </c>
      <c r="E54" s="521"/>
      <c r="F54" s="521"/>
      <c r="G54" s="521"/>
      <c r="H54" s="521"/>
      <c r="I54" s="402"/>
      <c r="J54" s="521"/>
      <c r="K54" s="521"/>
      <c r="L54" s="521"/>
      <c r="M54" s="521"/>
      <c r="N54" s="521"/>
      <c r="O54" s="521"/>
      <c r="P54" s="521"/>
      <c r="Q54" s="521"/>
      <c r="R54" s="521"/>
      <c r="S54" s="521"/>
      <c r="T54" s="521"/>
      <c r="U54" s="521"/>
      <c r="V54" s="521"/>
    </row>
    <row customHeight="1" ht="13.5">
      <c r="A55" s="521"/>
      <c r="B55" s="434">
        <v>27</v>
      </c>
      <c r="C55" s="400"/>
      <c r="D55" s="400"/>
      <c r="E55" s="521"/>
      <c r="F55" s="521"/>
      <c r="G55" s="521"/>
      <c r="H55" s="521"/>
      <c r="I55" s="402"/>
      <c r="J55" s="521"/>
      <c r="K55" s="521"/>
      <c r="L55" s="521"/>
      <c r="M55" s="521"/>
      <c r="N55" s="521"/>
      <c r="O55" s="521"/>
      <c r="P55" s="521"/>
      <c r="Q55" s="521"/>
      <c r="R55" s="521"/>
      <c r="S55" s="521"/>
      <c r="T55" s="521"/>
      <c r="U55" s="521"/>
      <c r="V55" s="521"/>
    </row>
    <row customHeight="1" ht="13.5">
      <c r="A56" s="521"/>
      <c r="B56" s="434">
        <v>28</v>
      </c>
      <c r="C56" s="400"/>
      <c r="D56" s="400"/>
      <c r="E56" s="521"/>
      <c r="F56" s="521"/>
      <c r="G56" s="521"/>
      <c r="H56" s="521"/>
      <c r="I56" s="402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</row>
    <row customHeight="1" ht="13.5">
      <c r="A57" s="521"/>
      <c r="B57" s="434">
        <v>29</v>
      </c>
      <c r="C57" s="400"/>
      <c r="D57" s="400"/>
      <c r="E57" s="521"/>
      <c r="F57" s="521"/>
      <c r="G57" s="521"/>
      <c r="H57" s="521"/>
      <c r="I57" s="402"/>
      <c r="J57" s="521"/>
      <c r="K57" s="521"/>
      <c r="L57" s="521"/>
      <c r="M57" s="521"/>
      <c r="N57" s="521"/>
      <c r="O57" s="521"/>
      <c r="P57" s="521"/>
      <c r="Q57" s="521"/>
      <c r="R57" s="521"/>
      <c r="S57" s="521"/>
      <c r="T57" s="521"/>
      <c r="U57" s="521"/>
      <c r="V57" s="521"/>
    </row>
    <row customHeight="1" ht="13.5">
      <c r="A58" s="521"/>
      <c r="B58" s="434">
        <v>30</v>
      </c>
      <c r="C58" s="399">
        <v>499000</v>
      </c>
      <c r="D58" s="399">
        <v>4817524</v>
      </c>
      <c r="E58" s="521"/>
      <c r="F58" s="521"/>
      <c r="G58" s="521"/>
      <c r="H58" s="521"/>
      <c r="I58" s="402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21"/>
      <c r="U58" s="521"/>
      <c r="V58" s="521"/>
    </row>
    <row customHeight="1" ht="13.5">
      <c r="A59" s="521"/>
      <c r="B59" s="434">
        <v>31</v>
      </c>
      <c r="C59" s="399"/>
      <c r="D59" s="399">
        <v>3736408</v>
      </c>
      <c r="E59" s="521"/>
      <c r="F59" s="521"/>
      <c r="G59" s="521"/>
      <c r="H59" s="521"/>
      <c r="I59" s="402"/>
      <c r="J59" s="521"/>
      <c r="K59" s="521"/>
      <c r="L59" s="521"/>
      <c r="M59" s="521"/>
      <c r="N59" s="521"/>
      <c r="O59" s="521"/>
      <c r="P59" s="521"/>
      <c r="Q59" s="521"/>
      <c r="R59" s="521"/>
      <c r="S59" s="521"/>
      <c r="T59" s="521"/>
      <c r="U59" s="521"/>
      <c r="V59" s="521"/>
    </row>
    <row customHeight="1" ht="13.5">
      <c r="A60" s="521"/>
      <c r="B60" s="434">
        <v>32</v>
      </c>
      <c r="C60" s="399"/>
      <c r="D60" s="399">
        <v>1058800</v>
      </c>
      <c r="E60" s="521"/>
      <c r="F60" s="521"/>
      <c r="G60" s="521"/>
      <c r="H60" s="521"/>
      <c r="I60" s="402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</row>
    <row customHeight="1" ht="13.5">
      <c r="A61" s="521"/>
      <c r="B61" s="434">
        <v>33</v>
      </c>
      <c r="C61" s="399"/>
      <c r="D61" s="400"/>
      <c r="E61" s="521"/>
      <c r="F61" s="521"/>
      <c r="G61" s="521"/>
      <c r="H61" s="521"/>
      <c r="I61" s="402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</row>
    <row customHeight="1" ht="13.5">
      <c r="A62" s="521"/>
      <c r="B62" s="434">
        <v>34</v>
      </c>
      <c r="C62" s="399">
        <v>441000</v>
      </c>
      <c r="D62" s="399">
        <v>5489343</v>
      </c>
      <c r="E62" s="521"/>
      <c r="F62" s="521"/>
      <c r="G62" s="521"/>
      <c r="H62" s="521"/>
      <c r="I62" s="402"/>
      <c r="J62" s="521"/>
      <c r="K62" s="521"/>
      <c r="L62" s="521"/>
      <c r="M62" s="521"/>
      <c r="N62" s="521"/>
      <c r="O62" s="521"/>
      <c r="P62" s="521"/>
      <c r="Q62" s="521"/>
      <c r="R62" s="521"/>
      <c r="S62" s="521"/>
      <c r="T62" s="521"/>
      <c r="U62" s="521"/>
      <c r="V62" s="521"/>
    </row>
    <row customHeight="1" ht="13.5">
      <c r="A63" s="521"/>
      <c r="B63" s="434">
        <v>35</v>
      </c>
      <c r="C63" s="400"/>
      <c r="D63" s="399"/>
      <c r="E63" s="521"/>
      <c r="F63" s="521"/>
      <c r="G63" s="521"/>
      <c r="H63" s="521"/>
      <c r="I63" s="402"/>
      <c r="J63" s="521"/>
      <c r="K63" s="521"/>
      <c r="L63" s="521"/>
      <c r="M63" s="521"/>
      <c r="N63" s="521"/>
      <c r="O63" s="521"/>
      <c r="P63" s="521"/>
      <c r="Q63" s="521"/>
      <c r="R63" s="521"/>
      <c r="S63" s="521"/>
      <c r="T63" s="521"/>
      <c r="U63" s="521"/>
      <c r="V63" s="521"/>
    </row>
    <row customHeight="1" ht="13.5">
      <c r="A64" s="521"/>
      <c r="B64" s="434">
        <v>36</v>
      </c>
      <c r="C64" s="399"/>
      <c r="D64" s="399"/>
      <c r="E64" s="521"/>
      <c r="F64" s="521"/>
      <c r="G64" s="521"/>
      <c r="H64" s="521"/>
      <c r="I64" s="402"/>
      <c r="J64" s="521"/>
      <c r="K64" s="521"/>
      <c r="L64" s="521"/>
      <c r="M64" s="521"/>
      <c r="N64" s="521"/>
      <c r="O64" s="521"/>
      <c r="P64" s="521"/>
      <c r="Q64" s="521"/>
      <c r="R64" s="521"/>
      <c r="S64" s="521"/>
      <c r="T64" s="521"/>
      <c r="U64" s="521"/>
      <c r="V64" s="521"/>
    </row>
    <row customHeight="1" ht="13.5">
      <c r="A65" s="521"/>
      <c r="B65" s="434">
        <v>37</v>
      </c>
      <c r="C65" s="399">
        <v>30000</v>
      </c>
      <c r="D65" s="399"/>
      <c r="E65" s="521"/>
      <c r="F65" s="521"/>
      <c r="G65" s="521"/>
      <c r="H65" s="521"/>
      <c r="I65" s="402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</row>
    <row customHeight="1" ht="13.5">
      <c r="A66" s="521"/>
      <c r="B66" s="434">
        <v>38</v>
      </c>
      <c r="C66" s="399">
        <v>20000</v>
      </c>
      <c r="D66" s="399"/>
      <c r="E66" s="521"/>
      <c r="F66" s="521"/>
      <c r="G66" s="521"/>
      <c r="H66" s="521"/>
      <c r="I66" s="402"/>
      <c r="J66" s="521"/>
      <c r="K66" s="521"/>
      <c r="L66" s="521"/>
      <c r="M66" s="521"/>
      <c r="N66" s="521"/>
      <c r="O66" s="521"/>
      <c r="P66" s="521"/>
      <c r="Q66" s="521"/>
      <c r="R66" s="521"/>
      <c r="S66" s="521"/>
      <c r="T66" s="521"/>
      <c r="U66" s="521"/>
      <c r="V66" s="521"/>
    </row>
    <row customHeight="1" ht="13.5">
      <c r="A67" s="521"/>
      <c r="B67" s="434">
        <v>39</v>
      </c>
      <c r="C67" s="399"/>
      <c r="D67" s="400"/>
      <c r="E67" s="521"/>
      <c r="F67" s="521"/>
      <c r="G67" s="521"/>
      <c r="H67" s="521"/>
      <c r="I67" s="402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</row>
    <row customHeight="1" ht="13.5">
      <c r="A68" s="521"/>
      <c r="B68" s="434">
        <v>40</v>
      </c>
      <c r="C68" s="399"/>
      <c r="D68" s="399">
        <v>500000</v>
      </c>
      <c r="E68" s="521"/>
      <c r="F68" s="521"/>
      <c r="G68" s="521"/>
      <c r="H68" s="521"/>
      <c r="I68" s="402"/>
      <c r="J68" s="521"/>
      <c r="K68" s="521"/>
      <c r="L68" s="521"/>
      <c r="M68" s="521"/>
      <c r="N68" s="521"/>
      <c r="O68" s="521"/>
      <c r="P68" s="521"/>
      <c r="Q68" s="521"/>
      <c r="R68" s="521"/>
      <c r="S68" s="521"/>
      <c r="T68" s="521"/>
      <c r="U68" s="521"/>
      <c r="V68" s="521"/>
    </row>
    <row customHeight="1" ht="13.5">
      <c r="A69" s="521"/>
      <c r="B69" s="434">
        <v>41</v>
      </c>
      <c r="C69" s="399">
        <f>_xlfn.IFERROR(SUM(C70:C72),"")</f>
        <v>7300</v>
      </c>
      <c r="D69" s="320">
        <f>_xlfn.IFERROR(SUM(D70:D72),"")</f>
        <v>196525</v>
      </c>
      <c r="E69" s="521"/>
      <c r="F69" s="521"/>
      <c r="G69" s="521"/>
      <c r="H69" s="521"/>
      <c r="I69" s="402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</row>
    <row customHeight="1" ht="13.5">
      <c r="A70" s="521"/>
      <c r="B70" s="434">
        <v>42</v>
      </c>
      <c r="C70" s="399"/>
      <c r="D70" s="320">
        <v>95425</v>
      </c>
      <c r="E70" s="521" t="s">
        <v>125</v>
      </c>
      <c r="F70" s="521"/>
      <c r="G70" s="521"/>
      <c r="H70" s="521"/>
      <c r="I70" s="402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</row>
    <row customHeight="1" ht="13.5">
      <c r="A71" s="521"/>
      <c r="B71" s="434">
        <v>43</v>
      </c>
      <c r="C71" s="399">
        <v>5500</v>
      </c>
      <c r="D71" s="320">
        <v>70300</v>
      </c>
      <c r="E71" s="521" t="s">
        <v>126</v>
      </c>
      <c r="F71" s="521"/>
      <c r="G71" s="521"/>
      <c r="H71" s="521"/>
      <c r="I71" s="402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</row>
    <row customHeight="1" ht="13.5">
      <c r="A72" s="521"/>
      <c r="B72" s="434">
        <v>44</v>
      </c>
      <c r="C72" s="399">
        <v>1800</v>
      </c>
      <c r="D72" s="320">
        <v>30800</v>
      </c>
      <c r="E72" s="521"/>
      <c r="F72" s="521"/>
      <c r="G72" s="521"/>
      <c r="H72" s="521"/>
      <c r="I72" s="402"/>
      <c r="J72" s="521"/>
      <c r="K72" s="521"/>
      <c r="L72" s="521"/>
      <c r="M72" s="521"/>
      <c r="N72" s="521"/>
      <c r="O72" s="521"/>
      <c r="P72" s="521"/>
      <c r="Q72" s="521"/>
      <c r="R72" s="521"/>
      <c r="S72" s="521"/>
      <c r="T72" s="521"/>
      <c r="U72" s="521"/>
      <c r="V72" s="521"/>
    </row>
    <row customHeight="1" ht="13.5">
      <c r="A73" s="521"/>
      <c r="B73" s="434">
        <v>45</v>
      </c>
      <c r="C73" s="320">
        <f>_xlfn.IFERROR(SUM(C74:C77),"")</f>
        <v>0</v>
      </c>
      <c r="D73" s="403">
        <f>_xlfn.IFERROR(SUM(D74:D77),"")</f>
        <v>321255</v>
      </c>
      <c r="E73" s="521"/>
      <c r="F73" s="521"/>
      <c r="G73" s="521"/>
      <c r="H73" s="521"/>
      <c r="I73" s="402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</row>
    <row customHeight="1" ht="13.5">
      <c r="A74" s="521"/>
      <c r="B74" s="434">
        <v>46</v>
      </c>
      <c r="C74" s="400"/>
      <c r="D74" s="400"/>
      <c r="E74" s="521"/>
      <c r="F74" s="521"/>
      <c r="G74" s="521"/>
      <c r="H74" s="521"/>
      <c r="I74" s="402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21"/>
      <c r="V74" s="521"/>
    </row>
    <row customHeight="1" ht="13.5">
      <c r="A75" s="521"/>
      <c r="B75" s="434">
        <v>47</v>
      </c>
      <c r="C75" s="400"/>
      <c r="D75" s="400"/>
      <c r="E75" s="521"/>
      <c r="F75" s="521"/>
      <c r="G75" s="521"/>
      <c r="H75" s="521"/>
      <c r="I75" s="402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</row>
    <row customHeight="1" ht="13.5">
      <c r="A76" s="521"/>
      <c r="B76" s="434">
        <v>48</v>
      </c>
      <c r="C76" s="400"/>
      <c r="D76" s="400">
        <v>321255</v>
      </c>
      <c r="E76" s="521"/>
      <c r="F76" s="521"/>
      <c r="G76" s="521"/>
      <c r="H76" s="521"/>
      <c r="I76" s="402"/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</row>
    <row customHeight="1" ht="13.5">
      <c r="A77" s="521"/>
      <c r="B77" s="434">
        <v>49</v>
      </c>
      <c r="C77" s="400"/>
      <c r="D77" s="400"/>
      <c r="E77" s="521"/>
      <c r="F77" s="521"/>
      <c r="G77" s="521"/>
      <c r="H77" s="521"/>
      <c r="I77" s="402"/>
      <c r="J77" s="521"/>
      <c r="K77" s="521"/>
      <c r="L77" s="521"/>
      <c r="M77" s="521"/>
      <c r="N77" s="521"/>
      <c r="O77" s="521"/>
      <c r="P77" s="521"/>
      <c r="Q77" s="521"/>
      <c r="R77" s="521"/>
      <c r="S77" s="521"/>
      <c r="T77" s="521"/>
      <c r="U77" s="521"/>
      <c r="V77" s="521"/>
    </row>
    <row customHeight="1" ht="13.5">
      <c r="A78" s="521"/>
      <c r="B78" s="434">
        <v>50</v>
      </c>
      <c r="C78" s="400">
        <v>140000</v>
      </c>
      <c r="D78" s="320">
        <v>1350000</v>
      </c>
      <c r="E78" s="521"/>
      <c r="F78" s="521"/>
      <c r="G78" s="521"/>
      <c r="H78" s="521"/>
      <c r="I78" s="402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U78" s="521"/>
      <c r="V78" s="521"/>
    </row>
    <row customHeight="1" ht="13.5">
      <c r="A79" s="521"/>
      <c r="B79" s="434">
        <v>51</v>
      </c>
      <c r="C79" s="400">
        <v>7900</v>
      </c>
      <c r="D79" s="400"/>
      <c r="E79" s="521"/>
      <c r="F79" s="521"/>
      <c r="G79" s="521"/>
      <c r="H79" s="521"/>
      <c r="I79" s="402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</row>
    <row customHeight="1" ht="13.5">
      <c r="A80" s="521"/>
      <c r="B80" s="434">
        <v>52</v>
      </c>
      <c r="C80" s="400">
        <v>26199.939</v>
      </c>
      <c r="D80" s="400">
        <v>300000</v>
      </c>
      <c r="E80" s="521"/>
      <c r="F80" s="521"/>
      <c r="G80" s="521"/>
      <c r="H80" s="521"/>
      <c r="I80" s="402"/>
      <c r="J80" s="521"/>
      <c r="K80" s="521"/>
      <c r="L80" s="521"/>
      <c r="M80" s="521"/>
      <c r="N80" s="521"/>
      <c r="O80" s="521"/>
      <c r="P80" s="521"/>
      <c r="Q80" s="521"/>
      <c r="R80" s="521"/>
      <c r="S80" s="521"/>
      <c r="T80" s="521"/>
      <c r="U80" s="521"/>
      <c r="V80" s="521"/>
    </row>
    <row customHeight="1" ht="13.5">
      <c r="A81" s="521"/>
      <c r="B81" s="434">
        <v>53</v>
      </c>
      <c r="C81" s="400"/>
      <c r="D81" s="400">
        <v>50000</v>
      </c>
      <c r="E81" s="521"/>
      <c r="F81" s="521"/>
      <c r="G81" s="521"/>
      <c r="H81" s="521"/>
      <c r="I81" s="402"/>
      <c r="J81" s="521"/>
      <c r="K81" s="521"/>
      <c r="L81" s="521"/>
      <c r="M81" s="521"/>
      <c r="N81" s="521"/>
      <c r="O81" s="521"/>
      <c r="P81" s="521"/>
      <c r="Q81" s="521"/>
      <c r="R81" s="521"/>
      <c r="S81" s="521"/>
      <c r="T81" s="521"/>
      <c r="U81" s="521"/>
      <c r="V81" s="521"/>
    </row>
    <row customHeight="1" ht="13.5">
      <c r="A82" s="521"/>
      <c r="B82" s="434">
        <v>54</v>
      </c>
      <c r="C82" s="400">
        <v>4200</v>
      </c>
      <c r="D82" s="400">
        <v>41326</v>
      </c>
      <c r="E82" s="521"/>
      <c r="F82" s="521"/>
      <c r="G82" s="521"/>
      <c r="H82" s="521"/>
      <c r="I82" s="402"/>
      <c r="J82" s="521"/>
      <c r="K82" s="521"/>
      <c r="L82" s="521"/>
      <c r="M82" s="521"/>
      <c r="N82" s="521"/>
      <c r="O82" s="521"/>
      <c r="P82" s="521"/>
      <c r="Q82" s="521"/>
      <c r="R82" s="521"/>
      <c r="S82" s="521"/>
      <c r="T82" s="521"/>
      <c r="U82" s="521"/>
      <c r="V82" s="521"/>
    </row>
    <row customHeight="1" ht="13.5">
      <c r="A83" s="521"/>
      <c r="B83" s="434">
        <v>55</v>
      </c>
      <c r="C83" s="400"/>
      <c r="D83" s="400"/>
      <c r="E83" s="521"/>
      <c r="F83" s="521"/>
      <c r="G83" s="521"/>
      <c r="H83" s="521"/>
      <c r="I83" s="402"/>
      <c r="J83" s="521"/>
      <c r="K83" s="521"/>
      <c r="L83" s="521"/>
      <c r="M83" s="521"/>
      <c r="N83" s="521"/>
      <c r="O83" s="521"/>
      <c r="P83" s="521"/>
      <c r="Q83" s="521"/>
      <c r="R83" s="521"/>
      <c r="S83" s="521"/>
      <c r="T83" s="521"/>
      <c r="U83" s="521"/>
      <c r="V83" s="521"/>
    </row>
    <row customHeight="1" ht="13.5">
      <c r="A84" s="521"/>
      <c r="B84" s="434">
        <v>56</v>
      </c>
      <c r="C84" s="400">
        <v>5299.5702</v>
      </c>
      <c r="D84" s="400">
        <v>55000</v>
      </c>
      <c r="E84" s="521"/>
      <c r="F84" s="521"/>
      <c r="G84" s="521"/>
      <c r="H84" s="521"/>
      <c r="I84" s="402"/>
      <c r="J84" s="521"/>
      <c r="K84" s="521"/>
      <c r="L84" s="521"/>
      <c r="M84" s="521"/>
      <c r="N84" s="521"/>
      <c r="O84" s="521"/>
      <c r="P84" s="521"/>
      <c r="Q84" s="521"/>
      <c r="R84" s="521"/>
      <c r="S84" s="521"/>
      <c r="T84" s="521"/>
      <c r="U84" s="521"/>
      <c r="V84" s="521"/>
    </row>
    <row customHeight="1" ht="13.5">
      <c r="A85" s="521"/>
      <c r="B85" s="434">
        <v>57</v>
      </c>
      <c r="C85" s="400"/>
      <c r="D85" s="400"/>
      <c r="E85" s="521"/>
      <c r="F85" s="521"/>
      <c r="G85" s="521"/>
      <c r="H85" s="521"/>
      <c r="I85" s="402"/>
      <c r="J85" s="521"/>
      <c r="K85" s="521"/>
      <c r="L85" s="521"/>
      <c r="M85" s="521"/>
      <c r="N85" s="521"/>
      <c r="O85" s="521"/>
      <c r="P85" s="521"/>
      <c r="Q85" s="521"/>
      <c r="R85" s="521"/>
      <c r="S85" s="521"/>
      <c r="T85" s="521"/>
      <c r="U85" s="521"/>
      <c r="V85" s="521"/>
    </row>
    <row customHeight="1" ht="13.5">
      <c r="A86" s="521"/>
      <c r="B86" s="434">
        <v>58</v>
      </c>
      <c r="C86" s="400"/>
      <c r="D86" s="400"/>
      <c r="E86" s="521"/>
      <c r="F86" s="521"/>
      <c r="G86" s="521"/>
      <c r="H86" s="521"/>
      <c r="I86" s="402"/>
      <c r="J86" s="521"/>
      <c r="K86" s="521"/>
      <c r="L86" s="521"/>
      <c r="M86" s="521"/>
      <c r="N86" s="521"/>
      <c r="O86" s="521"/>
      <c r="P86" s="521"/>
      <c r="Q86" s="521"/>
      <c r="R86" s="521"/>
      <c r="S86" s="521"/>
      <c r="T86" s="521"/>
      <c r="U86" s="521"/>
      <c r="V86" s="521"/>
    </row>
    <row customHeight="1" ht="13.5">
      <c r="A87" s="521"/>
      <c r="B87" s="434">
        <v>59</v>
      </c>
      <c r="C87" s="400"/>
      <c r="D87" s="400">
        <v>25313</v>
      </c>
      <c r="E87" s="521"/>
      <c r="F87" s="521"/>
      <c r="G87" s="521"/>
      <c r="H87" s="521"/>
      <c r="I87" s="402"/>
      <c r="J87" s="521"/>
      <c r="K87" s="521"/>
      <c r="L87" s="521"/>
      <c r="M87" s="521"/>
      <c r="N87" s="521"/>
      <c r="O87" s="521"/>
      <c r="P87" s="521"/>
      <c r="Q87" s="521"/>
      <c r="R87" s="521"/>
      <c r="S87" s="521"/>
      <c r="T87" s="521"/>
      <c r="U87" s="521"/>
      <c r="V87" s="521"/>
    </row>
    <row customHeight="1" ht="13.5">
      <c r="A88" s="521"/>
      <c r="B88" s="434">
        <v>60</v>
      </c>
      <c r="C88" s="400"/>
      <c r="D88" s="400"/>
      <c r="E88" s="521"/>
      <c r="F88" s="521"/>
      <c r="G88" s="521"/>
      <c r="H88" s="521"/>
      <c r="I88" s="402"/>
      <c r="J88" s="521"/>
      <c r="K88" s="521"/>
      <c r="L88" s="521"/>
      <c r="M88" s="521"/>
      <c r="N88" s="521"/>
      <c r="O88" s="521"/>
      <c r="P88" s="521"/>
      <c r="Q88" s="521"/>
      <c r="R88" s="521"/>
      <c r="S88" s="521"/>
      <c r="T88" s="521"/>
      <c r="U88" s="521"/>
      <c r="V88" s="521"/>
    </row>
    <row customHeight="1" ht="13.5">
      <c r="A89" s="521"/>
      <c r="B89" s="434">
        <v>61</v>
      </c>
      <c r="C89" s="400">
        <v>18000.055</v>
      </c>
      <c r="D89" s="400">
        <v>210000</v>
      </c>
      <c r="E89" s="521"/>
      <c r="F89" s="521"/>
      <c r="G89" s="521"/>
      <c r="H89" s="521"/>
      <c r="I89" s="402"/>
      <c r="J89" s="521"/>
      <c r="K89" s="521"/>
      <c r="L89" s="521"/>
      <c r="M89" s="521"/>
      <c r="N89" s="521"/>
      <c r="O89" s="521"/>
      <c r="P89" s="521"/>
      <c r="Q89" s="521"/>
      <c r="R89" s="521"/>
      <c r="S89" s="521"/>
      <c r="T89" s="521"/>
      <c r="U89" s="521"/>
      <c r="V89" s="521"/>
    </row>
    <row customHeight="1" ht="13.5">
      <c r="A90" s="521"/>
      <c r="B90" s="434">
        <v>62</v>
      </c>
      <c r="C90" s="400"/>
      <c r="D90" s="400"/>
      <c r="E90" s="521"/>
      <c r="F90" s="521"/>
      <c r="G90" s="521"/>
      <c r="H90" s="521"/>
      <c r="I90" s="402"/>
      <c r="J90" s="521"/>
      <c r="K90" s="521"/>
      <c r="L90" s="521"/>
      <c r="M90" s="521"/>
      <c r="N90" s="521"/>
      <c r="O90" s="521"/>
      <c r="P90" s="521"/>
      <c r="Q90" s="521"/>
      <c r="R90" s="521"/>
      <c r="S90" s="521"/>
      <c r="T90" s="521"/>
      <c r="U90" s="521"/>
      <c r="V90" s="521"/>
    </row>
    <row customHeight="1" ht="13.5">
      <c r="A91" s="521"/>
      <c r="B91" s="434">
        <v>63</v>
      </c>
      <c r="C91" s="400">
        <v>26900</v>
      </c>
      <c r="D91" s="400">
        <v>290000</v>
      </c>
      <c r="E91" s="521"/>
      <c r="F91" s="521"/>
      <c r="G91" s="521"/>
      <c r="H91" s="521"/>
      <c r="I91" s="402"/>
      <c r="J91" s="521"/>
      <c r="K91" s="521"/>
      <c r="L91" s="521"/>
      <c r="M91" s="521"/>
      <c r="N91" s="521"/>
      <c r="O91" s="521"/>
      <c r="P91" s="521"/>
      <c r="Q91" s="521"/>
      <c r="R91" s="521"/>
      <c r="S91" s="521"/>
      <c r="T91" s="521"/>
      <c r="U91" s="521"/>
      <c r="V91" s="521"/>
    </row>
    <row customHeight="1" ht="13.5">
      <c r="A92" s="521"/>
      <c r="B92" s="434">
        <v>64</v>
      </c>
      <c r="C92" s="400"/>
      <c r="D92" s="400"/>
      <c r="E92" s="521"/>
      <c r="F92" s="521"/>
      <c r="G92" s="521"/>
      <c r="H92" s="521"/>
      <c r="I92" s="402"/>
      <c r="J92" s="521"/>
      <c r="K92" s="521"/>
      <c r="L92" s="521"/>
      <c r="M92" s="521"/>
      <c r="N92" s="521"/>
      <c r="O92" s="521"/>
      <c r="P92" s="521"/>
      <c r="Q92" s="521"/>
      <c r="R92" s="521"/>
      <c r="S92" s="521"/>
      <c r="T92" s="521"/>
      <c r="U92" s="521"/>
      <c r="V92" s="521"/>
    </row>
    <row customHeight="1" ht="13.5">
      <c r="A93" s="521"/>
      <c r="B93" s="434">
        <v>65</v>
      </c>
      <c r="C93" s="400"/>
      <c r="D93" s="400"/>
      <c r="E93" s="521"/>
      <c r="F93" s="521"/>
      <c r="G93" s="521"/>
      <c r="H93" s="521"/>
      <c r="I93" s="402"/>
      <c r="J93" s="521"/>
      <c r="K93" s="521"/>
      <c r="L93" s="521"/>
      <c r="M93" s="521"/>
      <c r="N93" s="521"/>
      <c r="O93" s="521"/>
      <c r="P93" s="521"/>
      <c r="Q93" s="521"/>
      <c r="R93" s="521"/>
      <c r="S93" s="521"/>
      <c r="T93" s="521"/>
      <c r="U93" s="521"/>
      <c r="V93" s="521"/>
    </row>
    <row customHeight="1" ht="13.5">
      <c r="A94" s="521"/>
      <c r="B94" s="434">
        <v>66</v>
      </c>
      <c r="C94" s="400"/>
      <c r="D94" s="400"/>
      <c r="E94" s="521"/>
      <c r="F94" s="521"/>
      <c r="G94" s="521"/>
      <c r="H94" s="521"/>
      <c r="I94" s="402"/>
      <c r="J94" s="521"/>
      <c r="K94" s="521"/>
      <c r="L94" s="521"/>
      <c r="M94" s="521"/>
      <c r="N94" s="521"/>
      <c r="O94" s="521"/>
      <c r="P94" s="521"/>
      <c r="Q94" s="521"/>
      <c r="R94" s="521"/>
      <c r="S94" s="521"/>
      <c r="T94" s="521"/>
      <c r="U94" s="521"/>
      <c r="V94" s="521"/>
    </row>
    <row customHeight="1" ht="13.5">
      <c r="A95" s="521"/>
      <c r="B95" s="434">
        <v>67</v>
      </c>
      <c r="C95" s="400"/>
      <c r="D95" s="400"/>
      <c r="E95" s="521"/>
      <c r="F95" s="521"/>
      <c r="G95" s="521"/>
      <c r="H95" s="521"/>
      <c r="I95" s="402"/>
      <c r="J95" s="521"/>
      <c r="K95" s="521"/>
      <c r="L95" s="521"/>
      <c r="M95" s="521"/>
      <c r="N95" s="521"/>
      <c r="O95" s="521"/>
      <c r="P95" s="521"/>
      <c r="Q95" s="521"/>
      <c r="R95" s="521"/>
      <c r="S95" s="521"/>
      <c r="T95" s="521"/>
      <c r="U95" s="521"/>
      <c r="V95" s="521"/>
    </row>
    <row customHeight="1" ht="13.5">
      <c r="A96" s="521"/>
      <c r="B96" s="434">
        <v>68</v>
      </c>
      <c r="C96" s="400">
        <f>_xlfn.IFERROR(SUM(C58,C62,C68),"")</f>
        <v>940000</v>
      </c>
      <c r="D96" s="400">
        <f>_xlfn.IFERROR(SUM(D58,D62,D68),"")</f>
        <v>10806867</v>
      </c>
      <c r="E96" s="521"/>
      <c r="F96" s="521"/>
      <c r="G96" s="521"/>
      <c r="H96" s="521"/>
      <c r="I96" s="402"/>
      <c r="J96" s="521"/>
      <c r="K96" s="521"/>
      <c r="L96" s="521"/>
      <c r="M96" s="521"/>
      <c r="N96" s="521"/>
      <c r="O96" s="521"/>
      <c r="P96" s="521"/>
      <c r="Q96" s="521"/>
      <c r="R96" s="521"/>
      <c r="S96" s="521"/>
      <c r="T96" s="521"/>
      <c r="U96" s="521"/>
      <c r="V96" s="521"/>
    </row>
    <row customHeight="1" ht="13.5">
      <c r="A97" s="521"/>
      <c r="B97" s="434">
        <v>69</v>
      </c>
      <c r="C97" s="404">
        <v>1153000</v>
      </c>
      <c r="D97" s="404">
        <v>14113572</v>
      </c>
      <c r="E97" s="521"/>
      <c r="F97" s="521"/>
      <c r="G97" s="521"/>
      <c r="H97" s="521"/>
      <c r="I97" s="402"/>
      <c r="J97" s="521"/>
      <c r="K97" s="521"/>
      <c r="L97" s="521"/>
      <c r="M97" s="521"/>
      <c r="N97" s="521"/>
      <c r="O97" s="521"/>
      <c r="P97" s="521"/>
      <c r="Q97" s="521"/>
      <c r="R97" s="521"/>
      <c r="S97" s="521"/>
      <c r="T97" s="521"/>
      <c r="U97" s="521"/>
      <c r="V97" s="521"/>
    </row>
    <row customHeight="1" ht="13.5">
      <c r="A98" s="521"/>
      <c r="B98" s="434">
        <v>70</v>
      </c>
      <c r="C98" s="404"/>
      <c r="D98" s="404">
        <v>92.5</v>
      </c>
      <c r="E98" s="521"/>
      <c r="F98" s="521"/>
      <c r="G98" s="521"/>
      <c r="H98" s="521"/>
      <c r="I98" s="402"/>
      <c r="J98" s="521"/>
      <c r="K98" s="521"/>
      <c r="L98" s="521"/>
      <c r="M98" s="521"/>
      <c r="N98" s="521"/>
      <c r="O98" s="521"/>
      <c r="P98" s="521"/>
      <c r="Q98" s="521"/>
      <c r="R98" s="521"/>
      <c r="S98" s="521"/>
      <c r="T98" s="521"/>
      <c r="U98" s="521"/>
      <c r="V98" s="521"/>
    </row>
    <row customHeight="1" ht="13.5">
      <c r="A99" s="521"/>
      <c r="B99" s="434">
        <v>71</v>
      </c>
      <c r="C99" s="404">
        <v>6</v>
      </c>
      <c r="D99" s="404">
        <v>5.55</v>
      </c>
      <c r="E99" s="521"/>
      <c r="F99" s="521"/>
      <c r="G99" s="521"/>
      <c r="H99" s="521"/>
      <c r="I99" s="402"/>
      <c r="J99" s="521"/>
      <c r="K99" s="521"/>
      <c r="L99" s="521"/>
      <c r="M99" s="521"/>
      <c r="N99" s="521"/>
      <c r="O99" s="521"/>
      <c r="P99" s="521"/>
      <c r="Q99" s="521"/>
      <c r="R99" s="521"/>
      <c r="S99" s="521"/>
      <c r="T99" s="521"/>
      <c r="U99" s="521"/>
      <c r="V99" s="521"/>
    </row>
    <row customHeight="1" ht="13.5">
      <c r="A100" s="521"/>
      <c r="B100" s="434">
        <v>72</v>
      </c>
      <c r="C100" s="404"/>
      <c r="D100" s="404">
        <v>1.95</v>
      </c>
      <c r="E100" s="521"/>
      <c r="F100" s="521"/>
      <c r="G100" s="521"/>
      <c r="H100" s="521"/>
      <c r="I100" s="402"/>
      <c r="J100" s="521"/>
      <c r="K100" s="521"/>
      <c r="L100" s="521"/>
      <c r="M100" s="521"/>
      <c r="N100" s="521"/>
      <c r="O100" s="521"/>
      <c r="P100" s="521"/>
      <c r="Q100" s="521"/>
      <c r="R100" s="521"/>
      <c r="S100" s="521"/>
      <c r="T100" s="521"/>
      <c r="U100" s="521"/>
      <c r="V100" s="521"/>
    </row>
    <row customHeight="1" ht="13.5">
      <c r="A101" s="521"/>
      <c r="B101" s="434">
        <v>73</v>
      </c>
      <c r="C101" s="404">
        <v>76.98402377592053</v>
      </c>
      <c r="D101" s="404">
        <v>77.5</v>
      </c>
      <c r="E101" s="521"/>
      <c r="F101" s="521"/>
      <c r="G101" s="521"/>
      <c r="H101" s="521"/>
      <c r="I101" s="402"/>
      <c r="J101" s="521"/>
      <c r="K101" s="521"/>
      <c r="L101" s="521"/>
      <c r="M101" s="521"/>
      <c r="N101" s="521"/>
      <c r="O101" s="521"/>
      <c r="P101" s="521"/>
      <c r="Q101" s="521"/>
      <c r="R101" s="521"/>
      <c r="S101" s="521"/>
      <c r="T101" s="521"/>
      <c r="U101" s="521"/>
      <c r="V101" s="521"/>
    </row>
    <row customHeight="1" ht="13.5">
      <c r="A102" s="521"/>
      <c r="B102" s="434">
        <v>74</v>
      </c>
      <c r="C102" s="404">
        <v>1.0500596185481936</v>
      </c>
      <c r="D102" s="404">
        <v>1.05</v>
      </c>
      <c r="E102" s="521"/>
      <c r="F102" s="521"/>
      <c r="G102" s="521"/>
      <c r="H102" s="521"/>
      <c r="I102" s="402"/>
      <c r="J102" s="521"/>
      <c r="K102" s="521"/>
      <c r="L102" s="521"/>
      <c r="M102" s="521"/>
      <c r="N102" s="521"/>
      <c r="O102" s="521"/>
      <c r="P102" s="521"/>
      <c r="Q102" s="521"/>
      <c r="R102" s="521"/>
      <c r="S102" s="521"/>
      <c r="T102" s="521"/>
      <c r="U102" s="521"/>
      <c r="V102" s="521"/>
    </row>
    <row customHeight="1" ht="13.5">
      <c r="A103" s="521"/>
      <c r="B103" s="434">
        <v>75</v>
      </c>
      <c r="C103" s="404"/>
      <c r="D103" s="404">
        <v>100</v>
      </c>
      <c r="E103" s="521"/>
      <c r="F103" s="521"/>
      <c r="G103" s="521"/>
      <c r="H103" s="521"/>
      <c r="I103" s="402"/>
      <c r="J103" s="521"/>
      <c r="K103" s="521"/>
      <c r="L103" s="521"/>
      <c r="M103" s="521"/>
      <c r="N103" s="521"/>
      <c r="O103" s="521"/>
      <c r="P103" s="521"/>
      <c r="Q103" s="521"/>
      <c r="R103" s="521"/>
      <c r="S103" s="521"/>
      <c r="T103" s="521"/>
      <c r="U103" s="521"/>
      <c r="V103" s="521"/>
    </row>
    <row customHeight="1" ht="13.5">
      <c r="A104" s="521"/>
      <c r="B104" s="434">
        <v>76</v>
      </c>
      <c r="C104" s="405"/>
      <c r="D104" s="405"/>
      <c r="E104" s="521"/>
      <c r="F104" s="521"/>
      <c r="G104" s="521"/>
      <c r="H104" s="521"/>
      <c r="I104" s="402"/>
      <c r="J104" s="521"/>
      <c r="K104" s="521"/>
      <c r="L104" s="521"/>
      <c r="M104" s="521"/>
      <c r="N104" s="521"/>
      <c r="O104" s="521"/>
      <c r="P104" s="521"/>
      <c r="Q104" s="521"/>
      <c r="R104" s="521"/>
      <c r="S104" s="521"/>
      <c r="T104" s="521"/>
      <c r="U104" s="521"/>
      <c r="V104" s="521"/>
    </row>
    <row customHeight="1" ht="13.5">
      <c r="A105" s="521"/>
      <c r="B105" s="434">
        <v>77</v>
      </c>
      <c r="C105" s="404">
        <v>48.565625</v>
      </c>
      <c r="D105" s="404">
        <v>48.97</v>
      </c>
      <c r="E105" s="521"/>
      <c r="F105" s="521"/>
      <c r="G105" s="521"/>
      <c r="H105" s="521"/>
      <c r="I105" s="402"/>
      <c r="J105" s="521"/>
      <c r="K105" s="521"/>
      <c r="L105" s="521"/>
      <c r="M105" s="521"/>
      <c r="N105" s="521"/>
      <c r="O105" s="521"/>
      <c r="P105" s="521"/>
      <c r="Q105" s="521"/>
      <c r="R105" s="521"/>
      <c r="S105" s="521"/>
      <c r="T105" s="521"/>
      <c r="U105" s="521"/>
      <c r="V105" s="521"/>
    </row>
    <row customHeight="1" ht="13.5">
      <c r="A106" s="521"/>
      <c r="B106" s="434">
        <v>78</v>
      </c>
      <c r="C106" s="404">
        <v>73.54975255709134</v>
      </c>
      <c r="D106" s="404">
        <v>86.03</v>
      </c>
      <c r="E106" s="521"/>
      <c r="F106" s="521"/>
      <c r="G106" s="521"/>
      <c r="H106" s="521"/>
      <c r="I106" s="402"/>
      <c r="J106" s="521"/>
      <c r="K106" s="521"/>
      <c r="L106" s="521"/>
      <c r="M106" s="521"/>
      <c r="N106" s="521"/>
      <c r="O106" s="521"/>
      <c r="P106" s="521"/>
      <c r="Q106" s="521"/>
      <c r="R106" s="521"/>
      <c r="S106" s="521"/>
      <c r="T106" s="521"/>
      <c r="U106" s="521"/>
      <c r="V106" s="521"/>
    </row>
    <row customHeight="1" ht="13.5">
      <c r="A107" s="521"/>
      <c r="B107" s="434">
        <v>79</v>
      </c>
      <c r="C107" s="404">
        <v>69.21730382293762</v>
      </c>
      <c r="D107" s="404">
        <v>69.77</v>
      </c>
      <c r="E107" s="521"/>
      <c r="F107" s="521"/>
      <c r="G107" s="521"/>
      <c r="H107" s="521"/>
      <c r="I107" s="402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</row>
    <row customHeight="1" ht="13.5">
      <c r="A108" s="521"/>
      <c r="B108" s="434">
        <v>80</v>
      </c>
      <c r="C108" s="404">
        <v>17.09517102615694</v>
      </c>
      <c r="D108" s="404">
        <v>16.26</v>
      </c>
      <c r="E108" s="521"/>
      <c r="F108" s="521"/>
      <c r="G108" s="521"/>
      <c r="H108" s="521"/>
      <c r="I108" s="402"/>
      <c r="J108" s="521"/>
      <c r="K108" s="521"/>
      <c r="L108" s="521"/>
      <c r="M108" s="521"/>
      <c r="N108" s="521"/>
      <c r="O108" s="521"/>
      <c r="P108" s="521"/>
      <c r="Q108" s="521"/>
      <c r="R108" s="521"/>
      <c r="S108" s="521"/>
      <c r="T108" s="521"/>
      <c r="U108" s="521"/>
      <c r="V108" s="521"/>
    </row>
    <row customHeight="1" ht="13.5">
      <c r="A109" s="521"/>
      <c r="B109" s="434">
        <v>81</v>
      </c>
      <c r="C109" s="404">
        <v>92.45374149659864</v>
      </c>
      <c r="D109" s="404">
        <v>92.68</v>
      </c>
      <c r="E109" s="521"/>
      <c r="F109" s="521"/>
      <c r="G109" s="521"/>
      <c r="H109" s="521"/>
      <c r="I109" s="402"/>
      <c r="J109" s="521"/>
      <c r="K109" s="521"/>
      <c r="L109" s="521"/>
      <c r="M109" s="521"/>
      <c r="N109" s="521"/>
      <c r="O109" s="521"/>
      <c r="P109" s="521"/>
      <c r="Q109" s="521"/>
      <c r="R109" s="521"/>
      <c r="S109" s="521"/>
      <c r="T109" s="521"/>
      <c r="U109" s="521"/>
      <c r="V109" s="521"/>
    </row>
    <row customHeight="1" ht="13.5">
      <c r="A110" s="521"/>
      <c r="B110" s="434">
        <v>82</v>
      </c>
      <c r="C110" s="404">
        <v>25.561438426958983</v>
      </c>
      <c r="D110" s="404">
        <v>24.69</v>
      </c>
      <c r="E110" s="521"/>
      <c r="F110" s="521"/>
      <c r="G110" s="521"/>
      <c r="H110" s="521"/>
      <c r="I110" s="402"/>
      <c r="J110" s="521"/>
      <c r="K110" s="521"/>
      <c r="L110" s="521"/>
      <c r="M110" s="521"/>
      <c r="N110" s="521"/>
      <c r="O110" s="521"/>
      <c r="P110" s="521"/>
      <c r="Q110" s="521"/>
      <c r="R110" s="521"/>
      <c r="S110" s="521"/>
      <c r="T110" s="521"/>
      <c r="U110" s="521"/>
      <c r="V110" s="521"/>
    </row>
    <row customHeight="1" ht="13.5">
      <c r="A111" s="521"/>
      <c r="B111" s="434">
        <v>83</v>
      </c>
      <c r="C111" s="404"/>
      <c r="D111" s="404"/>
      <c r="E111" s="521"/>
      <c r="F111" s="521"/>
      <c r="G111" s="521"/>
      <c r="H111" s="521"/>
      <c r="I111" s="402"/>
      <c r="J111" s="521"/>
      <c r="K111" s="521"/>
      <c r="L111" s="521"/>
      <c r="M111" s="521"/>
      <c r="N111" s="521"/>
      <c r="O111" s="521"/>
      <c r="P111" s="521"/>
      <c r="Q111" s="521"/>
      <c r="R111" s="521"/>
      <c r="S111" s="521"/>
      <c r="T111" s="521"/>
      <c r="U111" s="521"/>
      <c r="V111" s="521"/>
    </row>
    <row customHeight="1" ht="13.5">
      <c r="A112" s="521"/>
      <c r="B112" s="434">
        <v>84</v>
      </c>
      <c r="C112" s="404">
        <v>43.5</v>
      </c>
      <c r="D112" s="404">
        <v>40</v>
      </c>
      <c r="E112" s="521"/>
      <c r="F112" s="521"/>
      <c r="G112" s="521"/>
      <c r="H112" s="521"/>
      <c r="I112" s="402"/>
      <c r="J112" s="521"/>
      <c r="K112" s="521"/>
      <c r="L112" s="521"/>
      <c r="M112" s="521"/>
      <c r="N112" s="521"/>
      <c r="O112" s="521"/>
      <c r="P112" s="521"/>
      <c r="Q112" s="521"/>
      <c r="R112" s="521"/>
      <c r="S112" s="521"/>
      <c r="T112" s="521"/>
      <c r="U112" s="521"/>
      <c r="V112" s="521"/>
    </row>
    <row customHeight="1" ht="13.5">
      <c r="A113" s="521"/>
      <c r="B113" s="434">
        <v>85</v>
      </c>
      <c r="C113" s="404"/>
      <c r="D113" s="404"/>
      <c r="E113" s="521"/>
      <c r="F113" s="521"/>
      <c r="G113" s="521"/>
      <c r="H113" s="521"/>
      <c r="I113" s="402"/>
      <c r="J113" s="521"/>
      <c r="K113" s="521"/>
      <c r="L113" s="521"/>
      <c r="M113" s="521"/>
      <c r="N113" s="521"/>
      <c r="O113" s="521"/>
      <c r="P113" s="521"/>
      <c r="Q113" s="521"/>
      <c r="R113" s="521"/>
      <c r="S113" s="521"/>
      <c r="T113" s="521"/>
      <c r="U113" s="521"/>
      <c r="V113" s="521"/>
    </row>
    <row customHeight="1" ht="13.5">
      <c r="A114" s="521"/>
      <c r="B114" s="434">
        <v>86</v>
      </c>
      <c r="C114" s="404">
        <v>98.24463519313305</v>
      </c>
      <c r="D114" s="404">
        <v>98.65</v>
      </c>
      <c r="E114" s="521"/>
      <c r="F114" s="521"/>
      <c r="G114" s="521"/>
      <c r="H114" s="521"/>
      <c r="I114" s="402"/>
      <c r="J114" s="521"/>
      <c r="K114" s="521"/>
      <c r="L114" s="521"/>
      <c r="M114" s="521"/>
      <c r="N114" s="521"/>
      <c r="O114" s="521"/>
      <c r="P114" s="521"/>
      <c r="Q114" s="521"/>
      <c r="R114" s="521"/>
      <c r="S114" s="521"/>
      <c r="T114" s="521"/>
      <c r="U114" s="521"/>
      <c r="V114" s="521"/>
    </row>
    <row customHeight="1" ht="13.5">
      <c r="A115" s="521"/>
      <c r="B115" s="434">
        <v>87</v>
      </c>
      <c r="C115" s="406">
        <v>98.58781512605042</v>
      </c>
      <c r="D115" s="406">
        <v>98.87</v>
      </c>
      <c r="E115" s="521"/>
      <c r="F115" s="521"/>
      <c r="G115" s="521"/>
      <c r="H115" s="521"/>
      <c r="I115" s="402"/>
      <c r="J115" s="521"/>
      <c r="K115" s="521"/>
      <c r="L115" s="521"/>
      <c r="M115" s="521"/>
      <c r="N115" s="521"/>
      <c r="O115" s="521"/>
      <c r="P115" s="521"/>
      <c r="Q115" s="521"/>
      <c r="R115" s="521"/>
      <c r="S115" s="521"/>
      <c r="T115" s="521"/>
      <c r="U115" s="521"/>
      <c r="V115" s="521"/>
    </row>
    <row customHeight="1" ht="13.5">
      <c r="A116" s="521"/>
      <c r="B116" s="434">
        <v>89</v>
      </c>
      <c r="C116" s="406">
        <v>94</v>
      </c>
      <c r="D116" s="406"/>
      <c r="E116" s="521"/>
      <c r="F116" s="521"/>
      <c r="G116" s="521"/>
      <c r="H116" s="521"/>
      <c r="I116" s="402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</row>
    <row customHeight="1" ht="13.5">
      <c r="A117" s="521"/>
      <c r="B117" s="434"/>
      <c r="C117" s="407" t="s">
        <v>8</v>
      </c>
      <c r="D117" s="407"/>
      <c r="E117" s="521"/>
      <c r="F117" s="521"/>
      <c r="G117" s="521"/>
      <c r="H117" s="521"/>
      <c r="I117" s="402"/>
      <c r="J117" s="521"/>
      <c r="K117" s="521"/>
      <c r="L117" s="521"/>
      <c r="M117" s="521"/>
      <c r="N117" s="521"/>
      <c r="O117" s="521"/>
      <c r="P117" s="521"/>
      <c r="Q117" s="521"/>
      <c r="R117" s="521"/>
      <c r="S117" s="521"/>
      <c r="T117" s="521"/>
      <c r="U117" s="521"/>
      <c r="V117" s="521"/>
    </row>
    <row customHeight="1" ht="13.5">
      <c r="A118" s="521"/>
      <c r="B118" s="434"/>
      <c r="C118" s="407" t="s">
        <v>115</v>
      </c>
      <c r="D118" s="407" t="s">
        <v>116</v>
      </c>
      <c r="E118" s="521"/>
      <c r="F118" s="521"/>
      <c r="G118" s="521"/>
      <c r="H118" s="521"/>
      <c r="I118" s="402"/>
      <c r="J118" s="521"/>
      <c r="K118" s="521"/>
      <c r="L118" s="521"/>
      <c r="M118" s="521"/>
      <c r="N118" s="521"/>
      <c r="O118" s="521"/>
      <c r="P118" s="521"/>
      <c r="Q118" s="521"/>
      <c r="R118" s="521"/>
      <c r="S118" s="521"/>
      <c r="T118" s="521"/>
      <c r="U118" s="521"/>
      <c r="V118" s="521"/>
    </row>
    <row customHeight="1" ht="13.5">
      <c r="A119" s="521"/>
      <c r="B119" s="434">
        <v>6</v>
      </c>
      <c r="C119" s="540"/>
      <c r="D119" s="409"/>
      <c r="E119" s="521"/>
      <c r="F119" s="521"/>
      <c r="G119" s="521"/>
      <c r="H119" s="521"/>
      <c r="I119" s="402"/>
      <c r="J119" s="521"/>
      <c r="K119" s="521"/>
      <c r="L119" s="521"/>
      <c r="M119" s="521"/>
      <c r="N119" s="521"/>
      <c r="O119" s="521"/>
      <c r="P119" s="521"/>
      <c r="Q119" s="521"/>
      <c r="R119" s="521"/>
      <c r="S119" s="521"/>
      <c r="T119" s="521"/>
      <c r="U119" s="521"/>
      <c r="V119" s="521"/>
    </row>
    <row customHeight="1" ht="13.5">
      <c r="A120" s="521"/>
      <c r="B120" s="434">
        <v>7</v>
      </c>
      <c r="C120" s="540"/>
      <c r="D120" s="409"/>
      <c r="E120" s="521"/>
      <c r="F120" s="521"/>
      <c r="G120" s="521"/>
      <c r="H120" s="521"/>
      <c r="I120" s="402"/>
      <c r="J120" s="521"/>
      <c r="K120" s="521"/>
      <c r="L120" s="521"/>
      <c r="M120" s="521"/>
      <c r="N120" s="521"/>
      <c r="O120" s="521"/>
      <c r="P120" s="521"/>
      <c r="Q120" s="521"/>
      <c r="R120" s="521"/>
      <c r="S120" s="521"/>
      <c r="T120" s="521"/>
      <c r="U120" s="521"/>
      <c r="V120" s="521"/>
    </row>
    <row customHeight="1" ht="13.5">
      <c r="A121" s="521"/>
      <c r="B121" s="434">
        <v>8</v>
      </c>
      <c r="C121" s="540"/>
      <c r="D121" s="409"/>
      <c r="E121" s="521"/>
      <c r="F121" s="521"/>
      <c r="G121" s="521"/>
      <c r="H121" s="521"/>
      <c r="I121" s="402"/>
      <c r="J121" s="521"/>
      <c r="K121" s="521"/>
      <c r="L121" s="521"/>
      <c r="M121" s="521"/>
      <c r="N121" s="521"/>
      <c r="O121" s="521"/>
      <c r="P121" s="521"/>
      <c r="Q121" s="521"/>
      <c r="R121" s="521"/>
      <c r="S121" s="521"/>
      <c r="T121" s="521"/>
      <c r="U121" s="521"/>
      <c r="V121" s="521"/>
    </row>
    <row customHeight="1" ht="13.5">
      <c r="A122" s="521"/>
      <c r="B122" s="434">
        <v>9</v>
      </c>
      <c r="C122" s="540"/>
      <c r="D122" s="409"/>
      <c r="E122" s="521"/>
      <c r="F122" s="521"/>
      <c r="G122" s="521"/>
      <c r="H122" s="521"/>
      <c r="I122" s="402"/>
      <c r="J122" s="521"/>
      <c r="K122" s="521"/>
      <c r="L122" s="521"/>
      <c r="M122" s="521"/>
      <c r="N122" s="521"/>
      <c r="O122" s="521"/>
      <c r="P122" s="521"/>
      <c r="Q122" s="521"/>
      <c r="R122" s="521"/>
      <c r="S122" s="521"/>
      <c r="T122" s="521"/>
      <c r="U122" s="521"/>
      <c r="V122" s="521"/>
    </row>
    <row customHeight="1" ht="13.5">
      <c r="A123" s="521"/>
      <c r="B123" s="434">
        <v>10</v>
      </c>
      <c r="C123" s="540"/>
      <c r="D123" s="409"/>
      <c r="E123" s="521"/>
      <c r="F123" s="521"/>
      <c r="G123" s="521"/>
      <c r="H123" s="521"/>
      <c r="I123" s="402"/>
      <c r="J123" s="521"/>
      <c r="K123" s="521"/>
      <c r="L123" s="521"/>
      <c r="M123" s="521"/>
      <c r="N123" s="521"/>
      <c r="O123" s="521"/>
      <c r="P123" s="521"/>
      <c r="Q123" s="521"/>
      <c r="R123" s="521"/>
      <c r="S123" s="521"/>
      <c r="T123" s="521"/>
      <c r="U123" s="521"/>
      <c r="V123" s="521"/>
    </row>
    <row customHeight="1" ht="13.5">
      <c r="A124" s="521"/>
      <c r="B124" s="434">
        <v>11</v>
      </c>
      <c r="C124" s="540"/>
      <c r="D124" s="409"/>
      <c r="E124" s="521"/>
      <c r="F124" s="521"/>
      <c r="G124" s="521"/>
      <c r="H124" s="521"/>
      <c r="I124" s="402"/>
      <c r="J124" s="521"/>
      <c r="K124" s="521"/>
      <c r="L124" s="521"/>
      <c r="M124" s="521"/>
      <c r="N124" s="521"/>
      <c r="O124" s="521"/>
      <c r="P124" s="521"/>
      <c r="Q124" s="521"/>
      <c r="R124" s="521"/>
      <c r="S124" s="521"/>
      <c r="T124" s="521"/>
      <c r="U124" s="521"/>
      <c r="V124" s="521"/>
    </row>
    <row customHeight="1" ht="13.5">
      <c r="A125" s="521"/>
      <c r="B125" s="434">
        <v>12</v>
      </c>
      <c r="C125" s="540"/>
      <c r="D125" s="409"/>
      <c r="E125" s="521"/>
      <c r="F125" s="521"/>
      <c r="G125" s="521"/>
      <c r="H125" s="521"/>
      <c r="I125" s="402"/>
      <c r="J125" s="521"/>
      <c r="K125" s="521"/>
      <c r="L125" s="521"/>
      <c r="M125" s="521"/>
      <c r="N125" s="521"/>
      <c r="O125" s="521"/>
      <c r="P125" s="521"/>
      <c r="Q125" s="521"/>
      <c r="R125" s="521"/>
      <c r="S125" s="521"/>
      <c r="T125" s="521"/>
      <c r="U125" s="521"/>
      <c r="V125" s="521"/>
    </row>
    <row customHeight="1" ht="13.5">
      <c r="A126" s="521"/>
      <c r="B126" s="434">
        <v>13</v>
      </c>
      <c r="C126" s="540"/>
      <c r="D126" s="409"/>
      <c r="E126" s="521"/>
      <c r="F126" s="521"/>
      <c r="G126" s="521"/>
      <c r="H126" s="521"/>
      <c r="I126" s="402"/>
      <c r="J126" s="521"/>
      <c r="K126" s="521"/>
      <c r="L126" s="521"/>
      <c r="M126" s="521"/>
      <c r="N126" s="521"/>
      <c r="O126" s="521"/>
      <c r="P126" s="521"/>
      <c r="Q126" s="521"/>
      <c r="R126" s="521"/>
      <c r="S126" s="521"/>
      <c r="T126" s="521"/>
      <c r="U126" s="521"/>
      <c r="V126" s="521"/>
    </row>
    <row customHeight="1" ht="13.5">
      <c r="A127" s="521"/>
      <c r="B127" s="434">
        <v>14</v>
      </c>
      <c r="C127" s="540"/>
      <c r="D127" s="409"/>
      <c r="E127" s="521"/>
      <c r="F127" s="521"/>
      <c r="G127" s="521"/>
      <c r="H127" s="521"/>
      <c r="I127" s="402"/>
      <c r="J127" s="521"/>
      <c r="K127" s="521"/>
      <c r="L127" s="521"/>
      <c r="M127" s="521"/>
      <c r="N127" s="521"/>
      <c r="O127" s="521"/>
      <c r="P127" s="521"/>
      <c r="Q127" s="521"/>
      <c r="R127" s="521"/>
      <c r="S127" s="521"/>
      <c r="T127" s="521"/>
      <c r="U127" s="521"/>
      <c r="V127" s="521"/>
    </row>
    <row customHeight="1" ht="13.5">
      <c r="A128" s="521"/>
      <c r="B128" s="434">
        <v>15</v>
      </c>
      <c r="C128" s="540"/>
      <c r="D128" s="409"/>
      <c r="E128" s="521"/>
      <c r="F128" s="521"/>
      <c r="G128" s="521"/>
      <c r="H128" s="521"/>
      <c r="I128" s="402"/>
      <c r="J128" s="521"/>
      <c r="K128" s="521"/>
      <c r="L128" s="521"/>
      <c r="M128" s="521"/>
      <c r="N128" s="521"/>
      <c r="O128" s="521"/>
      <c r="P128" s="521"/>
      <c r="Q128" s="521"/>
      <c r="R128" s="521"/>
      <c r="S128" s="521"/>
      <c r="T128" s="521"/>
      <c r="U128" s="521"/>
      <c r="V128" s="521"/>
    </row>
    <row customHeight="1" ht="13.5">
      <c r="A129" s="521"/>
      <c r="B129" s="434">
        <v>16</v>
      </c>
      <c r="C129" s="540"/>
      <c r="D129" s="409"/>
      <c r="E129" s="521"/>
      <c r="F129" s="521"/>
      <c r="G129" s="521"/>
      <c r="H129" s="521"/>
      <c r="I129" s="402"/>
      <c r="J129" s="521"/>
      <c r="K129" s="521"/>
      <c r="L129" s="521"/>
      <c r="M129" s="521"/>
      <c r="N129" s="521"/>
      <c r="O129" s="521"/>
      <c r="P129" s="521"/>
      <c r="Q129" s="521"/>
      <c r="R129" s="521"/>
      <c r="S129" s="521"/>
      <c r="T129" s="521"/>
      <c r="U129" s="521"/>
      <c r="V129" s="521"/>
    </row>
    <row customHeight="1" ht="13.5">
      <c r="A130" s="521"/>
      <c r="B130" s="434">
        <v>17</v>
      </c>
      <c r="C130" s="540"/>
      <c r="D130" s="409"/>
      <c r="E130" s="521"/>
      <c r="F130" s="521"/>
      <c r="G130" s="521"/>
      <c r="H130" s="521"/>
      <c r="I130" s="402"/>
      <c r="J130" s="521"/>
      <c r="K130" s="521"/>
      <c r="L130" s="521"/>
      <c r="M130" s="521"/>
      <c r="N130" s="521"/>
      <c r="O130" s="521"/>
      <c r="P130" s="521"/>
      <c r="Q130" s="521"/>
      <c r="R130" s="521"/>
      <c r="S130" s="521"/>
      <c r="T130" s="521"/>
      <c r="U130" s="521"/>
      <c r="V130" s="521"/>
    </row>
    <row customHeight="1" ht="13.5">
      <c r="A131" s="521"/>
      <c r="B131" s="434">
        <v>18</v>
      </c>
      <c r="C131" s="540"/>
      <c r="D131" s="409"/>
      <c r="E131" s="521"/>
      <c r="F131" s="521"/>
      <c r="G131" s="521"/>
      <c r="H131" s="521"/>
      <c r="I131" s="402"/>
      <c r="J131" s="521"/>
      <c r="K131" s="521"/>
      <c r="L131" s="521"/>
      <c r="M131" s="521"/>
      <c r="N131" s="521"/>
      <c r="O131" s="521"/>
      <c r="P131" s="521"/>
      <c r="Q131" s="521"/>
      <c r="R131" s="521"/>
      <c r="S131" s="521"/>
      <c r="T131" s="521"/>
      <c r="U131" s="521"/>
      <c r="V131" s="521"/>
    </row>
    <row customHeight="1" ht="13.5">
      <c r="A132" s="521"/>
      <c r="B132" s="434">
        <v>19</v>
      </c>
      <c r="C132" s="540"/>
      <c r="D132" s="409"/>
      <c r="E132" s="521"/>
      <c r="F132" s="521"/>
      <c r="G132" s="521"/>
      <c r="H132" s="521"/>
      <c r="I132" s="402"/>
      <c r="J132" s="521"/>
      <c r="K132" s="521"/>
      <c r="L132" s="521"/>
      <c r="M132" s="521"/>
      <c r="N132" s="521"/>
      <c r="O132" s="521"/>
      <c r="P132" s="521"/>
      <c r="Q132" s="521"/>
      <c r="R132" s="521"/>
      <c r="S132" s="521"/>
      <c r="T132" s="521"/>
      <c r="U132" s="521"/>
      <c r="V132" s="521"/>
    </row>
    <row customHeight="1" ht="13.5">
      <c r="A133" s="521"/>
      <c r="B133" s="434">
        <v>20</v>
      </c>
      <c r="C133" s="540"/>
      <c r="D133" s="409"/>
      <c r="E133" s="521"/>
      <c r="F133" s="521"/>
      <c r="G133" s="521"/>
      <c r="H133" s="521"/>
      <c r="I133" s="402"/>
      <c r="J133" s="521"/>
      <c r="K133" s="521"/>
      <c r="L133" s="521"/>
      <c r="M133" s="521"/>
      <c r="N133" s="521"/>
      <c r="O133" s="521"/>
      <c r="P133" s="521"/>
      <c r="Q133" s="521"/>
      <c r="R133" s="521"/>
      <c r="S133" s="521"/>
      <c r="T133" s="521"/>
      <c r="U133" s="521"/>
      <c r="V133" s="521"/>
    </row>
    <row customHeight="1" ht="13.5">
      <c r="A134" s="521"/>
      <c r="B134" s="434">
        <v>21</v>
      </c>
      <c r="C134" s="540"/>
      <c r="D134" s="409"/>
      <c r="E134" s="521"/>
      <c r="F134" s="521"/>
      <c r="G134" s="521"/>
      <c r="H134" s="521"/>
      <c r="I134" s="402"/>
      <c r="J134" s="521"/>
      <c r="K134" s="521"/>
      <c r="L134" s="521"/>
      <c r="M134" s="521"/>
      <c r="N134" s="521"/>
      <c r="O134" s="521"/>
      <c r="P134" s="521"/>
      <c r="Q134" s="521"/>
      <c r="R134" s="521"/>
      <c r="S134" s="521"/>
      <c r="T134" s="521"/>
      <c r="U134" s="521"/>
      <c r="V134" s="521"/>
    </row>
    <row customHeight="1" ht="13.5">
      <c r="A135" s="521"/>
      <c r="B135" s="434">
        <v>22</v>
      </c>
      <c r="C135" s="540"/>
      <c r="D135" s="409"/>
      <c r="E135" s="521"/>
      <c r="F135" s="521"/>
      <c r="G135" s="521"/>
      <c r="H135" s="521"/>
      <c r="I135" s="402"/>
      <c r="J135" s="521"/>
      <c r="K135" s="521"/>
      <c r="L135" s="521"/>
      <c r="M135" s="521"/>
      <c r="N135" s="521"/>
      <c r="O135" s="521"/>
      <c r="P135" s="521"/>
      <c r="Q135" s="521"/>
      <c r="R135" s="521"/>
      <c r="S135" s="521"/>
      <c r="T135" s="521"/>
      <c r="U135" s="521"/>
      <c r="V135" s="521"/>
    </row>
    <row customHeight="1" ht="13.5">
      <c r="A136" s="521"/>
      <c r="B136" s="434">
        <v>23</v>
      </c>
      <c r="C136" s="540"/>
      <c r="D136" s="409"/>
      <c r="E136" s="521"/>
      <c r="F136" s="521"/>
      <c r="G136" s="521"/>
      <c r="H136" s="521"/>
      <c r="I136" s="402"/>
      <c r="J136" s="521"/>
      <c r="K136" s="521"/>
      <c r="L136" s="521"/>
      <c r="M136" s="521"/>
      <c r="N136" s="521"/>
      <c r="O136" s="521"/>
      <c r="P136" s="521"/>
      <c r="Q136" s="521"/>
      <c r="R136" s="521"/>
      <c r="S136" s="521"/>
      <c r="T136" s="521"/>
      <c r="U136" s="521"/>
      <c r="V136" s="521"/>
    </row>
    <row customHeight="1" ht="13.5">
      <c r="A137" s="521"/>
      <c r="B137" s="434">
        <v>24</v>
      </c>
      <c r="C137" s="540"/>
      <c r="D137" s="409"/>
      <c r="E137" s="521"/>
      <c r="F137" s="521"/>
      <c r="G137" s="521"/>
      <c r="H137" s="521"/>
      <c r="I137" s="402"/>
      <c r="J137" s="521"/>
      <c r="K137" s="521"/>
      <c r="L137" s="521"/>
      <c r="M137" s="521"/>
      <c r="N137" s="521"/>
      <c r="O137" s="521"/>
      <c r="P137" s="521"/>
      <c r="Q137" s="521"/>
      <c r="R137" s="521"/>
      <c r="S137" s="521"/>
      <c r="T137" s="521"/>
      <c r="U137" s="521"/>
      <c r="V137" s="521"/>
    </row>
    <row customHeight="1" ht="13.5">
      <c r="A138" s="521"/>
      <c r="B138" s="434">
        <v>25</v>
      </c>
      <c r="C138" s="540"/>
      <c r="D138" s="409"/>
      <c r="E138" s="521"/>
      <c r="F138" s="521"/>
      <c r="G138" s="521"/>
      <c r="H138" s="521"/>
      <c r="I138" s="402"/>
      <c r="J138" s="521"/>
      <c r="K138" s="521"/>
      <c r="L138" s="521"/>
      <c r="M138" s="521"/>
      <c r="N138" s="521"/>
      <c r="O138" s="521"/>
      <c r="P138" s="521"/>
      <c r="Q138" s="521"/>
      <c r="R138" s="521"/>
      <c r="S138" s="521"/>
      <c r="T138" s="521"/>
      <c r="U138" s="521"/>
      <c r="V138" s="521"/>
    </row>
    <row customHeight="1" ht="13.5">
      <c r="A139" s="521"/>
      <c r="B139" s="434">
        <v>26</v>
      </c>
      <c r="C139" s="540"/>
      <c r="D139" s="409"/>
      <c r="E139" s="521"/>
      <c r="F139" s="521"/>
      <c r="G139" s="521"/>
      <c r="H139" s="521"/>
      <c r="I139" s="402"/>
      <c r="J139" s="521"/>
      <c r="K139" s="521"/>
      <c r="L139" s="521"/>
      <c r="M139" s="521"/>
      <c r="N139" s="521"/>
      <c r="O139" s="521"/>
      <c r="P139" s="521"/>
      <c r="Q139" s="521"/>
      <c r="R139" s="521"/>
      <c r="S139" s="521"/>
      <c r="T139" s="521"/>
      <c r="U139" s="521"/>
      <c r="V139" s="521"/>
    </row>
    <row customHeight="1" ht="13.5">
      <c r="A140" s="521"/>
      <c r="B140" s="434">
        <v>27</v>
      </c>
      <c r="C140" s="540"/>
      <c r="D140" s="409"/>
      <c r="E140" s="521"/>
      <c r="F140" s="521"/>
      <c r="G140" s="521"/>
      <c r="H140" s="521"/>
      <c r="I140" s="402"/>
      <c r="J140" s="521"/>
      <c r="K140" s="521"/>
      <c r="L140" s="521"/>
      <c r="M140" s="521"/>
      <c r="N140" s="521"/>
      <c r="O140" s="521"/>
      <c r="P140" s="521"/>
      <c r="Q140" s="521"/>
      <c r="R140" s="521"/>
      <c r="S140" s="521"/>
      <c r="T140" s="521"/>
      <c r="U140" s="521"/>
      <c r="V140" s="521"/>
    </row>
    <row customHeight="1" ht="13.5">
      <c r="A141" s="521"/>
      <c r="B141" s="434">
        <v>28</v>
      </c>
      <c r="C141" s="540"/>
      <c r="D141" s="409"/>
      <c r="E141" s="521"/>
      <c r="F141" s="521"/>
      <c r="G141" s="521"/>
      <c r="H141" s="521"/>
      <c r="I141" s="402"/>
      <c r="J141" s="521"/>
      <c r="K141" s="521"/>
      <c r="L141" s="521"/>
      <c r="M141" s="521"/>
      <c r="N141" s="521"/>
      <c r="O141" s="521"/>
      <c r="P141" s="521"/>
      <c r="Q141" s="521"/>
      <c r="R141" s="521"/>
      <c r="S141" s="521"/>
      <c r="T141" s="521"/>
      <c r="U141" s="521"/>
      <c r="V141" s="521"/>
    </row>
    <row customHeight="1" ht="13.5">
      <c r="A142" s="521"/>
      <c r="B142" s="434">
        <v>29</v>
      </c>
      <c r="C142" s="540"/>
      <c r="D142" s="409"/>
      <c r="E142" s="521"/>
      <c r="F142" s="521"/>
      <c r="G142" s="521"/>
      <c r="H142" s="521"/>
      <c r="I142" s="402"/>
      <c r="J142" s="521"/>
      <c r="K142" s="521"/>
      <c r="L142" s="521"/>
      <c r="M142" s="521"/>
      <c r="N142" s="521"/>
      <c r="O142" s="521"/>
      <c r="P142" s="521"/>
      <c r="Q142" s="521"/>
      <c r="R142" s="521"/>
      <c r="S142" s="521"/>
      <c r="T142" s="521"/>
      <c r="U142" s="521"/>
      <c r="V142" s="521"/>
    </row>
    <row customHeight="1" ht="13.5">
      <c r="A143" s="521"/>
      <c r="B143" s="434">
        <v>30</v>
      </c>
      <c r="C143" s="540"/>
      <c r="D143" s="409"/>
      <c r="E143" s="521"/>
      <c r="F143" s="521"/>
      <c r="G143" s="521"/>
      <c r="H143" s="521"/>
      <c r="I143" s="402"/>
      <c r="J143" s="521"/>
      <c r="K143" s="521"/>
      <c r="L143" s="521"/>
      <c r="M143" s="521"/>
      <c r="N143" s="521"/>
      <c r="O143" s="521"/>
      <c r="P143" s="521"/>
      <c r="Q143" s="521"/>
      <c r="R143" s="521"/>
      <c r="S143" s="521"/>
      <c r="T143" s="521"/>
      <c r="U143" s="521"/>
      <c r="V143" s="521"/>
    </row>
    <row customHeight="1" ht="13.5">
      <c r="A144" s="521"/>
      <c r="B144" s="434">
        <v>31</v>
      </c>
      <c r="C144" s="540"/>
      <c r="D144" s="409"/>
      <c r="E144" s="521"/>
      <c r="F144" s="521"/>
      <c r="G144" s="521"/>
      <c r="H144" s="521"/>
      <c r="I144" s="402"/>
      <c r="J144" s="521"/>
      <c r="K144" s="521"/>
      <c r="L144" s="521"/>
      <c r="M144" s="521"/>
      <c r="N144" s="521"/>
      <c r="O144" s="521"/>
      <c r="P144" s="521"/>
      <c r="Q144" s="521"/>
      <c r="R144" s="521"/>
      <c r="S144" s="521"/>
      <c r="T144" s="521"/>
      <c r="U144" s="521"/>
      <c r="V144" s="521"/>
    </row>
    <row customHeight="1" ht="13.5">
      <c r="A145" s="521"/>
      <c r="B145" s="434">
        <v>32</v>
      </c>
      <c r="C145" s="540"/>
      <c r="D145" s="409"/>
      <c r="E145" s="521"/>
      <c r="F145" s="521"/>
      <c r="G145" s="521"/>
      <c r="H145" s="521"/>
      <c r="I145" s="402"/>
      <c r="J145" s="521"/>
      <c r="K145" s="521"/>
      <c r="L145" s="521"/>
      <c r="M145" s="521"/>
      <c r="N145" s="521"/>
      <c r="O145" s="521"/>
      <c r="P145" s="521"/>
      <c r="Q145" s="521"/>
      <c r="R145" s="521"/>
      <c r="S145" s="521"/>
      <c r="T145" s="521"/>
      <c r="U145" s="521"/>
      <c r="V145" s="521"/>
    </row>
    <row customHeight="1" ht="13.5">
      <c r="A146" s="521"/>
      <c r="B146" s="434">
        <v>33</v>
      </c>
      <c r="C146" s="540"/>
      <c r="D146" s="409"/>
      <c r="E146" s="521"/>
      <c r="F146" s="521"/>
      <c r="G146" s="521"/>
      <c r="H146" s="521"/>
      <c r="I146" s="402"/>
      <c r="J146" s="521"/>
      <c r="K146" s="521"/>
      <c r="L146" s="521"/>
      <c r="M146" s="521"/>
      <c r="N146" s="521"/>
      <c r="O146" s="521"/>
      <c r="P146" s="521"/>
      <c r="Q146" s="521"/>
      <c r="R146" s="521"/>
      <c r="S146" s="521"/>
      <c r="T146" s="521"/>
      <c r="U146" s="521"/>
      <c r="V146" s="521"/>
    </row>
    <row customHeight="1" ht="13.5">
      <c r="A147" s="521"/>
      <c r="B147" s="434">
        <v>34</v>
      </c>
      <c r="C147" s="540"/>
      <c r="D147" s="409"/>
      <c r="E147" s="521"/>
      <c r="F147" s="521"/>
      <c r="G147" s="521"/>
      <c r="H147" s="521"/>
      <c r="I147" s="402"/>
      <c r="J147" s="521"/>
      <c r="K147" s="521"/>
      <c r="L147" s="521"/>
      <c r="M147" s="521"/>
      <c r="N147" s="521"/>
      <c r="O147" s="521"/>
      <c r="P147" s="521"/>
      <c r="Q147" s="521"/>
      <c r="R147" s="521"/>
      <c r="S147" s="521"/>
      <c r="T147" s="521"/>
      <c r="U147" s="521"/>
      <c r="V147" s="521"/>
    </row>
    <row customHeight="1" ht="13.5">
      <c r="A148" s="521"/>
      <c r="B148" s="434">
        <v>35</v>
      </c>
      <c r="C148" s="540"/>
      <c r="D148" s="409"/>
      <c r="E148" s="521"/>
      <c r="F148" s="521"/>
      <c r="G148" s="521"/>
      <c r="H148" s="521"/>
      <c r="I148" s="402"/>
      <c r="J148" s="521"/>
      <c r="K148" s="521"/>
      <c r="L148" s="521"/>
      <c r="M148" s="521"/>
      <c r="N148" s="521"/>
      <c r="O148" s="521"/>
      <c r="P148" s="521"/>
      <c r="Q148" s="521"/>
      <c r="R148" s="521"/>
      <c r="S148" s="521"/>
      <c r="T148" s="521"/>
      <c r="U148" s="521"/>
      <c r="V148" s="521"/>
    </row>
    <row customHeight="1" ht="13.5">
      <c r="A149" s="521"/>
      <c r="B149" s="434">
        <v>36</v>
      </c>
      <c r="C149" s="540"/>
      <c r="D149" s="409"/>
      <c r="E149" s="521"/>
      <c r="F149" s="521"/>
      <c r="G149" s="521"/>
      <c r="H149" s="521"/>
      <c r="I149" s="402"/>
      <c r="J149" s="521"/>
      <c r="K149" s="521"/>
      <c r="L149" s="521"/>
      <c r="M149" s="521"/>
      <c r="N149" s="521"/>
      <c r="O149" s="521"/>
      <c r="P149" s="521"/>
      <c r="Q149" s="521"/>
      <c r="R149" s="521"/>
      <c r="S149" s="521"/>
      <c r="T149" s="521"/>
      <c r="U149" s="521"/>
      <c r="V149" s="521"/>
    </row>
    <row customHeight="1" ht="13.5">
      <c r="A150" s="521"/>
      <c r="B150" s="434">
        <v>37</v>
      </c>
      <c r="C150" s="540"/>
      <c r="D150" s="409"/>
      <c r="E150" s="521"/>
      <c r="F150" s="521"/>
      <c r="G150" s="521"/>
      <c r="H150" s="521"/>
      <c r="I150" s="402"/>
      <c r="J150" s="521"/>
      <c r="K150" s="521"/>
      <c r="L150" s="521"/>
      <c r="M150" s="521"/>
      <c r="N150" s="521"/>
      <c r="O150" s="521"/>
      <c r="P150" s="521"/>
      <c r="Q150" s="521"/>
      <c r="R150" s="521"/>
      <c r="S150" s="521"/>
      <c r="T150" s="521"/>
      <c r="U150" s="521"/>
      <c r="V150" s="521"/>
    </row>
    <row customHeight="1" ht="13.5">
      <c r="A151" s="521"/>
      <c r="B151" s="434">
        <v>38</v>
      </c>
      <c r="C151" s="540"/>
      <c r="D151" s="409"/>
      <c r="E151" s="521"/>
      <c r="F151" s="521"/>
      <c r="G151" s="521"/>
      <c r="H151" s="521"/>
      <c r="I151" s="402"/>
      <c r="J151" s="521"/>
      <c r="K151" s="521"/>
      <c r="L151" s="521"/>
      <c r="M151" s="521"/>
      <c r="N151" s="521"/>
      <c r="O151" s="521"/>
      <c r="P151" s="521"/>
      <c r="Q151" s="521"/>
      <c r="R151" s="521"/>
      <c r="S151" s="521"/>
      <c r="T151" s="521"/>
      <c r="U151" s="521"/>
      <c r="V151" s="521"/>
    </row>
    <row customHeight="1" ht="13.5">
      <c r="A152" s="521"/>
      <c r="B152" s="434">
        <v>39</v>
      </c>
      <c r="C152" s="540"/>
      <c r="D152" s="409"/>
      <c r="E152" s="521"/>
      <c r="F152" s="521"/>
      <c r="G152" s="521"/>
      <c r="H152" s="521"/>
      <c r="I152" s="402"/>
      <c r="J152" s="521"/>
      <c r="K152" s="521"/>
      <c r="L152" s="521"/>
      <c r="M152" s="521"/>
      <c r="N152" s="521"/>
      <c r="O152" s="521"/>
      <c r="P152" s="521"/>
      <c r="Q152" s="521"/>
      <c r="R152" s="521"/>
      <c r="S152" s="521"/>
      <c r="T152" s="521"/>
      <c r="U152" s="521"/>
      <c r="V152" s="521"/>
    </row>
    <row customHeight="1" ht="13.5">
      <c r="A153" s="521"/>
      <c r="B153" s="434">
        <v>40</v>
      </c>
      <c r="C153" s="540"/>
      <c r="D153" s="409"/>
      <c r="E153" s="521"/>
      <c r="F153" s="521"/>
      <c r="G153" s="521"/>
      <c r="H153" s="521"/>
      <c r="I153" s="402"/>
      <c r="J153" s="521"/>
      <c r="K153" s="521"/>
      <c r="L153" s="521"/>
      <c r="M153" s="521"/>
      <c r="N153" s="521"/>
      <c r="O153" s="521"/>
      <c r="P153" s="521"/>
      <c r="Q153" s="521"/>
      <c r="R153" s="521"/>
      <c r="S153" s="521"/>
      <c r="T153" s="521"/>
      <c r="U153" s="521"/>
      <c r="V153" s="521"/>
    </row>
    <row customHeight="1" ht="13.5">
      <c r="A154" s="521"/>
      <c r="B154" s="434">
        <v>41</v>
      </c>
      <c r="C154" s="540"/>
      <c r="D154" s="409"/>
      <c r="E154" s="521"/>
      <c r="F154" s="521"/>
      <c r="G154" s="521"/>
      <c r="H154" s="521"/>
      <c r="I154" s="402"/>
      <c r="J154" s="521"/>
      <c r="K154" s="521"/>
      <c r="L154" s="521"/>
      <c r="M154" s="521"/>
      <c r="N154" s="521"/>
      <c r="O154" s="521"/>
      <c r="P154" s="521"/>
      <c r="Q154" s="521"/>
      <c r="R154" s="521"/>
      <c r="S154" s="521"/>
      <c r="T154" s="521"/>
      <c r="U154" s="521"/>
      <c r="V154" s="521"/>
    </row>
    <row customHeight="1" ht="13.5">
      <c r="A155" s="521"/>
      <c r="B155" s="434">
        <v>42</v>
      </c>
      <c r="C155" s="540"/>
      <c r="D155" s="409"/>
      <c r="E155" s="521"/>
      <c r="F155" s="521"/>
      <c r="G155" s="521"/>
      <c r="H155" s="521"/>
      <c r="I155" s="402"/>
      <c r="J155" s="521"/>
      <c r="K155" s="521"/>
      <c r="L155" s="521"/>
      <c r="M155" s="521"/>
      <c r="N155" s="521"/>
      <c r="O155" s="521"/>
      <c r="P155" s="521"/>
      <c r="Q155" s="521"/>
      <c r="R155" s="521"/>
      <c r="S155" s="521"/>
      <c r="T155" s="521"/>
      <c r="U155" s="521"/>
      <c r="V155" s="521"/>
    </row>
    <row customHeight="1" ht="13.5">
      <c r="A156" s="521"/>
      <c r="B156" s="434">
        <v>43</v>
      </c>
      <c r="C156" s="540"/>
      <c r="D156" s="409"/>
      <c r="E156" s="521"/>
      <c r="F156" s="521"/>
      <c r="G156" s="521"/>
      <c r="H156" s="521"/>
      <c r="I156" s="402"/>
      <c r="J156" s="521"/>
      <c r="K156" s="521"/>
      <c r="L156" s="521"/>
      <c r="M156" s="521"/>
      <c r="N156" s="521"/>
      <c r="O156" s="521"/>
      <c r="P156" s="521"/>
      <c r="Q156" s="521"/>
      <c r="R156" s="521"/>
      <c r="S156" s="521"/>
      <c r="T156" s="521"/>
      <c r="U156" s="521"/>
      <c r="V156" s="521"/>
    </row>
    <row customHeight="1" ht="13.5">
      <c r="A157" s="521"/>
      <c r="B157" s="434">
        <v>44</v>
      </c>
      <c r="C157" s="540"/>
      <c r="D157" s="409"/>
      <c r="E157" s="521"/>
      <c r="F157" s="521"/>
      <c r="G157" s="521"/>
      <c r="H157" s="521"/>
      <c r="I157" s="402"/>
      <c r="J157" s="521"/>
      <c r="K157" s="521"/>
      <c r="L157" s="521"/>
      <c r="M157" s="521"/>
      <c r="N157" s="521"/>
      <c r="O157" s="521"/>
      <c r="P157" s="521"/>
      <c r="Q157" s="521"/>
      <c r="R157" s="521"/>
      <c r="S157" s="521"/>
      <c r="T157" s="521"/>
      <c r="U157" s="521"/>
      <c r="V157" s="521"/>
    </row>
    <row customHeight="1" ht="13.5">
      <c r="A158" s="521"/>
      <c r="B158" s="434">
        <v>45</v>
      </c>
      <c r="C158" s="540"/>
      <c r="D158" s="409"/>
      <c r="E158" s="521"/>
      <c r="F158" s="521"/>
      <c r="G158" s="521"/>
      <c r="H158" s="521"/>
      <c r="I158" s="402"/>
      <c r="J158" s="521"/>
      <c r="K158" s="521"/>
      <c r="L158" s="521"/>
      <c r="M158" s="521"/>
      <c r="N158" s="521"/>
      <c r="O158" s="521"/>
      <c r="P158" s="521"/>
      <c r="Q158" s="521"/>
      <c r="R158" s="521"/>
      <c r="S158" s="521"/>
      <c r="T158" s="521"/>
      <c r="U158" s="521"/>
      <c r="V158" s="521"/>
    </row>
    <row customHeight="1" ht="13.5">
      <c r="A159" s="521"/>
      <c r="B159" s="434">
        <v>46</v>
      </c>
      <c r="C159" s="540"/>
      <c r="D159" s="409"/>
      <c r="E159" s="521"/>
      <c r="F159" s="521"/>
      <c r="G159" s="521"/>
      <c r="H159" s="521"/>
      <c r="I159" s="402"/>
      <c r="J159" s="521"/>
      <c r="K159" s="521"/>
      <c r="L159" s="521"/>
      <c r="M159" s="521"/>
      <c r="N159" s="521"/>
      <c r="O159" s="521"/>
      <c r="P159" s="521"/>
      <c r="Q159" s="521"/>
      <c r="R159" s="521"/>
      <c r="S159" s="521"/>
      <c r="T159" s="521"/>
      <c r="U159" s="521"/>
      <c r="V159" s="521"/>
    </row>
    <row customHeight="1" ht="13.5">
      <c r="A160" s="521"/>
      <c r="B160" s="434">
        <v>47</v>
      </c>
      <c r="C160" s="540"/>
      <c r="D160" s="409"/>
      <c r="E160" s="521"/>
      <c r="F160" s="521"/>
      <c r="G160" s="521"/>
      <c r="H160" s="521"/>
      <c r="I160" s="402"/>
      <c r="J160" s="521"/>
      <c r="K160" s="521"/>
      <c r="L160" s="521"/>
      <c r="M160" s="521"/>
      <c r="N160" s="521"/>
      <c r="O160" s="521"/>
      <c r="P160" s="521"/>
      <c r="Q160" s="521"/>
      <c r="R160" s="521"/>
      <c r="S160" s="521"/>
      <c r="T160" s="521"/>
      <c r="U160" s="521"/>
      <c r="V160" s="521"/>
    </row>
    <row customHeight="1" ht="13.5">
      <c r="A161" s="521"/>
      <c r="B161" s="434">
        <v>48</v>
      </c>
      <c r="C161" s="540"/>
      <c r="D161" s="409"/>
      <c r="E161" s="521"/>
      <c r="F161" s="521"/>
      <c r="G161" s="521"/>
      <c r="H161" s="521"/>
      <c r="I161" s="402"/>
      <c r="J161" s="521"/>
      <c r="K161" s="521"/>
      <c r="L161" s="521"/>
      <c r="M161" s="521"/>
      <c r="N161" s="521"/>
      <c r="O161" s="521"/>
      <c r="P161" s="521"/>
      <c r="Q161" s="521"/>
      <c r="R161" s="521"/>
      <c r="S161" s="521"/>
      <c r="T161" s="521"/>
      <c r="U161" s="521"/>
      <c r="V161" s="521"/>
    </row>
    <row customHeight="1" ht="13.5">
      <c r="A162" s="521"/>
      <c r="B162" s="434">
        <v>49</v>
      </c>
      <c r="C162" s="540"/>
      <c r="D162" s="409"/>
      <c r="E162" s="521"/>
      <c r="F162" s="521"/>
      <c r="G162" s="521"/>
      <c r="H162" s="521"/>
      <c r="I162" s="402"/>
      <c r="J162" s="521"/>
      <c r="K162" s="521"/>
      <c r="L162" s="521"/>
      <c r="M162" s="521"/>
      <c r="N162" s="521"/>
      <c r="O162" s="521"/>
      <c r="P162" s="521"/>
      <c r="Q162" s="521"/>
      <c r="R162" s="521"/>
      <c r="S162" s="521"/>
      <c r="T162" s="521"/>
      <c r="U162" s="521"/>
      <c r="V162" s="521"/>
    </row>
    <row customHeight="1" ht="13.5">
      <c r="A163" s="521"/>
      <c r="B163" s="434">
        <v>50</v>
      </c>
      <c r="C163" s="540"/>
      <c r="D163" s="409"/>
      <c r="E163" s="521"/>
      <c r="F163" s="521"/>
      <c r="G163" s="521"/>
      <c r="H163" s="521"/>
      <c r="I163" s="402"/>
      <c r="J163" s="521"/>
      <c r="K163" s="521"/>
      <c r="L163" s="521"/>
      <c r="M163" s="521"/>
      <c r="N163" s="521"/>
      <c r="O163" s="521"/>
      <c r="P163" s="521"/>
      <c r="Q163" s="521"/>
      <c r="R163" s="521"/>
      <c r="S163" s="521"/>
      <c r="T163" s="521"/>
      <c r="U163" s="521"/>
      <c r="V163" s="521"/>
    </row>
    <row customHeight="1" ht="13.5">
      <c r="A164" s="521"/>
      <c r="B164" s="434">
        <v>51</v>
      </c>
      <c r="C164" s="540"/>
      <c r="D164" s="409"/>
      <c r="E164" s="521"/>
      <c r="F164" s="521"/>
      <c r="G164" s="521"/>
      <c r="H164" s="521"/>
      <c r="I164" s="402"/>
      <c r="J164" s="521"/>
      <c r="K164" s="521"/>
      <c r="L164" s="521"/>
      <c r="M164" s="521"/>
      <c r="N164" s="521"/>
      <c r="O164" s="521"/>
      <c r="P164" s="521"/>
      <c r="Q164" s="521"/>
      <c r="R164" s="521"/>
      <c r="S164" s="521"/>
      <c r="T164" s="521"/>
      <c r="U164" s="521"/>
      <c r="V164" s="521"/>
    </row>
    <row customHeight="1" ht="13.5">
      <c r="A165" s="521"/>
      <c r="B165" s="434">
        <v>52</v>
      </c>
      <c r="C165" s="540"/>
      <c r="D165" s="409"/>
      <c r="E165" s="521"/>
      <c r="F165" s="521"/>
      <c r="G165" s="521"/>
      <c r="H165" s="521"/>
      <c r="I165" s="402"/>
      <c r="J165" s="521"/>
      <c r="K165" s="521"/>
      <c r="L165" s="521"/>
      <c r="M165" s="521"/>
      <c r="N165" s="521"/>
      <c r="O165" s="521"/>
      <c r="P165" s="521"/>
      <c r="Q165" s="521"/>
      <c r="R165" s="521"/>
      <c r="S165" s="521"/>
      <c r="T165" s="521"/>
      <c r="U165" s="521"/>
      <c r="V165" s="521"/>
    </row>
    <row customHeight="1" ht="13.5">
      <c r="A166" s="521"/>
      <c r="B166" s="434">
        <v>53</v>
      </c>
      <c r="C166" s="540"/>
      <c r="D166" s="409"/>
      <c r="E166" s="521"/>
      <c r="F166" s="521"/>
      <c r="G166" s="521"/>
      <c r="H166" s="521"/>
      <c r="I166" s="402"/>
      <c r="J166" s="521"/>
      <c r="K166" s="521"/>
      <c r="L166" s="521"/>
      <c r="M166" s="521"/>
      <c r="N166" s="521"/>
      <c r="O166" s="521"/>
      <c r="P166" s="521"/>
      <c r="Q166" s="521"/>
      <c r="R166" s="521"/>
      <c r="S166" s="521"/>
      <c r="T166" s="521"/>
      <c r="U166" s="521"/>
      <c r="V166" s="521"/>
    </row>
    <row customHeight="1" ht="13.5">
      <c r="A167" s="521"/>
      <c r="B167" s="434">
        <v>54</v>
      </c>
      <c r="C167" s="540"/>
      <c r="D167" s="409"/>
      <c r="E167" s="521"/>
      <c r="F167" s="521"/>
      <c r="G167" s="521"/>
      <c r="H167" s="521"/>
      <c r="I167" s="402"/>
      <c r="J167" s="521"/>
      <c r="K167" s="521"/>
      <c r="L167" s="521"/>
      <c r="M167" s="521"/>
      <c r="N167" s="521"/>
      <c r="O167" s="521"/>
      <c r="P167" s="521"/>
      <c r="Q167" s="521"/>
      <c r="R167" s="521"/>
      <c r="S167" s="521"/>
      <c r="T167" s="521"/>
      <c r="U167" s="521"/>
      <c r="V167" s="521"/>
    </row>
    <row customHeight="1" ht="13.5">
      <c r="A168" s="521"/>
      <c r="B168" s="434">
        <v>55</v>
      </c>
      <c r="C168" s="540"/>
      <c r="D168" s="409"/>
      <c r="E168" s="521"/>
      <c r="F168" s="521"/>
      <c r="G168" s="521"/>
      <c r="H168" s="521"/>
      <c r="I168" s="402"/>
      <c r="J168" s="521"/>
      <c r="K168" s="521"/>
      <c r="L168" s="521"/>
      <c r="M168" s="521"/>
      <c r="N168" s="521"/>
      <c r="O168" s="521"/>
      <c r="P168" s="521"/>
      <c r="Q168" s="521"/>
      <c r="R168" s="521"/>
      <c r="S168" s="521"/>
      <c r="T168" s="521"/>
      <c r="U168" s="521"/>
      <c r="V168" s="521"/>
    </row>
    <row customHeight="1" ht="13.5">
      <c r="A169" s="521"/>
      <c r="B169" s="434">
        <v>56</v>
      </c>
      <c r="C169" s="540"/>
      <c r="D169" s="409"/>
      <c r="E169" s="521"/>
      <c r="F169" s="521"/>
      <c r="G169" s="521"/>
      <c r="H169" s="521"/>
      <c r="I169" s="402"/>
      <c r="J169" s="521"/>
      <c r="K169" s="521"/>
      <c r="L169" s="521"/>
      <c r="M169" s="521"/>
      <c r="N169" s="521"/>
      <c r="O169" s="521"/>
      <c r="P169" s="521"/>
      <c r="Q169" s="521"/>
      <c r="R169" s="521"/>
      <c r="S169" s="521"/>
      <c r="T169" s="521"/>
      <c r="U169" s="521"/>
      <c r="V169" s="521"/>
    </row>
    <row customHeight="1" ht="13.5">
      <c r="A170" s="521"/>
      <c r="B170" s="434">
        <v>57</v>
      </c>
      <c r="C170" s="540"/>
      <c r="D170" s="409"/>
      <c r="E170" s="521"/>
      <c r="F170" s="521"/>
      <c r="G170" s="521"/>
      <c r="H170" s="521"/>
      <c r="I170" s="402"/>
      <c r="J170" s="521"/>
      <c r="K170" s="521"/>
      <c r="L170" s="521"/>
      <c r="M170" s="521"/>
      <c r="N170" s="521"/>
      <c r="O170" s="521"/>
      <c r="P170" s="521"/>
      <c r="Q170" s="521"/>
      <c r="R170" s="521"/>
      <c r="S170" s="521"/>
      <c r="T170" s="521"/>
      <c r="U170" s="521"/>
      <c r="V170" s="521"/>
    </row>
    <row customHeight="1" ht="13.5">
      <c r="A171" s="521"/>
      <c r="B171" s="434">
        <v>58</v>
      </c>
      <c r="C171" s="540"/>
      <c r="D171" s="409"/>
      <c r="E171" s="521"/>
      <c r="F171" s="521"/>
      <c r="G171" s="521"/>
      <c r="H171" s="521"/>
      <c r="I171" s="402"/>
      <c r="J171" s="521"/>
      <c r="K171" s="521"/>
      <c r="L171" s="521"/>
      <c r="M171" s="521"/>
      <c r="N171" s="521"/>
      <c r="O171" s="521"/>
      <c r="P171" s="521"/>
      <c r="Q171" s="521"/>
      <c r="R171" s="521"/>
      <c r="S171" s="521"/>
      <c r="T171" s="521"/>
      <c r="U171" s="521"/>
      <c r="V171" s="521"/>
    </row>
    <row customHeight="1" ht="13.5">
      <c r="A172" s="521"/>
      <c r="B172" s="434">
        <v>59</v>
      </c>
      <c r="C172" s="540"/>
      <c r="D172" s="409"/>
      <c r="E172" s="521"/>
      <c r="F172" s="521"/>
      <c r="G172" s="521"/>
      <c r="H172" s="521"/>
      <c r="I172" s="402"/>
      <c r="J172" s="521"/>
      <c r="K172" s="521"/>
      <c r="L172" s="521"/>
      <c r="M172" s="521"/>
      <c r="N172" s="521"/>
      <c r="O172" s="521"/>
      <c r="P172" s="521"/>
      <c r="Q172" s="521"/>
      <c r="R172" s="521"/>
      <c r="S172" s="521"/>
      <c r="T172" s="521"/>
      <c r="U172" s="521"/>
      <c r="V172" s="521"/>
    </row>
    <row customHeight="1" ht="13.5">
      <c r="A173" s="521"/>
      <c r="B173" s="434">
        <v>60</v>
      </c>
      <c r="C173" s="540"/>
      <c r="D173" s="409"/>
      <c r="E173" s="521"/>
      <c r="F173" s="521"/>
      <c r="G173" s="521"/>
      <c r="H173" s="521"/>
      <c r="I173" s="402"/>
      <c r="J173" s="521"/>
      <c r="K173" s="521"/>
      <c r="L173" s="521"/>
      <c r="M173" s="521"/>
      <c r="N173" s="521"/>
      <c r="O173" s="521"/>
      <c r="P173" s="521"/>
      <c r="Q173" s="521"/>
      <c r="R173" s="521"/>
      <c r="S173" s="521"/>
      <c r="T173" s="521"/>
      <c r="U173" s="521"/>
      <c r="V173" s="521"/>
    </row>
    <row customHeight="1" ht="13.5">
      <c r="A174" s="521"/>
      <c r="B174" s="434">
        <v>61</v>
      </c>
      <c r="C174" s="540"/>
      <c r="D174" s="409"/>
      <c r="E174" s="521"/>
      <c r="F174" s="521"/>
      <c r="G174" s="521"/>
      <c r="H174" s="521"/>
      <c r="I174" s="402"/>
      <c r="J174" s="521"/>
      <c r="K174" s="521"/>
      <c r="L174" s="521"/>
      <c r="M174" s="521"/>
      <c r="N174" s="521"/>
      <c r="O174" s="521"/>
      <c r="P174" s="521"/>
      <c r="Q174" s="521"/>
      <c r="R174" s="521"/>
      <c r="S174" s="521"/>
      <c r="T174" s="521"/>
      <c r="U174" s="521"/>
      <c r="V174" s="521"/>
    </row>
    <row customHeight="1" ht="13.5">
      <c r="A175" s="521"/>
      <c r="B175" s="434">
        <v>62</v>
      </c>
      <c r="C175" s="540"/>
      <c r="D175" s="409"/>
      <c r="E175" s="521"/>
      <c r="F175" s="521"/>
      <c r="G175" s="521"/>
      <c r="H175" s="521"/>
      <c r="I175" s="402"/>
      <c r="J175" s="521"/>
      <c r="K175" s="521"/>
      <c r="L175" s="521"/>
      <c r="M175" s="521"/>
      <c r="N175" s="521"/>
      <c r="O175" s="521"/>
      <c r="P175" s="521"/>
      <c r="Q175" s="521"/>
      <c r="R175" s="521"/>
      <c r="S175" s="521"/>
      <c r="T175" s="521"/>
      <c r="U175" s="521"/>
      <c r="V175" s="521"/>
    </row>
    <row customHeight="1" ht="13.5">
      <c r="A176" s="521"/>
      <c r="B176" s="434">
        <v>63</v>
      </c>
      <c r="C176" s="540"/>
      <c r="D176" s="409"/>
      <c r="E176" s="521"/>
      <c r="F176" s="521"/>
      <c r="G176" s="521"/>
      <c r="H176" s="521"/>
      <c r="I176" s="402"/>
      <c r="J176" s="521"/>
      <c r="K176" s="521"/>
      <c r="L176" s="521"/>
      <c r="M176" s="521"/>
      <c r="N176" s="521"/>
      <c r="O176" s="521"/>
      <c r="P176" s="521"/>
      <c r="Q176" s="521"/>
      <c r="R176" s="521"/>
      <c r="S176" s="521"/>
      <c r="T176" s="521"/>
      <c r="U176" s="521"/>
      <c r="V176" s="521"/>
    </row>
    <row customHeight="1" ht="13.5">
      <c r="A177" s="521"/>
      <c r="B177" s="434">
        <v>64</v>
      </c>
      <c r="C177" s="540"/>
      <c r="D177" s="409"/>
      <c r="E177" s="521"/>
      <c r="F177" s="521"/>
      <c r="G177" s="521"/>
      <c r="H177" s="521"/>
      <c r="I177" s="402"/>
      <c r="J177" s="521"/>
      <c r="K177" s="521"/>
      <c r="L177" s="521"/>
      <c r="M177" s="521"/>
      <c r="N177" s="521"/>
      <c r="O177" s="521"/>
      <c r="P177" s="521"/>
      <c r="Q177" s="521"/>
      <c r="R177" s="521"/>
      <c r="S177" s="521"/>
      <c r="T177" s="521"/>
      <c r="U177" s="521"/>
      <c r="V177" s="521"/>
    </row>
    <row customHeight="1" ht="13.5">
      <c r="A178" s="521"/>
      <c r="B178" s="434">
        <v>65</v>
      </c>
      <c r="C178" s="540"/>
      <c r="D178" s="409"/>
      <c r="E178" s="521"/>
      <c r="F178" s="521"/>
      <c r="G178" s="521"/>
      <c r="H178" s="521"/>
      <c r="I178" s="402"/>
      <c r="J178" s="521"/>
      <c r="K178" s="521"/>
      <c r="L178" s="521"/>
      <c r="M178" s="521"/>
      <c r="N178" s="521"/>
      <c r="O178" s="521"/>
      <c r="P178" s="521"/>
      <c r="Q178" s="521"/>
      <c r="R178" s="521"/>
      <c r="S178" s="521"/>
      <c r="T178" s="521"/>
      <c r="U178" s="521"/>
      <c r="V178" s="521"/>
    </row>
    <row customHeight="1" ht="13.5">
      <c r="A179" s="521"/>
      <c r="B179" s="434">
        <v>66</v>
      </c>
      <c r="C179" s="540"/>
      <c r="D179" s="409"/>
      <c r="E179" s="521"/>
      <c r="F179" s="521"/>
      <c r="G179" s="521"/>
      <c r="H179" s="521"/>
      <c r="I179" s="402"/>
      <c r="J179" s="521"/>
      <c r="K179" s="521"/>
      <c r="L179" s="521"/>
      <c r="M179" s="521"/>
      <c r="N179" s="521"/>
      <c r="O179" s="521"/>
      <c r="P179" s="521"/>
      <c r="Q179" s="521"/>
      <c r="R179" s="521"/>
      <c r="S179" s="521"/>
      <c r="T179" s="521"/>
      <c r="U179" s="521"/>
      <c r="V179" s="521"/>
    </row>
    <row customHeight="1" ht="13.5">
      <c r="A180" s="521"/>
      <c r="B180" s="434">
        <v>67</v>
      </c>
      <c r="C180" s="540"/>
      <c r="D180" s="409"/>
      <c r="E180" s="521"/>
      <c r="F180" s="521"/>
      <c r="G180" s="521"/>
      <c r="H180" s="521"/>
      <c r="I180" s="402"/>
      <c r="J180" s="521"/>
      <c r="K180" s="521"/>
      <c r="L180" s="521"/>
      <c r="M180" s="521"/>
      <c r="N180" s="521"/>
      <c r="O180" s="521"/>
      <c r="P180" s="521"/>
      <c r="Q180" s="521"/>
      <c r="R180" s="521"/>
      <c r="S180" s="521"/>
      <c r="T180" s="521"/>
      <c r="U180" s="521"/>
      <c r="V180" s="521"/>
    </row>
    <row customHeight="1" ht="13.5">
      <c r="A181" s="521"/>
      <c r="B181" s="434">
        <v>68</v>
      </c>
      <c r="C181" s="542"/>
      <c r="D181" s="411"/>
      <c r="E181" s="521"/>
      <c r="F181" s="521"/>
      <c r="G181" s="521"/>
      <c r="H181" s="521"/>
      <c r="I181" s="402"/>
      <c r="J181" s="521"/>
      <c r="K181" s="521"/>
      <c r="L181" s="521"/>
      <c r="M181" s="521"/>
      <c r="N181" s="521"/>
      <c r="O181" s="521"/>
      <c r="P181" s="521"/>
      <c r="Q181" s="521"/>
      <c r="R181" s="521"/>
      <c r="S181" s="521"/>
      <c r="T181" s="521"/>
      <c r="U181" s="521"/>
      <c r="V181" s="521"/>
    </row>
    <row customHeight="1" ht="13.5">
      <c r="A182" s="521"/>
      <c r="B182" s="434">
        <v>69</v>
      </c>
      <c r="C182" s="540"/>
      <c r="D182" s="409"/>
      <c r="E182" s="521"/>
      <c r="F182" s="521"/>
      <c r="G182" s="521"/>
      <c r="H182" s="521"/>
      <c r="I182" s="402"/>
      <c r="J182" s="521"/>
      <c r="K182" s="521"/>
      <c r="L182" s="521"/>
      <c r="M182" s="521"/>
      <c r="N182" s="521"/>
      <c r="O182" s="521"/>
      <c r="P182" s="521"/>
      <c r="Q182" s="521"/>
      <c r="R182" s="521"/>
      <c r="S182" s="521"/>
      <c r="T182" s="521"/>
      <c r="U182" s="521"/>
      <c r="V182" s="521"/>
    </row>
    <row customHeight="1" ht="13.5">
      <c r="A183" s="521"/>
      <c r="B183" s="434">
        <v>70</v>
      </c>
      <c r="C183" s="540"/>
      <c r="D183" s="409"/>
      <c r="E183" s="521"/>
      <c r="F183" s="521"/>
      <c r="G183" s="521"/>
      <c r="H183" s="521"/>
      <c r="I183" s="402"/>
      <c r="J183" s="521"/>
      <c r="K183" s="521"/>
      <c r="L183" s="521"/>
      <c r="M183" s="521"/>
      <c r="N183" s="521"/>
      <c r="O183" s="521"/>
      <c r="P183" s="521"/>
      <c r="Q183" s="521"/>
      <c r="R183" s="521"/>
      <c r="S183" s="521"/>
      <c r="T183" s="521"/>
      <c r="U183" s="521"/>
      <c r="V183" s="521"/>
    </row>
    <row customHeight="1" ht="13.5">
      <c r="A184" s="521"/>
      <c r="B184" s="434">
        <v>71</v>
      </c>
      <c r="C184" s="540"/>
      <c r="D184" s="409"/>
      <c r="E184" s="521"/>
      <c r="F184" s="521"/>
      <c r="G184" s="521"/>
      <c r="H184" s="521"/>
      <c r="I184" s="402"/>
      <c r="J184" s="521"/>
      <c r="K184" s="521"/>
      <c r="L184" s="521"/>
      <c r="M184" s="521"/>
      <c r="N184" s="521"/>
      <c r="O184" s="521"/>
      <c r="P184" s="521"/>
      <c r="Q184" s="521"/>
      <c r="R184" s="521"/>
      <c r="S184" s="521"/>
      <c r="T184" s="521"/>
      <c r="U184" s="521"/>
      <c r="V184" s="521"/>
    </row>
    <row customHeight="1" ht="13.5">
      <c r="A185" s="521"/>
      <c r="B185" s="434">
        <v>72</v>
      </c>
      <c r="C185" s="540"/>
      <c r="D185" s="409"/>
      <c r="E185" s="521"/>
      <c r="F185" s="521"/>
      <c r="G185" s="521"/>
      <c r="H185" s="521"/>
      <c r="I185" s="402"/>
      <c r="J185" s="521"/>
      <c r="K185" s="521"/>
      <c r="L185" s="521"/>
      <c r="M185" s="521"/>
      <c r="N185" s="521"/>
      <c r="O185" s="521"/>
      <c r="P185" s="521"/>
      <c r="Q185" s="521"/>
      <c r="R185" s="521"/>
      <c r="S185" s="521"/>
      <c r="T185" s="521"/>
      <c r="U185" s="521"/>
      <c r="V185" s="521"/>
    </row>
    <row customHeight="1" ht="13.5">
      <c r="A186" s="521"/>
      <c r="B186" s="434">
        <v>73</v>
      </c>
      <c r="C186" s="540"/>
      <c r="D186" s="409"/>
      <c r="E186" s="521"/>
      <c r="F186" s="521"/>
      <c r="G186" s="521"/>
      <c r="H186" s="521"/>
      <c r="I186" s="402"/>
      <c r="J186" s="521"/>
      <c r="K186" s="521"/>
      <c r="L186" s="521"/>
      <c r="M186" s="521"/>
      <c r="N186" s="521"/>
      <c r="O186" s="521"/>
      <c r="P186" s="521"/>
      <c r="Q186" s="521"/>
      <c r="R186" s="521"/>
      <c r="S186" s="521"/>
      <c r="T186" s="521"/>
      <c r="U186" s="521"/>
      <c r="V186" s="521"/>
    </row>
    <row customHeight="1" ht="13.5">
      <c r="A187" s="521"/>
      <c r="B187" s="434">
        <v>74</v>
      </c>
      <c r="C187" s="540"/>
      <c r="D187" s="409"/>
      <c r="E187" s="521"/>
      <c r="F187" s="521"/>
      <c r="G187" s="521"/>
      <c r="H187" s="521"/>
      <c r="I187" s="402"/>
      <c r="J187" s="521"/>
      <c r="K187" s="521"/>
      <c r="L187" s="521"/>
      <c r="M187" s="521"/>
      <c r="N187" s="521"/>
      <c r="O187" s="521"/>
      <c r="P187" s="521"/>
      <c r="Q187" s="521"/>
      <c r="R187" s="521"/>
      <c r="S187" s="521"/>
      <c r="T187" s="521"/>
      <c r="U187" s="521"/>
      <c r="V187" s="521"/>
    </row>
    <row customHeight="1" ht="13.5">
      <c r="A188" s="521"/>
      <c r="B188" s="434">
        <v>75</v>
      </c>
      <c r="C188" s="540"/>
      <c r="D188" s="409"/>
      <c r="E188" s="521"/>
      <c r="F188" s="521"/>
      <c r="G188" s="521"/>
      <c r="H188" s="521"/>
      <c r="I188" s="402"/>
      <c r="J188" s="521"/>
      <c r="K188" s="521"/>
      <c r="L188" s="521"/>
      <c r="M188" s="521"/>
      <c r="N188" s="521"/>
      <c r="O188" s="521"/>
      <c r="P188" s="521"/>
      <c r="Q188" s="521"/>
      <c r="R188" s="521"/>
      <c r="S188" s="521"/>
      <c r="T188" s="521"/>
      <c r="U188" s="521"/>
      <c r="V188" s="521"/>
    </row>
    <row customHeight="1" ht="13.5">
      <c r="A189" s="521"/>
      <c r="B189" s="434">
        <v>76</v>
      </c>
      <c r="C189" s="540"/>
      <c r="D189" s="409"/>
      <c r="E189" s="521"/>
      <c r="F189" s="521"/>
      <c r="G189" s="521"/>
      <c r="H189" s="521"/>
      <c r="I189" s="402"/>
      <c r="J189" s="521"/>
      <c r="K189" s="521"/>
      <c r="L189" s="521"/>
      <c r="M189" s="521"/>
      <c r="N189" s="521"/>
      <c r="O189" s="521"/>
      <c r="P189" s="521"/>
      <c r="Q189" s="521"/>
      <c r="R189" s="521"/>
      <c r="S189" s="521"/>
      <c r="T189" s="521"/>
      <c r="U189" s="521"/>
      <c r="V189" s="521"/>
    </row>
    <row customHeight="1" ht="13.5">
      <c r="A190" s="521"/>
      <c r="B190" s="434">
        <v>77</v>
      </c>
      <c r="C190" s="542"/>
      <c r="D190" s="409"/>
      <c r="E190" s="521"/>
      <c r="F190" s="521"/>
      <c r="G190" s="521"/>
      <c r="H190" s="521"/>
      <c r="I190" s="402"/>
      <c r="J190" s="521"/>
      <c r="K190" s="521"/>
      <c r="L190" s="521"/>
      <c r="M190" s="521"/>
      <c r="N190" s="521"/>
      <c r="O190" s="521"/>
      <c r="P190" s="521"/>
      <c r="Q190" s="521"/>
      <c r="R190" s="521"/>
      <c r="S190" s="521"/>
      <c r="T190" s="521"/>
      <c r="U190" s="521"/>
      <c r="V190" s="521"/>
    </row>
    <row customHeight="1" ht="13.5">
      <c r="A191" s="521"/>
      <c r="B191" s="434">
        <v>78</v>
      </c>
      <c r="C191" s="540"/>
      <c r="D191" s="409"/>
      <c r="E191" s="544" t="str">
        <f>H157&amp;E157&amp;G157</f>
        <v/>
      </c>
      <c r="F191" s="521"/>
      <c r="G191" s="521"/>
      <c r="H191" s="521"/>
      <c r="I191" s="402"/>
      <c r="J191" s="521"/>
      <c r="K191" s="521"/>
      <c r="L191" s="521"/>
      <c r="M191" s="521"/>
      <c r="N191" s="521"/>
      <c r="O191" s="521"/>
      <c r="P191" s="521"/>
      <c r="Q191" s="521"/>
      <c r="R191" s="521"/>
      <c r="S191" s="521"/>
      <c r="T191" s="521"/>
      <c r="U191" s="521"/>
      <c r="V191" s="521"/>
    </row>
    <row customHeight="1" ht="13.5">
      <c r="A192" s="521"/>
      <c r="B192" s="434">
        <v>79</v>
      </c>
      <c r="C192" s="540"/>
      <c r="D192" s="409"/>
      <c r="E192" s="544" t="str">
        <f>H158&amp;E158&amp;G158</f>
        <v/>
      </c>
      <c r="F192" s="521"/>
      <c r="G192" s="521"/>
      <c r="H192" s="521"/>
      <c r="I192" s="402"/>
      <c r="J192" s="521"/>
      <c r="K192" s="521"/>
      <c r="L192" s="521"/>
      <c r="M192" s="521"/>
      <c r="N192" s="521"/>
      <c r="O192" s="521"/>
      <c r="P192" s="521"/>
      <c r="Q192" s="521"/>
      <c r="R192" s="521"/>
      <c r="S192" s="521"/>
      <c r="T192" s="521"/>
      <c r="U192" s="521"/>
      <c r="V192" s="521"/>
    </row>
    <row customHeight="1" ht="13.5">
      <c r="A193" s="521"/>
      <c r="B193" s="434">
        <v>80</v>
      </c>
      <c r="C193" s="540"/>
      <c r="D193" s="409"/>
      <c r="E193" s="544" t="str">
        <f>H159&amp;E159&amp;G159</f>
        <v/>
      </c>
      <c r="F193" s="521"/>
      <c r="G193" s="521"/>
      <c r="H193" s="521"/>
      <c r="I193" s="402"/>
      <c r="J193" s="521"/>
      <c r="K193" s="521"/>
      <c r="L193" s="521"/>
      <c r="M193" s="521"/>
      <c r="N193" s="521"/>
      <c r="O193" s="521"/>
      <c r="P193" s="521"/>
      <c r="Q193" s="521"/>
      <c r="R193" s="521"/>
      <c r="S193" s="521"/>
      <c r="T193" s="521"/>
      <c r="U193" s="521"/>
      <c r="V193" s="521"/>
    </row>
    <row customHeight="1" ht="13.5">
      <c r="A194" s="521"/>
      <c r="B194" s="434">
        <v>81</v>
      </c>
      <c r="C194" s="540"/>
      <c r="D194" s="409"/>
      <c r="E194" s="544" t="str">
        <f>H160&amp;E160&amp;G160</f>
        <v/>
      </c>
      <c r="F194" s="521"/>
      <c r="G194" s="521"/>
      <c r="H194" s="521"/>
      <c r="I194" s="402"/>
      <c r="J194" s="521"/>
      <c r="K194" s="521"/>
      <c r="L194" s="521"/>
      <c r="M194" s="521"/>
      <c r="N194" s="521"/>
      <c r="O194" s="521"/>
      <c r="P194" s="521"/>
      <c r="Q194" s="521"/>
      <c r="R194" s="521"/>
      <c r="S194" s="521"/>
      <c r="T194" s="521"/>
      <c r="U194" s="521"/>
      <c r="V194" s="521"/>
    </row>
    <row customHeight="1" ht="13.5">
      <c r="A195" s="521"/>
      <c r="B195" s="434">
        <v>82</v>
      </c>
      <c r="C195" s="540"/>
      <c r="D195" s="409"/>
      <c r="E195" s="544" t="str">
        <f>H161&amp;E161&amp;G161</f>
        <v/>
      </c>
      <c r="F195" s="521"/>
      <c r="G195" s="521"/>
      <c r="H195" s="521"/>
      <c r="I195" s="402"/>
      <c r="J195" s="521"/>
      <c r="K195" s="521"/>
      <c r="L195" s="521"/>
      <c r="M195" s="521"/>
      <c r="N195" s="521"/>
      <c r="O195" s="521"/>
      <c r="P195" s="521"/>
      <c r="Q195" s="521"/>
      <c r="R195" s="521"/>
      <c r="S195" s="521"/>
      <c r="T195" s="521"/>
      <c r="U195" s="521"/>
      <c r="V195" s="521"/>
    </row>
    <row customHeight="1" ht="13.5">
      <c r="A196" s="521"/>
      <c r="B196" s="434">
        <v>83</v>
      </c>
      <c r="C196" s="540"/>
      <c r="D196" s="409"/>
      <c r="E196" s="544" t="str">
        <f>H162&amp;E162&amp;G162</f>
        <v/>
      </c>
      <c r="F196" s="521"/>
      <c r="G196" s="521"/>
      <c r="H196" s="521"/>
      <c r="I196" s="402"/>
      <c r="J196" s="521"/>
      <c r="K196" s="521"/>
      <c r="L196" s="521"/>
      <c r="M196" s="521"/>
      <c r="N196" s="521"/>
      <c r="O196" s="521"/>
      <c r="P196" s="521"/>
      <c r="Q196" s="521"/>
      <c r="R196" s="521"/>
      <c r="S196" s="521"/>
      <c r="T196" s="521"/>
      <c r="U196" s="521"/>
      <c r="V196" s="521"/>
    </row>
    <row customHeight="1" ht="13.5">
      <c r="A197" s="521"/>
      <c r="B197" s="434">
        <v>84</v>
      </c>
      <c r="C197" s="540"/>
      <c r="D197" s="409"/>
      <c r="E197" s="521"/>
      <c r="F197" s="521"/>
      <c r="G197" s="521"/>
      <c r="H197" s="521"/>
      <c r="I197" s="402"/>
      <c r="J197" s="521"/>
      <c r="K197" s="521"/>
      <c r="L197" s="521"/>
      <c r="M197" s="521"/>
      <c r="N197" s="521"/>
      <c r="O197" s="521"/>
      <c r="P197" s="521"/>
      <c r="Q197" s="521"/>
      <c r="R197" s="521"/>
      <c r="S197" s="521"/>
      <c r="T197" s="521"/>
      <c r="U197" s="521"/>
      <c r="V197" s="521"/>
    </row>
    <row customHeight="1" ht="13.5">
      <c r="A198" s="521"/>
      <c r="B198" s="434">
        <v>85</v>
      </c>
      <c r="C198" s="540"/>
      <c r="D198" s="409"/>
      <c r="E198" s="521"/>
      <c r="F198" s="521"/>
      <c r="G198" s="521"/>
      <c r="H198" s="521"/>
      <c r="I198" s="402"/>
      <c r="J198" s="521"/>
      <c r="K198" s="521"/>
      <c r="L198" s="521"/>
      <c r="M198" s="521"/>
      <c r="N198" s="521"/>
      <c r="O198" s="521"/>
      <c r="P198" s="521"/>
      <c r="Q198" s="521"/>
      <c r="R198" s="521"/>
      <c r="S198" s="521"/>
      <c r="T198" s="521"/>
      <c r="U198" s="521"/>
      <c r="V198" s="521"/>
    </row>
    <row customHeight="1" ht="13.5">
      <c r="A199" s="521"/>
      <c r="B199" s="434">
        <v>86</v>
      </c>
      <c r="C199" s="540"/>
      <c r="D199" s="409"/>
      <c r="E199" s="521"/>
      <c r="F199" s="521"/>
      <c r="G199" s="521"/>
      <c r="H199" s="521"/>
      <c r="I199" s="402"/>
      <c r="J199" s="521"/>
      <c r="K199" s="521"/>
      <c r="L199" s="521"/>
      <c r="M199" s="521"/>
      <c r="N199" s="521"/>
      <c r="O199" s="521"/>
      <c r="P199" s="521"/>
      <c r="Q199" s="521"/>
      <c r="R199" s="521"/>
      <c r="S199" s="521"/>
      <c r="T199" s="521"/>
      <c r="U199" s="521"/>
      <c r="V199" s="521"/>
    </row>
    <row customHeight="1" ht="13.5">
      <c r="A200" s="521"/>
      <c r="B200" s="434">
        <v>87</v>
      </c>
      <c r="C200" s="540"/>
      <c r="D200" s="409"/>
      <c r="E200" s="521"/>
      <c r="F200" s="521"/>
      <c r="G200" s="521"/>
      <c r="H200" s="521"/>
      <c r="I200" s="402"/>
      <c r="J200" s="521"/>
      <c r="K200" s="521"/>
      <c r="L200" s="521"/>
      <c r="M200" s="521"/>
      <c r="N200" s="521"/>
      <c r="O200" s="521"/>
      <c r="P200" s="521"/>
      <c r="Q200" s="521"/>
      <c r="R200" s="521"/>
      <c r="S200" s="521"/>
      <c r="T200" s="521"/>
      <c r="U200" s="521"/>
      <c r="V200" s="521"/>
    </row>
    <row customHeight="1" ht="13.5">
      <c r="A201" s="521"/>
      <c r="B201" s="434">
        <v>88</v>
      </c>
      <c r="C201" s="540"/>
      <c r="D201" s="409"/>
      <c r="E201" s="521"/>
      <c r="F201" s="521"/>
      <c r="G201" s="521"/>
      <c r="H201" s="521"/>
      <c r="I201" s="402"/>
      <c r="J201" s="521"/>
      <c r="K201" s="521"/>
      <c r="L201" s="521"/>
      <c r="M201" s="521"/>
      <c r="N201" s="521"/>
      <c r="O201" s="521"/>
      <c r="P201" s="521"/>
      <c r="Q201" s="521"/>
      <c r="R201" s="521"/>
      <c r="S201" s="521"/>
      <c r="T201" s="521"/>
      <c r="U201" s="521"/>
      <c r="V201" s="521"/>
    </row>
    <row customHeight="1" ht="13.5">
      <c r="A202" s="521"/>
      <c r="B202" s="434">
        <v>89</v>
      </c>
      <c r="C202" s="540"/>
      <c r="D202" s="409"/>
      <c r="E202" s="521"/>
      <c r="F202" s="521"/>
      <c r="G202" s="521"/>
      <c r="H202" s="521"/>
      <c r="I202" s="402"/>
      <c r="J202" s="521"/>
      <c r="K202" s="521"/>
      <c r="L202" s="521"/>
      <c r="M202" s="521"/>
      <c r="N202" s="521"/>
      <c r="O202" s="521"/>
      <c r="P202" s="521"/>
      <c r="Q202" s="521"/>
      <c r="R202" s="521"/>
      <c r="S202" s="521"/>
      <c r="T202" s="521"/>
      <c r="U202" s="521"/>
      <c r="V202" s="521"/>
    </row>
    <row customHeight="1" ht="13.5">
      <c r="A203" s="521"/>
      <c r="B203" s="434">
        <v>90</v>
      </c>
      <c r="C203" s="134"/>
      <c r="D203" s="134"/>
      <c r="E203" s="521"/>
      <c r="F203" s="521"/>
      <c r="G203" s="521"/>
      <c r="H203" s="521"/>
      <c r="I203" s="402"/>
      <c r="J203" s="521"/>
      <c r="K203" s="521"/>
      <c r="L203" s="521"/>
      <c r="M203" s="521"/>
      <c r="N203" s="521"/>
      <c r="O203" s="521"/>
      <c r="P203" s="521"/>
      <c r="Q203" s="521"/>
      <c r="R203" s="521"/>
      <c r="S203" s="521"/>
      <c r="T203" s="521"/>
      <c r="U203" s="521"/>
      <c r="V203" s="521"/>
    </row>
    <row customHeight="1" ht="13.5">
      <c r="A204" s="521"/>
      <c r="B204" s="434">
        <v>91</v>
      </c>
      <c r="C204" s="434"/>
      <c r="D204" s="434"/>
      <c r="E204" s="521"/>
      <c r="F204" s="521"/>
      <c r="G204" s="521"/>
      <c r="H204" s="521"/>
      <c r="I204" s="402"/>
      <c r="J204" s="521"/>
      <c r="K204" s="521"/>
      <c r="L204" s="521"/>
      <c r="M204" s="521"/>
      <c r="N204" s="521"/>
      <c r="O204" s="521"/>
      <c r="P204" s="521"/>
      <c r="Q204" s="521"/>
      <c r="R204" s="521"/>
      <c r="S204" s="521"/>
      <c r="T204" s="521"/>
      <c r="U204" s="521"/>
      <c r="V204" s="521"/>
    </row>
    <row customHeight="1" ht="13.5">
      <c r="A205" s="521"/>
      <c r="B205" s="434">
        <v>92</v>
      </c>
      <c r="C205" s="434"/>
      <c r="D205" s="434"/>
      <c r="E205" s="521"/>
      <c r="F205" s="521"/>
      <c r="G205" s="521"/>
      <c r="H205" s="521"/>
      <c r="I205" s="402"/>
      <c r="J205" s="521"/>
      <c r="K205" s="521"/>
      <c r="L205" s="521"/>
      <c r="M205" s="521"/>
      <c r="N205" s="521"/>
      <c r="O205" s="521"/>
      <c r="P205" s="521"/>
      <c r="Q205" s="521"/>
      <c r="R205" s="521"/>
      <c r="S205" s="521"/>
      <c r="T205" s="521"/>
      <c r="U205" s="521"/>
      <c r="V205" s="521"/>
    </row>
    <row customHeight="1" ht="13.5">
      <c r="A206" s="521"/>
      <c r="B206" s="434">
        <v>93</v>
      </c>
      <c r="C206" s="434"/>
      <c r="D206" s="434"/>
      <c r="E206" s="521"/>
      <c r="F206" s="521"/>
      <c r="G206" s="521"/>
      <c r="H206" s="521"/>
      <c r="I206" s="402"/>
      <c r="J206" s="521"/>
      <c r="K206" s="521"/>
      <c r="L206" s="521"/>
      <c r="M206" s="521"/>
      <c r="N206" s="521"/>
      <c r="O206" s="521"/>
      <c r="P206" s="521"/>
      <c r="Q206" s="521"/>
      <c r="R206" s="521"/>
      <c r="S206" s="521"/>
      <c r="T206" s="521"/>
      <c r="U206" s="521"/>
      <c r="V206" s="521"/>
    </row>
  </sheetData>
  <mergeCells count="1">
    <mergeCell ref="C117:D117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3A01538-C38B-7227-F128-7D6D0A6B19A8}" mc:Ignorable="x14ac xr xr2 xr3">
  <dimension ref="A1:O147"/>
  <sheetViews>
    <sheetView showGridLines="0"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defaultColWidth="9.00390625" customHeight="1" defaultRowHeight="14.4525"/>
  <cols>
    <col min="1" max="1" style="179" width="2.7109375" customWidth="1"/>
    <col min="2" max="2" style="179" width="31.00390625" customWidth="1"/>
    <col min="3" max="3" style="179" width="7.7109375" customWidth="1"/>
    <col min="4" max="5" style="384" width="10.7109375" customWidth="1"/>
    <col min="6" max="6" style="180" width="10.7109375" customWidth="1"/>
    <col min="7" max="8" style="384" width="10.7109375" customWidth="1"/>
    <col min="9" max="9" style="180" width="10.7109375" customWidth="1"/>
    <col min="10" max="11" style="384" width="10.7109375" customWidth="1"/>
    <col min="12" max="12" style="179" width="10.7109375" customWidth="1"/>
    <col min="13" max="14" style="52" width="9.00390625" hidden="1"/>
  </cols>
  <sheetData>
    <row customHeight="1" ht="25.5">
      <c r="A1" s="384"/>
      <c r="B1" s="432" t="s">
        <v>127</v>
      </c>
      <c r="C1" s="432"/>
      <c r="D1" s="385"/>
      <c r="E1" s="385"/>
      <c r="F1" s="433"/>
      <c r="G1" s="385"/>
      <c r="H1" s="385"/>
      <c r="I1" s="433"/>
      <c r="J1" s="385"/>
      <c r="K1" s="385"/>
      <c r="L1" s="432"/>
      <c r="M1" s="434"/>
      <c r="N1" s="434"/>
      <c r="O1" s="521"/>
    </row>
    <row customHeight="1" ht="18.75">
      <c r="A2" s="384"/>
      <c r="B2" s="546" t="s">
        <v>1</v>
      </c>
      <c r="C2" s="547" t="s">
        <v>2</v>
      </c>
      <c r="D2" s="386"/>
      <c r="E2" s="386"/>
      <c r="F2" s="547"/>
      <c r="G2" s="386"/>
      <c r="H2" s="386"/>
      <c r="I2" s="547"/>
      <c r="J2" s="387" t="s">
        <v>3</v>
      </c>
      <c r="K2" s="387"/>
      <c r="L2" s="550"/>
      <c r="M2" s="434"/>
      <c r="N2" s="434"/>
      <c r="O2" s="521"/>
    </row>
    <row customHeight="1" ht="14.25">
      <c r="A3" s="384"/>
      <c r="B3" s="185" t="s">
        <v>4</v>
      </c>
      <c r="C3" s="186" t="s">
        <v>5</v>
      </c>
      <c r="D3" s="186" t="s">
        <v>6</v>
      </c>
      <c r="E3" s="186"/>
      <c r="F3" s="187"/>
      <c r="G3" s="186" t="s">
        <v>7</v>
      </c>
      <c r="H3" s="186"/>
      <c r="I3" s="187"/>
      <c r="J3" s="268" t="s">
        <v>8</v>
      </c>
      <c r="K3" s="268"/>
      <c r="L3" s="215" t="s">
        <v>9</v>
      </c>
      <c r="M3" s="434"/>
      <c r="N3" s="434"/>
      <c r="O3" s="521"/>
    </row>
    <row customHeight="1" ht="14.25">
      <c r="A4" s="384"/>
      <c r="B4" s="188"/>
      <c r="C4" s="189"/>
      <c r="D4" s="189" t="s">
        <v>10</v>
      </c>
      <c r="E4" s="189" t="s">
        <v>11</v>
      </c>
      <c r="F4" s="104" t="s">
        <v>12</v>
      </c>
      <c r="G4" s="189" t="s">
        <v>13</v>
      </c>
      <c r="H4" s="189" t="s">
        <v>14</v>
      </c>
      <c r="I4" s="104" t="s">
        <v>12</v>
      </c>
      <c r="J4" s="67" t="s">
        <v>15</v>
      </c>
      <c r="K4" s="67" t="s">
        <v>16</v>
      </c>
      <c r="L4" s="452"/>
      <c r="M4" s="434"/>
      <c r="N4" s="434"/>
      <c r="O4" s="521"/>
    </row>
    <row customHeight="1" ht="14.25">
      <c r="A5" s="384"/>
      <c r="B5" s="453" t="s">
        <v>17</v>
      </c>
      <c r="C5" s="500"/>
      <c r="D5" s="72"/>
      <c r="E5" s="67"/>
      <c r="F5" s="501"/>
      <c r="G5" s="72"/>
      <c r="H5" s="67"/>
      <c r="I5" s="501"/>
      <c r="J5" s="67"/>
      <c r="K5" s="67"/>
      <c r="L5" s="460"/>
      <c r="M5" s="434"/>
      <c r="N5" s="434"/>
      <c r="O5" s="521"/>
    </row>
    <row customHeight="1" ht="14.25">
      <c r="A6" s="384"/>
      <c r="B6" s="461" t="s">
        <v>18</v>
      </c>
      <c r="C6" s="454" t="s">
        <v>19</v>
      </c>
      <c r="D6" s="558" t="str">
        <f>_xlfn.IFERROR(IF('延炼取值 '!D6=0,"",'延炼取值 '!D6),"")</f>
        <v/>
      </c>
      <c r="E6" s="202">
        <f>_xlfn.IFERROR(SUM(E7:E15),"")</f>
        <v>492908.96</v>
      </c>
      <c r="F6" s="463"/>
      <c r="G6" s="558" t="str">
        <f>_xlfn.IFERROR(IF('延炼取值 '!G6=0,"",'延炼取值 '!G6),"")</f>
        <v/>
      </c>
      <c r="H6" s="202">
        <f>_xlfn.IFERROR(SUM(H7:H15),"")</f>
        <v>5877567.4</v>
      </c>
      <c r="I6" s="501"/>
      <c r="J6" s="560">
        <v>470841.46</v>
      </c>
      <c r="K6" s="560">
        <v>5819161.22</v>
      </c>
      <c r="L6" s="460">
        <f>_xlfn.IFERROR(H6-K6,"")</f>
        <v>58406.1800000006</v>
      </c>
      <c r="M6" s="434"/>
      <c r="N6" s="434"/>
      <c r="O6" s="521"/>
    </row>
    <row customHeight="1" ht="14.25">
      <c r="A7" s="384"/>
      <c r="B7" s="461" t="s">
        <v>20</v>
      </c>
      <c r="C7" s="454" t="s">
        <v>19</v>
      </c>
      <c r="D7" s="558">
        <v>525000</v>
      </c>
      <c r="E7" s="202">
        <f>_xlfn.IFERROR('延炼取值 '!E7,"")</f>
        <v>488629</v>
      </c>
      <c r="F7" s="463">
        <f>_xlfn.IFERROR(E7/'延炼取值 '!D7*100,"")</f>
        <v>93.0721904761905</v>
      </c>
      <c r="G7" s="558">
        <v>6300000</v>
      </c>
      <c r="H7" s="202">
        <f>_xlfn.IFERROR('延炼取值 '!H7,"")</f>
        <v>5829379</v>
      </c>
      <c r="I7" s="501">
        <f>_xlfn.IFERROR(H7/'延炼取值 '!G7*100,"")</f>
        <v>92.5298253968254</v>
      </c>
      <c r="J7" s="560">
        <v>466526</v>
      </c>
      <c r="K7" s="560">
        <v>5775191</v>
      </c>
      <c r="L7" s="460">
        <f>_xlfn.IFERROR(H7-K7,"")</f>
        <v>54188</v>
      </c>
      <c r="M7" s="434"/>
      <c r="N7" s="434"/>
      <c r="O7" s="521"/>
    </row>
    <row customHeight="1" ht="14.25">
      <c r="A8" s="384"/>
      <c r="B8" s="461" t="s">
        <v>21</v>
      </c>
      <c r="C8" s="454" t="s">
        <v>19</v>
      </c>
      <c r="D8" s="558">
        <v>1300</v>
      </c>
      <c r="E8" s="202">
        <f>_xlfn.IFERROR('延炼取值 '!E8,"")</f>
        <v>1492.96</v>
      </c>
      <c r="F8" s="463">
        <f>_xlfn.IFERROR(E8/'延炼取值 '!D8*100,"")</f>
        <v>114.843076923077</v>
      </c>
      <c r="G8" s="558">
        <v>15256</v>
      </c>
      <c r="H8" s="202">
        <f>_xlfn.IFERROR('延炼取值 '!H8,"")</f>
        <v>13575.24</v>
      </c>
      <c r="I8" s="501">
        <f>_xlfn.IFERROR(H8/'延炼取值 '!G8*100,"")</f>
        <v>88.9829575249082</v>
      </c>
      <c r="J8" s="560">
        <v>1418.46</v>
      </c>
      <c r="K8" s="560">
        <v>14243.22</v>
      </c>
      <c r="L8" s="460">
        <f>_xlfn.IFERROR(H8-K8,"")</f>
        <v>-667.98</v>
      </c>
      <c r="M8" s="434"/>
      <c r="N8" s="434"/>
      <c r="O8" s="521"/>
    </row>
    <row customHeight="1" ht="14.25">
      <c r="A9" s="384"/>
      <c r="B9" s="461" t="s">
        <v>22</v>
      </c>
      <c r="C9" s="454" t="s">
        <v>19</v>
      </c>
      <c r="D9" s="558">
        <v>3000</v>
      </c>
      <c r="E9" s="202">
        <f>_xlfn.IFERROR('延炼取值 '!E9,"")</f>
        <v>0</v>
      </c>
      <c r="F9" s="463">
        <f>_xlfn.IFERROR(E9/'延炼取值 '!D9*100,"")</f>
        <v>0</v>
      </c>
      <c r="G9" s="558" t="str">
        <f>_xlfn.IFERROR(IF('延炼取值 '!G9=0,"",'延炼取值 '!G9),"")</f>
        <v/>
      </c>
      <c r="H9" s="202">
        <f>_xlfn.IFERROR('延炼取值 '!H9,"")</f>
        <v>9400.16</v>
      </c>
      <c r="I9" s="501" t="str">
        <f>_xlfn.IFERROR(H9/'延炼取值 '!G9*100,"")</f>
        <v/>
      </c>
      <c r="J9" s="561">
        <v>0</v>
      </c>
      <c r="K9" s="560">
        <v>0</v>
      </c>
      <c r="L9" s="460">
        <f>_xlfn.IFERROR(H9-K9,"")</f>
        <v>9400.16</v>
      </c>
      <c r="M9" s="434"/>
      <c r="N9" s="434"/>
      <c r="O9" s="521"/>
    </row>
    <row customHeight="1" ht="14.25">
      <c r="A10" s="384"/>
      <c r="B10" s="461" t="s">
        <v>23</v>
      </c>
      <c r="C10" s="454" t="s">
        <v>19</v>
      </c>
      <c r="D10" s="558" t="str">
        <f>_xlfn.IFERROR(IF('延炼取值 '!D10=0,"",'延炼取值 '!D10),"")</f>
        <v/>
      </c>
      <c r="E10" s="202"/>
      <c r="F10" s="463" t="str">
        <f>_xlfn.IFERROR(E10/'延炼取值 '!D10*100,"")</f>
        <v/>
      </c>
      <c r="G10" s="558" t="str">
        <f>_xlfn.IFERROR(IF('延炼取值 '!G10=0,"",'延炼取值 '!G10),"")</f>
        <v/>
      </c>
      <c r="H10" s="202"/>
      <c r="I10" s="501" t="str">
        <f>_xlfn.IFERROR(H10/'延炼取值 '!G10*100,"")</f>
        <v/>
      </c>
      <c r="J10" s="560"/>
      <c r="K10" s="560"/>
      <c r="L10" s="460">
        <f>_xlfn.IFERROR(H10-K10,"")</f>
        <v>0</v>
      </c>
      <c r="M10" s="434"/>
      <c r="N10" s="434"/>
      <c r="O10" s="521"/>
    </row>
    <row customHeight="1" ht="14.25">
      <c r="A11" s="384"/>
      <c r="B11" s="461" t="s">
        <v>24</v>
      </c>
      <c r="C11" s="454" t="s">
        <v>19</v>
      </c>
      <c r="D11" s="558" t="str">
        <f>_xlfn.IFERROR(IF('延炼取值 '!D11=0,"",'延炼取值 '!D11),"")</f>
        <v/>
      </c>
      <c r="E11" s="202"/>
      <c r="F11" s="463" t="str">
        <f>_xlfn.IFERROR(E11/'延炼取值 '!D11*100,"")</f>
        <v/>
      </c>
      <c r="G11" s="558" t="str">
        <f>_xlfn.IFERROR(IF('延炼取值 '!G11=0,"",'延炼取值 '!G11),"")</f>
        <v/>
      </c>
      <c r="H11" s="202"/>
      <c r="I11" s="501" t="str">
        <f>_xlfn.IFERROR(H11/'延炼取值 '!G11*100,"")</f>
        <v/>
      </c>
      <c r="J11" s="560"/>
      <c r="K11" s="560"/>
      <c r="L11" s="460">
        <f>_xlfn.IFERROR(H11-K11,"")</f>
        <v>0</v>
      </c>
      <c r="M11" s="434"/>
      <c r="N11" s="434"/>
      <c r="O11" s="521"/>
    </row>
    <row customHeight="1" ht="14.25">
      <c r="A12" s="384"/>
      <c r="B12" s="461" t="s">
        <v>25</v>
      </c>
      <c r="C12" s="454" t="s">
        <v>19</v>
      </c>
      <c r="D12" s="558" t="str">
        <f>_xlfn.IFERROR(IF('延炼取值 '!D12=0,"",'延炼取值 '!D12),"")</f>
        <v/>
      </c>
      <c r="E12" s="202">
        <f>_xlfn.IFERROR('延炼取值 '!E12,"")</f>
        <v>0</v>
      </c>
      <c r="F12" s="463" t="str">
        <f>_xlfn.IFERROR(E12/'延炼取值 '!D12*100,"")</f>
        <v/>
      </c>
      <c r="G12" s="558" t="str">
        <f>_xlfn.IFERROR(IF('延炼取值 '!G12=0,"",'延炼取值 '!G12),"")</f>
        <v/>
      </c>
      <c r="H12" s="202">
        <f>_xlfn.IFERROR('延炼取值 '!H12,"")</f>
        <v>0</v>
      </c>
      <c r="I12" s="501" t="str">
        <f>_xlfn.IFERROR(H12/'延炼取值 '!G12*100,"")</f>
        <v/>
      </c>
      <c r="J12" s="562">
        <v>0</v>
      </c>
      <c r="K12" s="562">
        <v>0</v>
      </c>
      <c r="L12" s="460">
        <f>_xlfn.IFERROR(H12-K12,"")</f>
        <v>0</v>
      </c>
      <c r="M12" s="434"/>
      <c r="N12" s="434"/>
      <c r="O12" s="521"/>
    </row>
    <row customHeight="1" ht="14.25">
      <c r="A13" s="384"/>
      <c r="B13" s="461" t="s">
        <v>26</v>
      </c>
      <c r="C13" s="454" t="s">
        <v>19</v>
      </c>
      <c r="D13" s="558">
        <v>2200</v>
      </c>
      <c r="E13" s="202">
        <f>_xlfn.IFERROR('延炼取值 '!E13,"")</f>
        <v>2787</v>
      </c>
      <c r="F13" s="463">
        <f>_xlfn.IFERROR(E13/'延炼取值 '!D13*100,"")</f>
        <v>126.681818181818</v>
      </c>
      <c r="G13" s="558">
        <v>30625</v>
      </c>
      <c r="H13" s="202">
        <f>_xlfn.IFERROR('延炼取值 '!H13,"")</f>
        <v>25213</v>
      </c>
      <c r="I13" s="501">
        <f>_xlfn.IFERROR(H13/'延炼取值 '!G13*100,"")</f>
        <v>82.3281632653061</v>
      </c>
      <c r="J13" s="560">
        <v>2897</v>
      </c>
      <c r="K13" s="560">
        <v>29727</v>
      </c>
      <c r="L13" s="460">
        <f>_xlfn.IFERROR(H13-K13,"")</f>
        <v>-4514</v>
      </c>
      <c r="M13" s="434"/>
      <c r="N13" s="434"/>
      <c r="O13" s="521"/>
    </row>
    <row customHeight="1" ht="14.25">
      <c r="A14" s="384"/>
      <c r="B14" s="461" t="s">
        <v>27</v>
      </c>
      <c r="C14" s="454" t="s">
        <v>19</v>
      </c>
      <c r="D14" s="558" t="str">
        <f>_xlfn.IFERROR(IF('延炼取值 '!D14=0,"",'延炼取值 '!D14),"")</f>
        <v/>
      </c>
      <c r="E14" s="202"/>
      <c r="F14" s="463" t="str">
        <f>_xlfn.IFERROR(E14/'延炼取值 '!D14*100,"")</f>
        <v/>
      </c>
      <c r="G14" s="558" t="str">
        <f>_xlfn.IFERROR(IF('延炼取值 '!G14=0,"",'延炼取值 '!G14),"")</f>
        <v/>
      </c>
      <c r="H14" s="202"/>
      <c r="I14" s="501" t="str">
        <f>_xlfn.IFERROR(H14/'延炼取值 '!G14*100,"")</f>
        <v/>
      </c>
      <c r="J14" s="560"/>
      <c r="K14" s="560"/>
      <c r="L14" s="460">
        <f>_xlfn.IFERROR(H14-K14,"")</f>
        <v>0</v>
      </c>
      <c r="M14" s="434"/>
      <c r="N14" s="434"/>
      <c r="O14" s="521"/>
    </row>
    <row customHeight="1" ht="14.25">
      <c r="A15" s="384"/>
      <c r="B15" s="461" t="s">
        <v>28</v>
      </c>
      <c r="C15" s="454" t="s">
        <v>19</v>
      </c>
      <c r="D15" s="558" t="str">
        <f>_xlfn.IFERROR(IF('延炼取值 '!D15=0,"",'延炼取值 '!D15),"")</f>
        <v/>
      </c>
      <c r="E15" s="202"/>
      <c r="F15" s="463" t="str">
        <f>_xlfn.IFERROR(E15/'延炼取值 '!D15*100,"")</f>
        <v/>
      </c>
      <c r="G15" s="558" t="str">
        <f>_xlfn.IFERROR(IF('延炼取值 '!G15=0,"",'延炼取值 '!G15),"")</f>
        <v/>
      </c>
      <c r="H15" s="202"/>
      <c r="I15" s="501" t="str">
        <f>_xlfn.IFERROR(H15/'延炼取值 '!G15*100,"")</f>
        <v/>
      </c>
      <c r="J15" s="560"/>
      <c r="K15" s="560"/>
      <c r="L15" s="460">
        <f>_xlfn.IFERROR(H15-K15,"")</f>
        <v>0</v>
      </c>
      <c r="M15" s="434"/>
      <c r="N15" s="434"/>
      <c r="O15" s="521"/>
    </row>
    <row customHeight="1" ht="14.25">
      <c r="A16" s="384"/>
      <c r="B16" s="461" t="s">
        <v>29</v>
      </c>
      <c r="C16" s="454" t="s">
        <v>19</v>
      </c>
      <c r="D16" s="558" t="str">
        <f>_xlfn.IFERROR(IF('延炼取值 '!D16=0,"",'延炼取值 '!D16),"")</f>
        <v/>
      </c>
      <c r="E16" s="202">
        <f>_xlfn.IFERROR('延炼取值 '!E16,"")</f>
        <v>488629</v>
      </c>
      <c r="F16" s="463" t="str">
        <f>_xlfn.IFERROR(E16/'延炼取值 '!D16*100,"")</f>
        <v/>
      </c>
      <c r="G16" s="558" t="str">
        <f>_xlfn.IFERROR(IF('延炼取值 '!G16=0,"",'延炼取值 '!G16),"")</f>
        <v/>
      </c>
      <c r="H16" s="202">
        <f>_xlfn.IFERROR('延炼取值 '!H16,"")</f>
        <v>5829379</v>
      </c>
      <c r="I16" s="501" t="str">
        <f>_xlfn.IFERROR(H16/'延炼取值 '!G16*100,"")</f>
        <v/>
      </c>
      <c r="J16" s="560">
        <v>466526</v>
      </c>
      <c r="K16" s="560">
        <v>5775191</v>
      </c>
      <c r="L16" s="460">
        <f>_xlfn.IFERROR(H16-K16,"")</f>
        <v>54188</v>
      </c>
      <c r="M16" s="434" t="s">
        <v>115</v>
      </c>
      <c r="N16" s="434" t="s">
        <v>116</v>
      </c>
      <c r="O16" s="521"/>
    </row>
    <row customHeight="1" ht="14.25">
      <c r="A17" s="384"/>
      <c r="B17" s="461" t="s">
        <v>30</v>
      </c>
      <c r="C17" s="454" t="s">
        <v>19</v>
      </c>
      <c r="D17" s="558">
        <v>525000</v>
      </c>
      <c r="E17" s="202">
        <f>_xlfn.IFERROR('延炼取值 '!E17,"")</f>
        <v>488629</v>
      </c>
      <c r="F17" s="463">
        <f>_xlfn.IFERROR(E17/'延炼取值 '!D17*100,"")</f>
        <v>93.0721904761905</v>
      </c>
      <c r="G17" s="558">
        <v>6300000</v>
      </c>
      <c r="H17" s="202">
        <f>_xlfn.IFERROR('延炼取值 '!H17,"")</f>
        <v>5829379</v>
      </c>
      <c r="I17" s="501">
        <f>_xlfn.IFERROR(H17/'延炼取值 '!G17*100,"")</f>
        <v>92.5298253968254</v>
      </c>
      <c r="J17" s="560">
        <v>466526</v>
      </c>
      <c r="K17" s="560">
        <v>5775191</v>
      </c>
      <c r="L17" s="460">
        <f>_xlfn.IFERROR(H17-K17,"")</f>
        <v>54188</v>
      </c>
      <c r="M17" s="389">
        <f>E17</f>
        <v>488629</v>
      </c>
      <c r="N17" s="389">
        <f>H17</f>
        <v>5829379</v>
      </c>
      <c r="O17" s="134"/>
    </row>
    <row customHeight="1" ht="14.25">
      <c r="A18" s="384"/>
      <c r="B18" s="465" t="s">
        <v>31</v>
      </c>
      <c r="C18" s="466" t="s">
        <v>19</v>
      </c>
      <c r="D18" s="558" t="str">
        <f>_xlfn.IFERROR(IF('延炼取值 '!D18=0,"",'延炼取值 '!D18),"")</f>
        <v/>
      </c>
      <c r="E18" s="564">
        <v>0</v>
      </c>
      <c r="F18" s="468" t="str">
        <f>_xlfn.IFERROR(E18/'延炼取值 '!D18*100,"")</f>
        <v/>
      </c>
      <c r="G18" s="558" t="str">
        <f>_xlfn.IFERROR(IF('延炼取值 '!G18=0,"",'延炼取值 '!G18),"")</f>
        <v/>
      </c>
      <c r="H18" s="564">
        <v>0</v>
      </c>
      <c r="I18" s="565" t="str">
        <f>_xlfn.IFERROR(H18/'延炼取值 '!G18*100,"")</f>
        <v/>
      </c>
      <c r="J18" s="561">
        <v>0</v>
      </c>
      <c r="K18" s="561">
        <v>0</v>
      </c>
      <c r="L18" s="471">
        <f>_xlfn.IFERROR(H18-K18,"")</f>
        <v>0</v>
      </c>
      <c r="M18" s="134"/>
      <c r="N18" s="134"/>
      <c r="O18" s="134"/>
    </row>
    <row customHeight="1" ht="14.25">
      <c r="A19" s="384"/>
      <c r="B19" s="461" t="s">
        <v>32</v>
      </c>
      <c r="C19" s="454" t="s">
        <v>19</v>
      </c>
      <c r="D19" s="558" t="str">
        <f>_xlfn.IFERROR(IF('延炼取值 '!D19=0,"",'延炼取值 '!D19),"")</f>
        <v/>
      </c>
      <c r="E19" s="202">
        <f>_xlfn.IFERROR('延炼取值 '!E19,"")</f>
        <v>252896</v>
      </c>
      <c r="F19" s="463" t="str">
        <f>_xlfn.IFERROR(E19/'延炼取值 '!D19*100,"")</f>
        <v/>
      </c>
      <c r="G19" s="558" t="str">
        <f>_xlfn.IFERROR(IF('延炼取值 '!G19=0,"",'延炼取值 '!G19),"")</f>
        <v/>
      </c>
      <c r="H19" s="202">
        <f>_xlfn.IFERROR('延炼取值 '!H19,"")</f>
        <v>2967443</v>
      </c>
      <c r="I19" s="501" t="str">
        <f>_xlfn.IFERROR(H19/'延炼取值 '!G19*100,"")</f>
        <v/>
      </c>
      <c r="J19" s="560">
        <v>261377</v>
      </c>
      <c r="K19" s="560">
        <v>2949656</v>
      </c>
      <c r="L19" s="460">
        <f>_xlfn.IFERROR(H19-K19,"")</f>
        <v>17787</v>
      </c>
      <c r="M19" s="134"/>
      <c r="N19" s="134"/>
      <c r="O19" s="134"/>
    </row>
    <row customHeight="1" ht="14.25">
      <c r="A20" s="384"/>
      <c r="B20" s="461" t="s">
        <v>33</v>
      </c>
      <c r="C20" s="454" t="s">
        <v>19</v>
      </c>
      <c r="D20" s="558">
        <v>260000</v>
      </c>
      <c r="E20" s="202">
        <f>_xlfn.IFERROR('延炼取值 '!E20,"")</f>
        <v>251400</v>
      </c>
      <c r="F20" s="463">
        <f>_xlfn.IFERROR(E20/'延炼取值 '!D20*100,"")</f>
        <v>96.6923076923077</v>
      </c>
      <c r="G20" s="558">
        <v>3080000</v>
      </c>
      <c r="H20" s="202">
        <f>_xlfn.IFERROR('延炼取值 '!H20,"")</f>
        <v>2974069</v>
      </c>
      <c r="I20" s="501">
        <f>_xlfn.IFERROR(H20/'延炼取值 '!G20*100,"")</f>
        <v>96.5606818181818</v>
      </c>
      <c r="J20" s="560">
        <v>260435</v>
      </c>
      <c r="K20" s="560">
        <v>2936284</v>
      </c>
      <c r="L20" s="460">
        <f>_xlfn.IFERROR(H20-K20,"")</f>
        <v>37785</v>
      </c>
      <c r="M20" s="389">
        <f>E20</f>
        <v>251400</v>
      </c>
      <c r="N20" s="389">
        <f>H20</f>
        <v>2974069</v>
      </c>
      <c r="O20" s="134"/>
    </row>
    <row customHeight="1" ht="14.25">
      <c r="A21" s="384"/>
      <c r="B21" s="461" t="s">
        <v>34</v>
      </c>
      <c r="C21" s="454" t="s">
        <v>19</v>
      </c>
      <c r="D21" s="558" t="str">
        <f>_xlfn.IFERROR(IF('延炼取值 '!D21=0,"",'延炼取值 '!D21),"")</f>
        <v/>
      </c>
      <c r="E21" s="202"/>
      <c r="F21" s="463" t="str">
        <f>_xlfn.IFERROR(E21/'延炼取值 '!D21*100,"")</f>
        <v/>
      </c>
      <c r="G21" s="558" t="str">
        <f>_xlfn.IFERROR(IF('延炼取值 '!G21=0,"",'延炼取值 '!G21),"")</f>
        <v/>
      </c>
      <c r="H21" s="202"/>
      <c r="I21" s="501" t="str">
        <f>_xlfn.IFERROR(H21/'延炼取值 '!G21*100,"")</f>
        <v/>
      </c>
      <c r="J21" s="560"/>
      <c r="K21" s="560"/>
      <c r="L21" s="460">
        <f>_xlfn.IFERROR(H21-K21,"")</f>
        <v>0</v>
      </c>
      <c r="M21" s="434"/>
      <c r="N21" s="434"/>
      <c r="O21" s="521"/>
    </row>
    <row customHeight="1" ht="14.25">
      <c r="A22" s="384"/>
      <c r="B22" s="461" t="s">
        <v>35</v>
      </c>
      <c r="C22" s="454" t="s">
        <v>19</v>
      </c>
      <c r="D22" s="558" t="str">
        <f>_xlfn.IFERROR(IF('延炼取值 '!D22=0,"",'延炼取值 '!D22),"")</f>
        <v/>
      </c>
      <c r="E22" s="202"/>
      <c r="F22" s="463" t="str">
        <f>_xlfn.IFERROR(E22/'延炼取值 '!D22*100,"")</f>
        <v/>
      </c>
      <c r="G22" s="558" t="str">
        <f>_xlfn.IFERROR(IF('延炼取值 '!G22=0,"",'延炼取值 '!G22),"")</f>
        <v/>
      </c>
      <c r="H22" s="202"/>
      <c r="I22" s="501" t="str">
        <f>_xlfn.IFERROR(H22/'延炼取值 '!G22*100,"")</f>
        <v/>
      </c>
      <c r="J22" s="560"/>
      <c r="K22" s="560"/>
      <c r="L22" s="460">
        <f>_xlfn.IFERROR(H22-K22,"")</f>
        <v>0</v>
      </c>
      <c r="M22" s="434"/>
      <c r="N22" s="434"/>
      <c r="O22" s="521"/>
    </row>
    <row customHeight="1" ht="14.25">
      <c r="A23" s="384"/>
      <c r="B23" s="461" t="s">
        <v>36</v>
      </c>
      <c r="C23" s="454" t="s">
        <v>19</v>
      </c>
      <c r="D23" s="558" t="str">
        <f>_xlfn.IFERROR(IF('延炼取值 '!D23=0,"",'延炼取值 '!D23),"")</f>
        <v/>
      </c>
      <c r="E23" s="202"/>
      <c r="F23" s="463" t="str">
        <f>_xlfn.IFERROR(E23/'延炼取值 '!D23*100,"")</f>
        <v/>
      </c>
      <c r="G23" s="558" t="str">
        <f>_xlfn.IFERROR(IF('延炼取值 '!G23=0,"",'延炼取值 '!G23),"")</f>
        <v/>
      </c>
      <c r="H23" s="202"/>
      <c r="I23" s="501" t="str">
        <f>_xlfn.IFERROR(H23/'延炼取值 '!G23*100,"")</f>
        <v/>
      </c>
      <c r="J23" s="560"/>
      <c r="K23" s="560"/>
      <c r="L23" s="460">
        <f>_xlfn.IFERROR(H23-K23,"")</f>
        <v>0</v>
      </c>
      <c r="M23" s="434"/>
      <c r="N23" s="434"/>
      <c r="O23" s="521"/>
    </row>
    <row customHeight="1" ht="14.25">
      <c r="A24" s="384"/>
      <c r="B24" s="461" t="s">
        <v>37</v>
      </c>
      <c r="C24" s="454" t="s">
        <v>19</v>
      </c>
      <c r="D24" s="558" t="str">
        <f>_xlfn.IFERROR(IF('延炼取值 '!D24=0,"",'延炼取值 '!D24),"")</f>
        <v/>
      </c>
      <c r="E24" s="202"/>
      <c r="F24" s="463" t="str">
        <f>_xlfn.IFERROR(E24/'延炼取值 '!D24*100,"")</f>
        <v/>
      </c>
      <c r="G24" s="558" t="str">
        <f>_xlfn.IFERROR(IF('延炼取值 '!G24=0,"",'延炼取值 '!G24),"")</f>
        <v/>
      </c>
      <c r="H24" s="202"/>
      <c r="I24" s="501" t="str">
        <f>_xlfn.IFERROR(H24/'延炼取值 '!G24*100,"")</f>
        <v/>
      </c>
      <c r="J24" s="560"/>
      <c r="K24" s="560"/>
      <c r="L24" s="460">
        <f>_xlfn.IFERROR(H24-K24,"")</f>
        <v>0</v>
      </c>
      <c r="M24" s="434"/>
      <c r="N24" s="434"/>
      <c r="O24" s="521"/>
    </row>
    <row customHeight="1" ht="14.25">
      <c r="A25" s="384"/>
      <c r="B25" s="461" t="s">
        <v>38</v>
      </c>
      <c r="C25" s="454" t="s">
        <v>19</v>
      </c>
      <c r="D25" s="558" t="str">
        <f>_xlfn.IFERROR(IF('延炼取值 '!D25=0,"",'延炼取值 '!D25),"")</f>
        <v/>
      </c>
      <c r="E25" s="202"/>
      <c r="F25" s="463" t="str">
        <f>_xlfn.IFERROR(E25/'延炼取值 '!D25*100,"")</f>
        <v/>
      </c>
      <c r="G25" s="558" t="str">
        <f>_xlfn.IFERROR(IF('延炼取值 '!G25=0,"",'延炼取值 '!G25),"")</f>
        <v/>
      </c>
      <c r="H25" s="202"/>
      <c r="I25" s="501" t="str">
        <f>_xlfn.IFERROR(H25/'延炼取值 '!G25*100,"")</f>
        <v/>
      </c>
      <c r="J25" s="560"/>
      <c r="K25" s="560"/>
      <c r="L25" s="460">
        <f>_xlfn.IFERROR(H25-K25,"")</f>
        <v>0</v>
      </c>
      <c r="M25" s="434"/>
      <c r="N25" s="434"/>
      <c r="O25" s="521"/>
    </row>
    <row customHeight="1" ht="14.25">
      <c r="A26" s="384"/>
      <c r="B26" s="461" t="s">
        <v>39</v>
      </c>
      <c r="C26" s="454" t="s">
        <v>19</v>
      </c>
      <c r="D26" s="558">
        <v>26800</v>
      </c>
      <c r="E26" s="202">
        <f>_xlfn.IFERROR('延炼取值 '!E26,"")</f>
        <v>28307</v>
      </c>
      <c r="F26" s="463">
        <f>_xlfn.IFERROR(E26/'延炼取值 '!D26*100,"")</f>
        <v>105.623134328358</v>
      </c>
      <c r="G26" s="558">
        <v>300000</v>
      </c>
      <c r="H26" s="202">
        <f>_xlfn.IFERROR('延炼取值 '!H26,"")</f>
        <v>303202</v>
      </c>
      <c r="I26" s="501">
        <f>_xlfn.IFERROR(H26/'延炼取值 '!G26*100,"")</f>
        <v>101.067333333333</v>
      </c>
      <c r="J26" s="560">
        <v>29206</v>
      </c>
      <c r="K26" s="560">
        <v>311265</v>
      </c>
      <c r="L26" s="460">
        <f>_xlfn.IFERROR(H26-K26,"")</f>
        <v>-8063</v>
      </c>
      <c r="M26" s="434"/>
      <c r="N26" s="434"/>
      <c r="O26" s="521"/>
    </row>
    <row customHeight="1" ht="14.25">
      <c r="A27" s="384"/>
      <c r="B27" s="461" t="s">
        <v>40</v>
      </c>
      <c r="C27" s="454" t="s">
        <v>19</v>
      </c>
      <c r="D27" s="558" t="str">
        <f>_xlfn.IFERROR(IF('延炼取值 '!D27=0,"",'延炼取值 '!D27),"")</f>
        <v/>
      </c>
      <c r="E27" s="202">
        <f>_xlfn.IFERROR('延炼取值 '!E27,"")</f>
        <v>29036</v>
      </c>
      <c r="F27" s="463" t="str">
        <f>_xlfn.IFERROR(E27/'延炼取值 '!D27*100,"")</f>
        <v/>
      </c>
      <c r="G27" s="558">
        <v>157422</v>
      </c>
      <c r="H27" s="202">
        <f>_xlfn.IFERROR('延炼取值 '!H27,"")</f>
        <v>193268</v>
      </c>
      <c r="I27" s="501">
        <f>_xlfn.IFERROR(H27/'延炼取值 '!G27*100,"")</f>
        <v>122.770641968721</v>
      </c>
      <c r="J27" s="560">
        <v>8195</v>
      </c>
      <c r="K27" s="560">
        <v>238896</v>
      </c>
      <c r="L27" s="460">
        <f>_xlfn.IFERROR(H27-K27,"")</f>
        <v>-45628</v>
      </c>
      <c r="M27" s="434"/>
      <c r="N27" s="434"/>
      <c r="O27" s="521"/>
    </row>
    <row customHeight="1" ht="14.25">
      <c r="A28" s="384"/>
      <c r="B28" s="461" t="s">
        <v>41</v>
      </c>
      <c r="C28" s="454" t="s">
        <v>19</v>
      </c>
      <c r="D28" s="558" t="str">
        <f>_xlfn.IFERROR(IF('延炼取值 '!D28=0,"",'延炼取值 '!D28),"")</f>
        <v/>
      </c>
      <c r="E28" s="202"/>
      <c r="F28" s="463" t="str">
        <f>_xlfn.IFERROR(E28/'延炼取值 '!D28*100,"")</f>
        <v/>
      </c>
      <c r="G28" s="558" t="str">
        <f>_xlfn.IFERROR(IF('延炼取值 '!G28=0,"",'延炼取值 '!G28),"")</f>
        <v/>
      </c>
      <c r="H28" s="202"/>
      <c r="I28" s="501" t="str">
        <f>_xlfn.IFERROR(H28/'延炼取值 '!G28*100,"")</f>
        <v/>
      </c>
      <c r="J28" s="560"/>
      <c r="K28" s="560"/>
      <c r="L28" s="460">
        <f>_xlfn.IFERROR(H28-K28,"")</f>
        <v>0</v>
      </c>
      <c r="M28" s="434"/>
      <c r="N28" s="434"/>
      <c r="O28" s="521"/>
    </row>
    <row customHeight="1" ht="14.25">
      <c r="A29" s="384"/>
      <c r="B29" s="461" t="s">
        <v>42</v>
      </c>
      <c r="C29" s="454" t="s">
        <v>19</v>
      </c>
      <c r="D29" s="558" t="str">
        <f>_xlfn.IFERROR(IF('延炼取值 '!D29=0,"",'延炼取值 '!D29),"")</f>
        <v/>
      </c>
      <c r="E29" s="202"/>
      <c r="F29" s="463" t="str">
        <f>_xlfn.IFERROR(E29/'延炼取值 '!D29*100,"")</f>
        <v/>
      </c>
      <c r="G29" s="558" t="str">
        <f>_xlfn.IFERROR(IF('延炼取值 '!G29=0,"",'延炼取值 '!G29),"")</f>
        <v/>
      </c>
      <c r="H29" s="202"/>
      <c r="I29" s="501" t="str">
        <f>_xlfn.IFERROR(H29/'延炼取值 '!G29*100,"")</f>
        <v/>
      </c>
      <c r="J29" s="560"/>
      <c r="K29" s="560"/>
      <c r="L29" s="460">
        <f>_xlfn.IFERROR(H29-K29,"")</f>
        <v>0</v>
      </c>
      <c r="M29" s="434"/>
      <c r="N29" s="434"/>
      <c r="O29" s="521"/>
    </row>
    <row customHeight="1" ht="14.25">
      <c r="A30" s="384"/>
      <c r="B30" s="453" t="s">
        <v>43</v>
      </c>
      <c r="C30" s="454"/>
      <c r="D30" s="201"/>
      <c r="E30" s="202"/>
      <c r="F30" s="463"/>
      <c r="G30" s="201"/>
      <c r="H30" s="202"/>
      <c r="I30" s="501"/>
      <c r="J30" s="67"/>
      <c r="K30" s="67"/>
      <c r="L30" s="460"/>
      <c r="M30" s="434" t="s">
        <v>128</v>
      </c>
      <c r="N30" s="434"/>
      <c r="O30" s="521"/>
    </row>
    <row customHeight="1" ht="14.25">
      <c r="A31" s="384"/>
      <c r="B31" s="473" t="s">
        <v>44</v>
      </c>
      <c r="C31" s="454" t="s">
        <v>19</v>
      </c>
      <c r="D31" s="558">
        <v>253000</v>
      </c>
      <c r="E31" s="202">
        <f>_xlfn.IFERROR('延炼取值 '!E31,"")</f>
        <v>239897</v>
      </c>
      <c r="F31" s="463">
        <f>_xlfn.IFERROR(E31/'延炼取值 '!D31*100,"")</f>
        <v>94.8209486166008</v>
      </c>
      <c r="G31" s="558">
        <v>2656714</v>
      </c>
      <c r="H31" s="202">
        <f>_xlfn.IFERROR('延炼取值 '!H31,"")</f>
        <v>2874458</v>
      </c>
      <c r="I31" s="501">
        <f>_xlfn.IFERROR(H31/'延炼取值 '!G31*100,"")</f>
        <v>108.195989481743</v>
      </c>
      <c r="J31" s="560">
        <v>252437</v>
      </c>
      <c r="K31" s="560">
        <v>2814746</v>
      </c>
      <c r="L31" s="460">
        <f>_xlfn.IFERROR(H31-K31,"")</f>
        <v>59712</v>
      </c>
      <c r="M31" s="567">
        <f>E31</f>
        <v>239897</v>
      </c>
      <c r="N31" s="567">
        <f>H31</f>
        <v>2874458</v>
      </c>
      <c r="O31" s="521"/>
    </row>
    <row customHeight="1" ht="14.25">
      <c r="A32" s="384"/>
      <c r="B32" s="461" t="s">
        <v>45</v>
      </c>
      <c r="C32" s="454" t="s">
        <v>19</v>
      </c>
      <c r="D32" s="558" t="str">
        <f>_xlfn.IFERROR(IF('延炼取值 '!D32=0,"",'延炼取值 '!D32),"")</f>
        <v/>
      </c>
      <c r="E32" s="202">
        <f>_xlfn.IFERROR('延炼取值 '!E32,"")</f>
        <v>135789</v>
      </c>
      <c r="F32" s="463" t="str">
        <f>_xlfn.IFERROR(E32/'延炼取值 '!D32*100,"")</f>
        <v/>
      </c>
      <c r="G32" s="558">
        <v>1770198</v>
      </c>
      <c r="H32" s="202">
        <f>_xlfn.IFERROR('延炼取值 '!H32,"")</f>
        <v>1660222</v>
      </c>
      <c r="I32" s="501">
        <f>_xlfn.IFERROR(H32/'延炼取值 '!G32*100,"")</f>
        <v>93.7873616397714</v>
      </c>
      <c r="J32" s="560">
        <v>152029</v>
      </c>
      <c r="K32" s="560">
        <v>1766975</v>
      </c>
      <c r="L32" s="460">
        <f>_xlfn.IFERROR(H32-K32,"")</f>
        <v>-106753</v>
      </c>
      <c r="M32" s="434"/>
      <c r="N32" s="434"/>
      <c r="O32" s="521"/>
    </row>
    <row customHeight="1" ht="14.25">
      <c r="A33" s="384"/>
      <c r="B33" s="473" t="s">
        <v>46</v>
      </c>
      <c r="C33" s="454" t="s">
        <v>19</v>
      </c>
      <c r="D33" s="558" t="str">
        <f>_xlfn.IFERROR(IF('延炼取值 '!D33=0,"",'延炼取值 '!D33),"")</f>
        <v/>
      </c>
      <c r="E33" s="202">
        <f>_xlfn.IFERROR('延炼取值 '!E33,"")</f>
        <v>104108</v>
      </c>
      <c r="F33" s="463" t="str">
        <f>_xlfn.IFERROR(E33/'延炼取值 '!D33*100,"")</f>
        <v/>
      </c>
      <c r="G33" s="558">
        <v>864200</v>
      </c>
      <c r="H33" s="202">
        <f>_xlfn.IFERROR('延炼取值 '!H33,"")</f>
        <v>1191274</v>
      </c>
      <c r="I33" s="501">
        <f>_xlfn.IFERROR(H33/'延炼取值 '!G33*100,"")</f>
        <v>137.847026151354</v>
      </c>
      <c r="J33" s="560">
        <v>98185</v>
      </c>
      <c r="K33" s="560">
        <v>1026709</v>
      </c>
      <c r="L33" s="460">
        <f>_xlfn.IFERROR(H33-K33,"")</f>
        <v>164565</v>
      </c>
      <c r="M33" s="434"/>
      <c r="N33" s="434"/>
      <c r="O33" s="521"/>
    </row>
    <row customHeight="1" ht="14.25">
      <c r="A34" s="384"/>
      <c r="B34" s="473" t="s">
        <v>47</v>
      </c>
      <c r="C34" s="454" t="s">
        <v>19</v>
      </c>
      <c r="D34" s="558" t="str">
        <f>_xlfn.IFERROR(IF('延炼取值 '!D34=0,"",'延炼取值 '!D34),"")</f>
        <v/>
      </c>
      <c r="E34" s="202">
        <f>_xlfn.IFERROR('延炼取值 '!E34,"")</f>
        <v>0</v>
      </c>
      <c r="F34" s="463" t="str">
        <f>_xlfn.IFERROR(E34/'延炼取值 '!D34*100,"")</f>
        <v/>
      </c>
      <c r="G34" s="558" t="str">
        <f>_xlfn.IFERROR(IF('延炼取值 '!G34=0,"",'延炼取值 '!G34),"")</f>
        <v/>
      </c>
      <c r="H34" s="202">
        <f>_xlfn.IFERROR('延炼取值 '!H34,"")</f>
        <v>22962</v>
      </c>
      <c r="I34" s="501" t="str">
        <f>_xlfn.IFERROR(H34/'延炼取值 '!G34*100,"")</f>
        <v/>
      </c>
      <c r="J34" s="560">
        <v>2223</v>
      </c>
      <c r="K34" s="560">
        <v>21062</v>
      </c>
      <c r="L34" s="460">
        <f>_xlfn.IFERROR(H34-K34,"")</f>
        <v>1900</v>
      </c>
      <c r="M34" s="434" t="s">
        <v>129</v>
      </c>
      <c r="N34" s="434"/>
      <c r="O34" s="521"/>
    </row>
    <row customHeight="1" ht="14.25">
      <c r="A35" s="384"/>
      <c r="B35" s="461" t="s">
        <v>48</v>
      </c>
      <c r="C35" s="454" t="s">
        <v>19</v>
      </c>
      <c r="D35" s="558">
        <v>200000</v>
      </c>
      <c r="E35" s="202">
        <f>_xlfn.IFERROR('延炼取值 '!E35,"")</f>
        <v>194670</v>
      </c>
      <c r="F35" s="463">
        <f>_xlfn.IFERROR(E35/'延炼取值 '!D35*100,"")</f>
        <v>97.335</v>
      </c>
      <c r="G35" s="558">
        <v>2577462</v>
      </c>
      <c r="H35" s="202">
        <f>_xlfn.IFERROR('延炼取值 '!H35,"")</f>
        <v>2388739</v>
      </c>
      <c r="I35" s="501">
        <f>_xlfn.IFERROR(H35/'延炼取值 '!G35*100,"")</f>
        <v>92.677952187074</v>
      </c>
      <c r="J35" s="560">
        <v>158779</v>
      </c>
      <c r="K35" s="560">
        <v>2366904</v>
      </c>
      <c r="L35" s="460">
        <f>_xlfn.IFERROR(H35-K35,"")</f>
        <v>21835</v>
      </c>
      <c r="M35" s="567">
        <f>E35</f>
        <v>194670</v>
      </c>
      <c r="N35" s="567">
        <f>H35</f>
        <v>2388739</v>
      </c>
      <c r="O35" s="521"/>
    </row>
    <row customHeight="1" ht="14.25">
      <c r="A36" s="384"/>
      <c r="B36" s="474" t="s">
        <v>49</v>
      </c>
      <c r="C36" s="454" t="s">
        <v>19</v>
      </c>
      <c r="D36" s="558" t="str">
        <f>_xlfn.IFERROR(IF('延炼取值 '!D36=0,"",'延炼取值 '!D36),"")</f>
        <v/>
      </c>
      <c r="E36" s="202"/>
      <c r="F36" s="463" t="str">
        <f>_xlfn.IFERROR(E36/'延炼取值 '!D36*100,"")</f>
        <v/>
      </c>
      <c r="G36" s="558" t="str">
        <f>_xlfn.IFERROR(IF('延炼取值 '!G36=0,"",'延炼取值 '!G36),"")</f>
        <v/>
      </c>
      <c r="H36" s="202"/>
      <c r="I36" s="501" t="str">
        <f>_xlfn.IFERROR(H36/'延炼取值 '!G36*100,"")</f>
        <v/>
      </c>
      <c r="J36" s="560"/>
      <c r="K36" s="560"/>
      <c r="L36" s="460">
        <f>_xlfn.IFERROR(H36-K36,"")</f>
        <v>0</v>
      </c>
      <c r="M36" s="434"/>
      <c r="N36" s="434"/>
      <c r="O36" s="521"/>
    </row>
    <row customHeight="1" ht="14.25">
      <c r="A37" s="384"/>
      <c r="B37" s="461" t="s">
        <v>50</v>
      </c>
      <c r="C37" s="454" t="s">
        <v>19</v>
      </c>
      <c r="D37" s="558" t="str">
        <f>_xlfn.IFERROR(IF('延炼取值 '!D37=0,"",'延炼取值 '!D37),"")</f>
        <v/>
      </c>
      <c r="E37" s="202">
        <f>_xlfn.IFERROR('延炼取值 '!E37,"")</f>
        <v>194670</v>
      </c>
      <c r="F37" s="463" t="str">
        <f>_xlfn.IFERROR(E37/'延炼取值 '!D37*100,"")</f>
        <v/>
      </c>
      <c r="G37" s="558" t="str">
        <f>_xlfn.IFERROR(IF('延炼取值 '!G37=0,"",'延炼取值 '!G37),"")</f>
        <v/>
      </c>
      <c r="H37" s="202">
        <f>_xlfn.IFERROR('延炼取值 '!H37,"")</f>
        <v>2388739</v>
      </c>
      <c r="I37" s="501" t="str">
        <f>_xlfn.IFERROR(H37/'延炼取值 '!G37*100,"")</f>
        <v/>
      </c>
      <c r="J37" s="560">
        <v>158779</v>
      </c>
      <c r="K37" s="560">
        <v>2366904</v>
      </c>
      <c r="L37" s="460">
        <f>_xlfn.IFERROR(H37-K37,"")</f>
        <v>21835</v>
      </c>
      <c r="M37" s="434"/>
      <c r="N37" s="434"/>
      <c r="O37" s="521"/>
    </row>
    <row customHeight="1" ht="14.25">
      <c r="A38" s="384"/>
      <c r="B38" s="461" t="s">
        <v>51</v>
      </c>
      <c r="C38" s="454" t="s">
        <v>19</v>
      </c>
      <c r="D38" s="558" t="str">
        <f>_xlfn.IFERROR(IF('延炼取值 '!D38=0,"",'延炼取值 '!D38),"")</f>
        <v/>
      </c>
      <c r="E38" s="202">
        <f>_xlfn.IFERROR('延炼取值 '!E38,"")</f>
        <v>0</v>
      </c>
      <c r="F38" s="463" t="str">
        <f>_xlfn.IFERROR(E38/'延炼取值 '!D38*100,"")</f>
        <v/>
      </c>
      <c r="G38" s="558" t="str">
        <f>_xlfn.IFERROR(IF('延炼取值 '!G38=0,"",'延炼取值 '!G38),"")</f>
        <v/>
      </c>
      <c r="H38" s="202">
        <f>_xlfn.IFERROR('延炼取值 '!H38,"")</f>
        <v>0</v>
      </c>
      <c r="I38" s="501" t="str">
        <f>_xlfn.IFERROR(H38/'延炼取值 '!G38*100,"")</f>
        <v/>
      </c>
      <c r="J38" s="560">
        <v>0</v>
      </c>
      <c r="K38" s="560">
        <v>0</v>
      </c>
      <c r="L38" s="460">
        <f>_xlfn.IFERROR(H38-K38,"")</f>
        <v>0</v>
      </c>
      <c r="M38" s="434"/>
      <c r="N38" s="434"/>
      <c r="O38" s="521"/>
    </row>
    <row customHeight="1" ht="14.25">
      <c r="A39" s="384"/>
      <c r="B39" s="461" t="s">
        <v>52</v>
      </c>
      <c r="C39" s="454" t="s">
        <v>19</v>
      </c>
      <c r="D39" s="558" t="str">
        <f>_xlfn.IFERROR(IF('延炼取值 '!D39=0,"",'延炼取值 '!D39),"")</f>
        <v/>
      </c>
      <c r="E39" s="202"/>
      <c r="F39" s="463" t="str">
        <f>_xlfn.IFERROR(E39/'延炼取值 '!D39*100,"")</f>
        <v/>
      </c>
      <c r="G39" s="558" t="str">
        <f>_xlfn.IFERROR(IF('延炼取值 '!G39=0,"",'延炼取值 '!G39),"")</f>
        <v/>
      </c>
      <c r="H39" s="202"/>
      <c r="I39" s="501" t="str">
        <f>_xlfn.IFERROR(H39/'延炼取值 '!G39*100,"")</f>
        <v/>
      </c>
      <c r="J39" s="560"/>
      <c r="K39" s="560"/>
      <c r="L39" s="460">
        <f>_xlfn.IFERROR(H39-K39,"")</f>
        <v>0</v>
      </c>
      <c r="M39" s="434"/>
      <c r="N39" s="434"/>
      <c r="O39" s="521"/>
    </row>
    <row customHeight="1" ht="14.25">
      <c r="A40" s="384"/>
      <c r="B40" s="461" t="s">
        <v>53</v>
      </c>
      <c r="C40" s="454" t="s">
        <v>19</v>
      </c>
      <c r="D40" s="558" t="str">
        <f>_xlfn.IFERROR(IF('延炼取值 '!D40=0,"",'延炼取值 '!D40),"")</f>
        <v/>
      </c>
      <c r="E40" s="202"/>
      <c r="F40" s="463" t="str">
        <f>_xlfn.IFERROR(E40/'延炼取值 '!D40*100,"")</f>
        <v/>
      </c>
      <c r="G40" s="558" t="str">
        <f>_xlfn.IFERROR(IF('延炼取值 '!G40=0,"",'延炼取值 '!G40),"")</f>
        <v/>
      </c>
      <c r="H40" s="202"/>
      <c r="I40" s="501" t="str">
        <f>_xlfn.IFERROR(H40/'延炼取值 '!G40*100,"")</f>
        <v/>
      </c>
      <c r="J40" s="560"/>
      <c r="K40" s="560"/>
      <c r="L40" s="460">
        <f>_xlfn.IFERROR(H40-K40,"")</f>
        <v>0</v>
      </c>
      <c r="M40" s="434"/>
      <c r="N40" s="434"/>
      <c r="O40" s="521"/>
    </row>
    <row customHeight="1" ht="14.25">
      <c r="A41" s="384"/>
      <c r="B41" s="461" t="s">
        <v>54</v>
      </c>
      <c r="C41" s="454" t="s">
        <v>19</v>
      </c>
      <c r="D41" s="558" t="str">
        <f>_xlfn.IFERROR(IF('延炼取值 '!D41=0,"",'延炼取值 '!D41),"")</f>
        <v/>
      </c>
      <c r="E41" s="202">
        <f>_xlfn.IFERROR('延炼取值 '!E41,"")</f>
        <v>10092</v>
      </c>
      <c r="F41" s="463" t="str">
        <f>_xlfn.IFERROR(E41/'延炼取值 '!D41*100,"")</f>
        <v/>
      </c>
      <c r="G41" s="558">
        <v>150000</v>
      </c>
      <c r="H41" s="202">
        <f>_xlfn.IFERROR('延炼取值 '!H41,"")</f>
        <v>102470</v>
      </c>
      <c r="I41" s="501">
        <f>_xlfn.IFERROR(H41/'延炼取值 '!G41*100,"")</f>
        <v>68.3133333333333</v>
      </c>
      <c r="J41" s="560">
        <v>4948</v>
      </c>
      <c r="K41" s="560">
        <v>70434</v>
      </c>
      <c r="L41" s="460">
        <f>_xlfn.IFERROR(H41-K41,"")</f>
        <v>32036</v>
      </c>
      <c r="M41" s="434"/>
      <c r="N41" s="434"/>
      <c r="O41" s="521"/>
    </row>
    <row customHeight="1" ht="14.25">
      <c r="A42" s="384"/>
      <c r="B42" s="461" t="s">
        <v>55</v>
      </c>
      <c r="C42" s="454" t="s">
        <v>19</v>
      </c>
      <c r="D42" s="558">
        <v>1800</v>
      </c>
      <c r="E42" s="202">
        <f>_xlfn.IFERROR('延炼取值 '!E42,"")</f>
        <v>2774.68</v>
      </c>
      <c r="F42" s="463">
        <f>_xlfn.IFERROR(E42/'延炼取值 '!D42*100,"")</f>
        <v>154.148888888889</v>
      </c>
      <c r="G42" s="558">
        <v>30800</v>
      </c>
      <c r="H42" s="202">
        <f>_xlfn.IFERROR('延炼取值 '!H42,"")</f>
        <v>24882.5</v>
      </c>
      <c r="I42" s="501">
        <f>_xlfn.IFERROR(H42/'延炼取值 '!G42*100,"")</f>
        <v>80.7873376623377</v>
      </c>
      <c r="J42" s="560">
        <v>2189.14</v>
      </c>
      <c r="K42" s="560">
        <v>25635.58</v>
      </c>
      <c r="L42" s="460">
        <f>_xlfn.IFERROR(H42-K42,"")</f>
        <v>-753.080000000002</v>
      </c>
      <c r="M42" s="434"/>
      <c r="N42" s="434"/>
      <c r="O42" s="521"/>
    </row>
    <row customHeight="1" ht="14.25">
      <c r="A43" s="384"/>
      <c r="B43" s="461" t="s">
        <v>56</v>
      </c>
      <c r="C43" s="454" t="s">
        <v>19</v>
      </c>
      <c r="D43" s="558" t="str">
        <f>_xlfn.IFERROR(IF('延炼取值 '!D43=0,"",'延炼取值 '!D43),"")</f>
        <v/>
      </c>
      <c r="E43" s="202"/>
      <c r="F43" s="463" t="str">
        <f>_xlfn.IFERROR(E43/'延炼取值 '!D43*100,"")</f>
        <v/>
      </c>
      <c r="G43" s="558" t="str">
        <f>_xlfn.IFERROR(IF('延炼取值 '!G43=0,"",'延炼取值 '!G43),"")</f>
        <v/>
      </c>
      <c r="H43" s="202"/>
      <c r="I43" s="501" t="str">
        <f>_xlfn.IFERROR(H43/'延炼取值 '!#REF!*100,"")</f>
        <v/>
      </c>
      <c r="J43" s="560"/>
      <c r="K43" s="560"/>
      <c r="L43" s="460">
        <f>_xlfn.IFERROR(H43-K43,"")</f>
        <v>0</v>
      </c>
      <c r="M43" s="434"/>
      <c r="N43" s="434"/>
      <c r="O43" s="521"/>
    </row>
    <row customHeight="1" ht="14.25">
      <c r="A44" s="384"/>
      <c r="B44" s="461" t="s">
        <v>57</v>
      </c>
      <c r="C44" s="454" t="s">
        <v>19</v>
      </c>
      <c r="D44" s="558" t="str">
        <f>_xlfn.IFERROR(IF('延炼取值 '!D44=0,"",'延炼取值 '!D44),"")</f>
        <v/>
      </c>
      <c r="E44" s="202"/>
      <c r="F44" s="463" t="str">
        <f>_xlfn.IFERROR(E44/'延炼取值 '!D44*100,"")</f>
        <v/>
      </c>
      <c r="G44" s="558" t="str">
        <f>_xlfn.IFERROR(IF('延炼取值 '!G44=0,"",'延炼取值 '!G44),"")</f>
        <v/>
      </c>
      <c r="H44" s="202"/>
      <c r="I44" s="501" t="str">
        <f>_xlfn.IFERROR(H44/'延炼取值 '!#REF!*100,"")</f>
        <v/>
      </c>
      <c r="J44" s="560"/>
      <c r="K44" s="560"/>
      <c r="L44" s="460">
        <f>_xlfn.IFERROR(H44-K44,"")</f>
        <v>0</v>
      </c>
      <c r="M44" s="434"/>
      <c r="N44" s="434"/>
      <c r="O44" s="521"/>
    </row>
    <row customHeight="1" ht="14.25">
      <c r="A45" s="384"/>
      <c r="B45" s="461" t="s">
        <v>58</v>
      </c>
      <c r="C45" s="454" t="s">
        <v>19</v>
      </c>
      <c r="D45" s="558">
        <v>1800</v>
      </c>
      <c r="E45" s="202">
        <f>_xlfn.IFERROR('延炼取值 '!E45,"")</f>
        <v>2774.68</v>
      </c>
      <c r="F45" s="463">
        <f>_xlfn.IFERROR(E45/'延炼取值 '!D45*100,"")</f>
        <v>154.148888888889</v>
      </c>
      <c r="G45" s="558">
        <v>30800</v>
      </c>
      <c r="H45" s="202">
        <f>_xlfn.IFERROR('延炼取值 '!H45,"")</f>
        <v>24882.5</v>
      </c>
      <c r="I45" s="501" t="str">
        <f>_xlfn.IFERROR(H45/'延炼取值 '!#REF!*100,"")</f>
        <v/>
      </c>
      <c r="J45" s="560">
        <v>2189.14</v>
      </c>
      <c r="K45" s="560">
        <v>25635.58</v>
      </c>
      <c r="L45" s="460">
        <f>_xlfn.IFERROR(H45-K45,"")</f>
        <v>-753.080000000002</v>
      </c>
      <c r="M45" s="434"/>
      <c r="N45" s="434"/>
      <c r="O45" s="521"/>
    </row>
    <row customHeight="1" ht="14.25">
      <c r="A46" s="384"/>
      <c r="B46" s="461" t="s">
        <v>59</v>
      </c>
      <c r="C46" s="454" t="s">
        <v>19</v>
      </c>
      <c r="D46" s="558" t="str">
        <f>_xlfn.IFERROR(IF('延炼取值 '!D46=0,"",'延炼取值 '!D46),"")</f>
        <v/>
      </c>
      <c r="E46" s="202">
        <f>_xlfn.IFERROR('延炼取值 '!E46,"")</f>
        <v>20470.62</v>
      </c>
      <c r="F46" s="463" t="str">
        <f>_xlfn.IFERROR(E46/'延炼取值 '!D46*100,"")</f>
        <v/>
      </c>
      <c r="G46" s="558" t="str">
        <f>_xlfn.IFERROR(IF('延炼取值 '!G46=0,"",'延炼取值 '!G46),"")</f>
        <v/>
      </c>
      <c r="H46" s="202">
        <f>_xlfn.IFERROR('延炼取值 '!H46,"")</f>
        <v>261850.7</v>
      </c>
      <c r="I46" s="501" t="str">
        <f>_xlfn.IFERROR(H46/'延炼取值 '!G46*100,"")</f>
        <v/>
      </c>
      <c r="J46" s="560">
        <v>21479.18</v>
      </c>
      <c r="K46" s="560">
        <v>256014.84</v>
      </c>
      <c r="L46" s="460">
        <f>_xlfn.IFERROR(H46-K46,"")</f>
        <v>5835.86000000002</v>
      </c>
      <c r="M46" s="434"/>
      <c r="N46" s="434"/>
      <c r="O46" s="521"/>
    </row>
    <row customHeight="1" ht="14.25">
      <c r="A47" s="384"/>
      <c r="B47" s="461" t="s">
        <v>60</v>
      </c>
      <c r="C47" s="454" t="s">
        <v>19</v>
      </c>
      <c r="D47" s="558" t="str">
        <f>_xlfn.IFERROR(IF('延炼取值 '!D47=0,"",'延炼取值 '!D47),"")</f>
        <v/>
      </c>
      <c r="E47" s="202"/>
      <c r="F47" s="463" t="str">
        <f>_xlfn.IFERROR(E47/'延炼取值 '!D47*100,"")</f>
        <v/>
      </c>
      <c r="G47" s="558">
        <v>53323</v>
      </c>
      <c r="H47" s="202"/>
      <c r="I47" s="501">
        <f>_xlfn.IFERROR(H47/'延炼取值 '!G47*100,"")</f>
        <v>0</v>
      </c>
      <c r="J47" s="560"/>
      <c r="K47" s="560"/>
      <c r="L47" s="460">
        <f>_xlfn.IFERROR(H47-K47,"")</f>
        <v>0</v>
      </c>
      <c r="M47" s="434"/>
      <c r="N47" s="434"/>
      <c r="O47" s="521"/>
    </row>
    <row customHeight="1" ht="14.25">
      <c r="A48" s="384"/>
      <c r="B48" s="461" t="s">
        <v>61</v>
      </c>
      <c r="C48" s="454" t="s">
        <v>19</v>
      </c>
      <c r="D48" s="558" t="str">
        <f>_xlfn.IFERROR(IF('延炼取值 '!D48=0,"",'延炼取值 '!D48),"")</f>
        <v/>
      </c>
      <c r="E48" s="202">
        <f>_xlfn.IFERROR('延炼取值 '!E48,"")</f>
        <v>5234.98</v>
      </c>
      <c r="F48" s="463" t="str">
        <f>_xlfn.IFERROR(E48/'延炼取值 '!D48*100,"")</f>
        <v/>
      </c>
      <c r="G48" s="558" t="str">
        <f>_xlfn.IFERROR(IF('延炼取值 '!G48=0,"",'延炼取值 '!G48),"")</f>
        <v/>
      </c>
      <c r="H48" s="202">
        <f>_xlfn.IFERROR('延炼取值 '!H48,"")</f>
        <v>89114.86</v>
      </c>
      <c r="I48" s="501" t="str">
        <f>_xlfn.IFERROR(H48/'延炼取值 '!G48*100,"")</f>
        <v/>
      </c>
      <c r="J48" s="560">
        <v>8826.36</v>
      </c>
      <c r="K48" s="560">
        <v>96150.36</v>
      </c>
      <c r="L48" s="460">
        <f>_xlfn.IFERROR(H48-K48,"")</f>
        <v>-7035.5</v>
      </c>
      <c r="M48" s="434"/>
      <c r="N48" s="434"/>
      <c r="O48" s="521"/>
    </row>
    <row customHeight="1" ht="14.25">
      <c r="A49" s="384"/>
      <c r="B49" s="461" t="s">
        <v>62</v>
      </c>
      <c r="C49" s="454" t="s">
        <v>19</v>
      </c>
      <c r="D49" s="558" t="str">
        <f>_xlfn.IFERROR(IF('延炼取值 '!D49=0,"",'延炼取值 '!D49),"")</f>
        <v/>
      </c>
      <c r="E49" s="202">
        <f>_xlfn.IFERROR('延炼取值 '!E49,"")</f>
        <v>15235.64</v>
      </c>
      <c r="F49" s="463" t="str">
        <f>_xlfn.IFERROR(E49/'延炼取值 '!D49*100,"")</f>
        <v/>
      </c>
      <c r="G49" s="558">
        <v>152660</v>
      </c>
      <c r="H49" s="202">
        <f>_xlfn.IFERROR('延炼取值 '!H49,"")</f>
        <v>172735.84</v>
      </c>
      <c r="I49" s="501">
        <f>_xlfn.IFERROR(H49/'延炼取值 '!G49*100,"")</f>
        <v>113.150687802961</v>
      </c>
      <c r="J49" s="560">
        <v>12652.82</v>
      </c>
      <c r="K49" s="560">
        <v>159864.48</v>
      </c>
      <c r="L49" s="460">
        <f>_xlfn.IFERROR(H49-K49,"")</f>
        <v>12871.36</v>
      </c>
      <c r="M49" s="434"/>
      <c r="N49" s="434"/>
      <c r="O49" s="521"/>
    </row>
    <row customHeight="1" ht="14.25">
      <c r="A50" s="384"/>
      <c r="B50" s="461" t="s">
        <v>63</v>
      </c>
      <c r="C50" s="454" t="s">
        <v>19</v>
      </c>
      <c r="D50" s="558" t="str">
        <f>_xlfn.IFERROR(IF('延炼取值 '!D50=0,"",'延炼取值 '!D50),"")</f>
        <v/>
      </c>
      <c r="E50" s="202">
        <f>_xlfn.IFERROR('延炼取值 '!E50,"")</f>
        <v>0</v>
      </c>
      <c r="F50" s="463" t="str">
        <f>_xlfn.IFERROR(E50/'延炼取值 '!D50*100,"")</f>
        <v/>
      </c>
      <c r="G50" s="558" t="str">
        <f>_xlfn.IFERROR(IF('延炼取值 '!G50=0,"",'延炼取值 '!G50),"")</f>
        <v/>
      </c>
      <c r="H50" s="202">
        <f>_xlfn.IFERROR('延炼取值 '!H50,"")</f>
        <v>0</v>
      </c>
      <c r="I50" s="501" t="str">
        <f>_xlfn.IFERROR(H50/'延炼取值 '!G50*100,"")</f>
        <v/>
      </c>
      <c r="J50" s="560">
        <v>0</v>
      </c>
      <c r="K50" s="560">
        <v>0</v>
      </c>
      <c r="L50" s="460">
        <f>_xlfn.IFERROR(H50-K50,"")</f>
        <v>0</v>
      </c>
      <c r="M50" s="434"/>
      <c r="N50" s="434"/>
      <c r="O50" s="521"/>
    </row>
    <row customHeight="1" ht="14.25">
      <c r="A51" s="384"/>
      <c r="B51" s="461" t="s">
        <v>64</v>
      </c>
      <c r="C51" s="454" t="s">
        <v>19</v>
      </c>
      <c r="D51" s="558" t="str">
        <f>_xlfn.IFERROR(IF('延炼取值 '!D51=0,"",'延炼取值 '!D51),"")</f>
        <v/>
      </c>
      <c r="E51" s="202">
        <f>_xlfn.IFERROR('延炼取值 '!E51,"")</f>
        <v>0</v>
      </c>
      <c r="F51" s="463" t="str">
        <f>_xlfn.IFERROR(E51/'延炼取值 '!D51*100,"")</f>
        <v/>
      </c>
      <c r="G51" s="558">
        <v>100000</v>
      </c>
      <c r="H51" s="202">
        <f>_xlfn.IFERROR('延炼取值 '!H51,"")</f>
        <v>0</v>
      </c>
      <c r="I51" s="501">
        <f>_xlfn.IFERROR(H51/'延炼取值 '!G51*100,"")</f>
        <v>0</v>
      </c>
      <c r="J51" s="560">
        <v>0</v>
      </c>
      <c r="K51" s="560">
        <v>0</v>
      </c>
      <c r="L51" s="460">
        <f>_xlfn.IFERROR(H51-K51,"")</f>
        <v>0</v>
      </c>
      <c r="M51" s="434"/>
      <c r="N51" s="434"/>
      <c r="O51" s="521"/>
    </row>
    <row customHeight="1" ht="14.25">
      <c r="A52" s="384"/>
      <c r="B52" s="461" t="s">
        <v>65</v>
      </c>
      <c r="C52" s="454" t="s">
        <v>19</v>
      </c>
      <c r="D52" s="558">
        <v>2400</v>
      </c>
      <c r="E52" s="202">
        <f>_xlfn.IFERROR('延炼取值 '!E52,"")</f>
        <v>1678</v>
      </c>
      <c r="F52" s="463">
        <f>_xlfn.IFERROR(E52/'延炼取值 '!D52*100,"")</f>
        <v>69.9166666666667</v>
      </c>
      <c r="G52" s="558">
        <v>22092</v>
      </c>
      <c r="H52" s="202">
        <f>_xlfn.IFERROR('延炼取值 '!H52,"")</f>
        <v>21283.62</v>
      </c>
      <c r="I52" s="501">
        <f>_xlfn.IFERROR(H52/'延炼取值 '!G52*100,"")</f>
        <v>96.3408473655622</v>
      </c>
      <c r="J52" s="560">
        <v>2583.04</v>
      </c>
      <c r="K52" s="560">
        <v>20716.9</v>
      </c>
      <c r="L52" s="460">
        <f>_xlfn.IFERROR(H52-K52,"")</f>
        <v>566.719999999998</v>
      </c>
      <c r="M52" s="434"/>
      <c r="N52" s="434"/>
      <c r="O52" s="521"/>
    </row>
    <row customHeight="1" ht="14.25">
      <c r="A53" s="384"/>
      <c r="B53" s="461" t="s">
        <v>66</v>
      </c>
      <c r="C53" s="454" t="s">
        <v>19</v>
      </c>
      <c r="D53" s="558">
        <v>8700</v>
      </c>
      <c r="E53" s="202">
        <f>_xlfn.IFERROR('延炼取值 '!E53,"")</f>
        <v>9078</v>
      </c>
      <c r="F53" s="463">
        <f>_xlfn.IFERROR(E53/'延炼取值 '!D53*100,"")</f>
        <v>104.344827586207</v>
      </c>
      <c r="G53" s="558">
        <v>100000</v>
      </c>
      <c r="H53" s="202">
        <f>_xlfn.IFERROR('延炼取值 '!H53,"")</f>
        <v>94304</v>
      </c>
      <c r="I53" s="501">
        <f>_xlfn.IFERROR(H53/'延炼取值 '!G53*100,"")</f>
        <v>94.304</v>
      </c>
      <c r="J53" s="560">
        <v>8765</v>
      </c>
      <c r="K53" s="560">
        <v>93538</v>
      </c>
      <c r="L53" s="460">
        <f>_xlfn.IFERROR(H53-K53,"")</f>
        <v>766</v>
      </c>
      <c r="M53" s="434"/>
      <c r="N53" s="434"/>
      <c r="O53" s="521"/>
    </row>
    <row customHeight="1" ht="14.25">
      <c r="A54" s="384"/>
      <c r="B54" s="461" t="s">
        <v>67</v>
      </c>
      <c r="C54" s="454" t="s">
        <v>19</v>
      </c>
      <c r="D54" s="558" t="str">
        <f>_xlfn.IFERROR(IF('延炼取值 '!D54=0,"",'延炼取值 '!D54),"")</f>
        <v/>
      </c>
      <c r="E54" s="202">
        <f>_xlfn.IFERROR('延炼取值 '!E54,"")</f>
        <v>4995</v>
      </c>
      <c r="F54" s="463" t="str">
        <f>_xlfn.IFERROR(E54/'延炼取值 '!D54*100,"")</f>
        <v/>
      </c>
      <c r="G54" s="558">
        <v>50000</v>
      </c>
      <c r="H54" s="202">
        <f>_xlfn.IFERROR('延炼取值 '!H54,"")</f>
        <v>54371</v>
      </c>
      <c r="I54" s="501">
        <f>_xlfn.IFERROR(H54/'延炼取值 '!G54*100,"")</f>
        <v>108.742</v>
      </c>
      <c r="J54" s="560">
        <v>4669</v>
      </c>
      <c r="K54" s="560">
        <v>49862</v>
      </c>
      <c r="L54" s="460">
        <f>_xlfn.IFERROR(H54-K54,"")</f>
        <v>4509</v>
      </c>
      <c r="M54" s="434"/>
      <c r="N54" s="434"/>
      <c r="O54" s="521"/>
    </row>
    <row customHeight="1" ht="14.25">
      <c r="A55" s="384"/>
      <c r="B55" s="461" t="s">
        <v>68</v>
      </c>
      <c r="C55" s="454" t="s">
        <v>19</v>
      </c>
      <c r="D55" s="558" t="str">
        <f>_xlfn.IFERROR(IF('延炼取值 '!D55=0,"",'延炼取值 '!D55),"")</f>
        <v/>
      </c>
      <c r="E55" s="202">
        <f>_xlfn.IFERROR('延炼取值 '!E55,"")</f>
        <v>1446.64</v>
      </c>
      <c r="F55" s="463" t="str">
        <f>_xlfn.IFERROR(E55/'延炼取值 '!D55*100,"")</f>
        <v/>
      </c>
      <c r="G55" s="558" t="str">
        <f>_xlfn.IFERROR(IF('延炼取值 '!G55=0,"",'延炼取值 '!G55),"")</f>
        <v/>
      </c>
      <c r="H55" s="202">
        <f>_xlfn.IFERROR('延炼取值 '!H55,"")</f>
        <v>7435.6</v>
      </c>
      <c r="I55" s="501" t="str">
        <f>_xlfn.IFERROR(H55/'延炼取值 '!G55*100,"")</f>
        <v/>
      </c>
      <c r="J55" s="560">
        <v>0</v>
      </c>
      <c r="K55" s="560">
        <v>2472.16</v>
      </c>
      <c r="L55" s="460">
        <f>_xlfn.IFERROR(H55-K55,"")</f>
        <v>4963.44</v>
      </c>
      <c r="M55" s="434"/>
      <c r="N55" s="434"/>
      <c r="O55" s="521"/>
    </row>
    <row customHeight="1" ht="14.25">
      <c r="A56" s="384"/>
      <c r="B56" s="461" t="s">
        <v>69</v>
      </c>
      <c r="C56" s="454" t="s">
        <v>19</v>
      </c>
      <c r="D56" s="558" t="str">
        <f>_xlfn.IFERROR(IF('延炼取值 '!D56=0,"",'延炼取值 '!D56),"")</f>
        <v/>
      </c>
      <c r="E56" s="202"/>
      <c r="F56" s="463" t="str">
        <f>_xlfn.IFERROR(E56/'延炼取值 '!D56*100,"")</f>
        <v/>
      </c>
      <c r="G56" s="558" t="str">
        <f>_xlfn.IFERROR(IF('延炼取值 '!G56=0,"",'延炼取值 '!G56),"")</f>
        <v/>
      </c>
      <c r="H56" s="202"/>
      <c r="I56" s="501" t="str">
        <f>_xlfn.IFERROR(H56/'延炼取值 '!G56*100,"")</f>
        <v/>
      </c>
      <c r="J56" s="560"/>
      <c r="K56" s="560"/>
      <c r="L56" s="460">
        <f>_xlfn.IFERROR(H56-K56,"")</f>
        <v>0</v>
      </c>
      <c r="M56" s="434"/>
      <c r="N56" s="434"/>
      <c r="O56" s="521"/>
    </row>
    <row customHeight="1" ht="14.25">
      <c r="A57" s="384"/>
      <c r="B57" s="461" t="s">
        <v>70</v>
      </c>
      <c r="C57" s="454" t="s">
        <v>19</v>
      </c>
      <c r="D57" s="558">
        <v>5299.5702</v>
      </c>
      <c r="E57" s="202">
        <f>_xlfn.IFERROR('延炼取值 '!E57,"")</f>
        <v>5307</v>
      </c>
      <c r="F57" s="463">
        <f>_xlfn.IFERROR(E57/'延炼取值 '!D57*100,"")</f>
        <v>100.140196274785</v>
      </c>
      <c r="G57" s="558">
        <v>56000</v>
      </c>
      <c r="H57" s="202">
        <f>_xlfn.IFERROR('延炼取值 '!H57,"")</f>
        <v>47549</v>
      </c>
      <c r="I57" s="501">
        <f>_xlfn.IFERROR(H57/'延炼取值 '!G57*100,"")</f>
        <v>84.9089285714286</v>
      </c>
      <c r="J57" s="560">
        <v>5445</v>
      </c>
      <c r="K57" s="560">
        <v>56046</v>
      </c>
      <c r="L57" s="460">
        <f>_xlfn.IFERROR(H57-K57,"")</f>
        <v>-8497</v>
      </c>
      <c r="M57" s="434"/>
      <c r="N57" s="434"/>
      <c r="O57" s="521"/>
    </row>
    <row customHeight="1" ht="14.25">
      <c r="A58" s="384"/>
      <c r="B58" s="461" t="s">
        <v>71</v>
      </c>
      <c r="C58" s="454" t="s">
        <v>19</v>
      </c>
      <c r="D58" s="558" t="str">
        <f>_xlfn.IFERROR(IF('延炼取值 '!D58=0,"",'延炼取值 '!D58),"")</f>
        <v/>
      </c>
      <c r="E58" s="202"/>
      <c r="F58" s="463" t="str">
        <f>_xlfn.IFERROR(E58/'延炼取值 '!D58*100,"")</f>
        <v/>
      </c>
      <c r="G58" s="558" t="str">
        <f>_xlfn.IFERROR(IF('延炼取值 '!G58=0,"",'延炼取值 '!G58),"")</f>
        <v/>
      </c>
      <c r="H58" s="202"/>
      <c r="I58" s="501" t="str">
        <f>_xlfn.IFERROR(H58/'延炼取值 '!G58*100,"")</f>
        <v/>
      </c>
      <c r="J58" s="560"/>
      <c r="K58" s="560"/>
      <c r="L58" s="460">
        <f>_xlfn.IFERROR(H58-K58,"")</f>
        <v>0</v>
      </c>
      <c r="M58" s="434"/>
      <c r="N58" s="434"/>
      <c r="O58" s="521"/>
    </row>
    <row customHeight="1" ht="14.25">
      <c r="A59" s="384"/>
      <c r="B59" s="461" t="s">
        <v>72</v>
      </c>
      <c r="C59" s="454" t="s">
        <v>19</v>
      </c>
      <c r="D59" s="558" t="str">
        <f>_xlfn.IFERROR(IF('延炼取值 '!D59=0,"",'延炼取值 '!D59),"")</f>
        <v/>
      </c>
      <c r="E59" s="202">
        <f>_xlfn.IFERROR('延炼取值 '!E59,"")</f>
        <v>365</v>
      </c>
      <c r="F59" s="463" t="str">
        <f>_xlfn.IFERROR(E59/'延炼取值 '!D59*100,"")</f>
        <v/>
      </c>
      <c r="G59" s="558">
        <v>2500</v>
      </c>
      <c r="H59" s="202">
        <f>_xlfn.IFERROR('延炼取值 '!H59,"")</f>
        <v>4084</v>
      </c>
      <c r="I59" s="501">
        <f>_xlfn.IFERROR(H59/'延炼取值 '!G59*100,"")</f>
        <v>163.36</v>
      </c>
      <c r="J59" s="560">
        <v>265</v>
      </c>
      <c r="K59" s="560">
        <v>3319</v>
      </c>
      <c r="L59" s="460">
        <f>_xlfn.IFERROR(H59-K59,"")</f>
        <v>765</v>
      </c>
      <c r="M59" s="434"/>
      <c r="N59" s="434"/>
      <c r="O59" s="521"/>
    </row>
    <row customHeight="1" ht="14.25">
      <c r="A60" s="384"/>
      <c r="B60" s="478" t="s">
        <v>73</v>
      </c>
      <c r="C60" s="454" t="s">
        <v>19</v>
      </c>
      <c r="D60" s="558" t="str">
        <f>_xlfn.IFERROR(IF('延炼取值 '!D60=0,"",'延炼取值 '!D60),"")</f>
        <v/>
      </c>
      <c r="E60" s="202">
        <f>_xlfn.IFERROR('延炼取值 '!E60,"")</f>
        <v>4425.8</v>
      </c>
      <c r="F60" s="463" t="str">
        <f>_xlfn.IFERROR(E60/'延炼取值 '!D60*100,"")</f>
        <v/>
      </c>
      <c r="G60" s="558" t="str">
        <f>_xlfn.IFERROR(IF('延炼取值 '!G60=0,"",'延炼取值 '!G60),"")</f>
        <v/>
      </c>
      <c r="H60" s="202">
        <f>_xlfn.IFERROR('延炼取值 '!H60,"")</f>
        <v>30850.34</v>
      </c>
      <c r="I60" s="501" t="str">
        <f>_xlfn.IFERROR(H60/'延炼取值 '!G60*100,"")</f>
        <v/>
      </c>
      <c r="J60" s="560">
        <v>3562.42</v>
      </c>
      <c r="K60" s="560">
        <v>45666.9</v>
      </c>
      <c r="L60" s="460">
        <f>_xlfn.IFERROR(H60-K60,"")</f>
        <v>-14816.56</v>
      </c>
      <c r="M60" s="434"/>
      <c r="N60" s="434"/>
      <c r="O60" s="521"/>
    </row>
    <row customHeight="1" ht="14.25">
      <c r="A61" s="384"/>
      <c r="B61" s="478" t="s">
        <v>74</v>
      </c>
      <c r="C61" s="479" t="s">
        <v>19</v>
      </c>
      <c r="D61" s="558" t="str">
        <f>_xlfn.IFERROR(IF('延炼取值 '!D61=0,"",'延炼取值 '!D61),"")</f>
        <v/>
      </c>
      <c r="E61" s="202">
        <f>_xlfn.IFERROR('延炼取值 '!E61,"")</f>
        <v>0</v>
      </c>
      <c r="F61" s="463" t="str">
        <f>_xlfn.IFERROR(E61/'延炼取值 '!D61*100,"")</f>
        <v/>
      </c>
      <c r="G61" s="558" t="str">
        <f>_xlfn.IFERROR(IF('延炼取值 '!G61=0,"",'延炼取值 '!G61),"")</f>
        <v/>
      </c>
      <c r="H61" s="202">
        <f>_xlfn.IFERROR('延炼取值 '!H61,"")</f>
        <v>177.14</v>
      </c>
      <c r="I61" s="501" t="str">
        <f>_xlfn.IFERROR(H61/'延炼取值 '!G61*100,"")</f>
        <v/>
      </c>
      <c r="J61" s="560">
        <v>0</v>
      </c>
      <c r="K61" s="560">
        <v>320.64</v>
      </c>
      <c r="L61" s="460">
        <f>_xlfn.IFERROR(H61-K61,"")</f>
        <v>-143.5</v>
      </c>
      <c r="M61" s="434"/>
      <c r="N61" s="434"/>
      <c r="O61" s="521"/>
    </row>
    <row customHeight="1" ht="14.25">
      <c r="A62" s="384"/>
      <c r="B62" s="461" t="s">
        <v>75</v>
      </c>
      <c r="C62" s="454" t="s">
        <v>19</v>
      </c>
      <c r="D62" s="558" t="str">
        <f>_xlfn.IFERROR(IF('延炼取值 '!D62=0,"",'延炼取值 '!D62),"")</f>
        <v/>
      </c>
      <c r="E62" s="202"/>
      <c r="F62" s="463" t="str">
        <f>_xlfn.IFERROR(E62/'延炼取值 '!D62*100,"")</f>
        <v/>
      </c>
      <c r="G62" s="558" t="str">
        <f>_xlfn.IFERROR(IF('延炼取值 '!G62=0,"",'延炼取值 '!G62),"")</f>
        <v/>
      </c>
      <c r="H62" s="202"/>
      <c r="I62" s="501" t="str">
        <f>_xlfn.IFERROR(H62/'延炼取值 '!G62*100,"")</f>
        <v/>
      </c>
      <c r="J62" s="560"/>
      <c r="K62" s="560"/>
      <c r="L62" s="460">
        <f>_xlfn.IFERROR(H62-K62,"")</f>
        <v>0</v>
      </c>
      <c r="M62" s="434"/>
      <c r="N62" s="434"/>
      <c r="O62" s="521"/>
    </row>
    <row customHeight="1" ht="14.25">
      <c r="A63" s="384"/>
      <c r="B63" s="461" t="s">
        <v>76</v>
      </c>
      <c r="C63" s="454" t="s">
        <v>19</v>
      </c>
      <c r="D63" s="558" t="str">
        <f>_xlfn.IFERROR(IF('延炼取值 '!D63=0,"",'延炼取值 '!D63),"")</f>
        <v/>
      </c>
      <c r="E63" s="202"/>
      <c r="F63" s="463" t="str">
        <f>_xlfn.IFERROR(E63/'延炼取值 '!D63*100,"")</f>
        <v/>
      </c>
      <c r="G63" s="558" t="str">
        <f>_xlfn.IFERROR(IF('延炼取值 '!G63=0,"",'延炼取值 '!G63),"")</f>
        <v/>
      </c>
      <c r="H63" s="202"/>
      <c r="I63" s="501" t="str">
        <f>_xlfn.IFERROR(H63/'延炼取值 '!G63*100,"")</f>
        <v/>
      </c>
      <c r="J63" s="560"/>
      <c r="K63" s="560"/>
      <c r="L63" s="460">
        <f>_xlfn.IFERROR(H63-K63,"")</f>
        <v>0</v>
      </c>
      <c r="M63" s="434"/>
      <c r="N63" s="434"/>
      <c r="O63" s="521"/>
    </row>
    <row customHeight="1" ht="14.25">
      <c r="A64" s="384"/>
      <c r="B64" s="461" t="s">
        <v>77</v>
      </c>
      <c r="C64" s="454" t="s">
        <v>19</v>
      </c>
      <c r="D64" s="558">
        <v>3300</v>
      </c>
      <c r="E64" s="202">
        <f>_xlfn.IFERROR('延炼取值 '!E64,"")</f>
        <v>3313</v>
      </c>
      <c r="F64" s="463">
        <f>_xlfn.IFERROR(E64/'延炼取值 '!D64*100,"")</f>
        <v>100.393939393939</v>
      </c>
      <c r="G64" s="558">
        <v>37000</v>
      </c>
      <c r="H64" s="202">
        <f>_xlfn.IFERROR('延炼取值 '!H64,"")</f>
        <v>36964</v>
      </c>
      <c r="I64" s="501">
        <f>_xlfn.IFERROR(H64/'延炼取值 '!G64*100,"")</f>
        <v>99.9027027027027</v>
      </c>
      <c r="J64" s="560">
        <v>3727</v>
      </c>
      <c r="K64" s="560">
        <v>37450</v>
      </c>
      <c r="L64" s="460">
        <f>_xlfn.IFERROR(H64-K64,"")</f>
        <v>-486</v>
      </c>
      <c r="M64" s="434"/>
      <c r="N64" s="434"/>
      <c r="O64" s="521"/>
    </row>
    <row customHeight="1" ht="14.25">
      <c r="A65" s="384"/>
      <c r="B65" s="461" t="s">
        <v>78</v>
      </c>
      <c r="C65" s="454" t="s">
        <v>19</v>
      </c>
      <c r="D65" s="558" t="str">
        <f>_xlfn.IFERROR(IF('延炼取值 '!D65=0,"",'延炼取值 '!D65),"")</f>
        <v/>
      </c>
      <c r="E65" s="202"/>
      <c r="F65" s="463" t="str">
        <f>_xlfn.IFERROR(E65/'延炼取值 '!D65*100,"")</f>
        <v/>
      </c>
      <c r="G65" s="558" t="str">
        <f>_xlfn.IFERROR(IF('延炼取值 '!G65=0,"",'延炼取值 '!G65),"")</f>
        <v/>
      </c>
      <c r="H65" s="202"/>
      <c r="I65" s="501" t="str">
        <f>_xlfn.IFERROR(H65/'延炼取值 '!G65*100,"")</f>
        <v/>
      </c>
      <c r="J65" s="560"/>
      <c r="K65" s="560"/>
      <c r="L65" s="460">
        <f>_xlfn.IFERROR(H65-K65,"")</f>
        <v>0</v>
      </c>
      <c r="M65" s="434"/>
      <c r="N65" s="434"/>
      <c r="O65" s="521"/>
    </row>
    <row customHeight="1" ht="14.25">
      <c r="A66" s="384"/>
      <c r="B66" s="461" t="s">
        <v>79</v>
      </c>
      <c r="C66" s="454" t="s">
        <v>19</v>
      </c>
      <c r="D66" s="558" t="str">
        <f>_xlfn.IFERROR(IF('延炼取值 '!D66=0,"",'延炼取值 '!D66),"")</f>
        <v/>
      </c>
      <c r="E66" s="202"/>
      <c r="F66" s="463" t="str">
        <f>_xlfn.IFERROR(E66/'延炼取值 '!D66*100,"")</f>
        <v/>
      </c>
      <c r="G66" s="558" t="str">
        <f>_xlfn.IFERROR(IF('延炼取值 '!G66=0,"",'延炼取值 '!G66),"")</f>
        <v/>
      </c>
      <c r="H66" s="202"/>
      <c r="I66" s="501" t="str">
        <f>_xlfn.IFERROR(H66/'延炼取值 '!G66*100,"")</f>
        <v/>
      </c>
      <c r="J66" s="560"/>
      <c r="K66" s="560"/>
      <c r="L66" s="460">
        <f>_xlfn.IFERROR(H66-K66,"")</f>
        <v>0</v>
      </c>
      <c r="M66" s="434"/>
      <c r="N66" s="434"/>
      <c r="O66" s="521"/>
    </row>
    <row customHeight="1" ht="14.25">
      <c r="A67" s="384"/>
      <c r="B67" s="461" t="s">
        <v>80</v>
      </c>
      <c r="C67" s="454" t="s">
        <v>19</v>
      </c>
      <c r="D67" s="558" t="str">
        <f>_xlfn.IFERROR(IF('延炼取值 '!D67=0,"",'延炼取值 '!D67),"")</f>
        <v/>
      </c>
      <c r="E67" s="562"/>
      <c r="F67" s="463" t="str">
        <f>_xlfn.IFERROR(E67/'延炼取值 '!D67*100,"")</f>
        <v/>
      </c>
      <c r="G67" s="558" t="str">
        <f>_xlfn.IFERROR(IF('延炼取值 '!G67=0,"",'延炼取值 '!G67),"")</f>
        <v/>
      </c>
      <c r="H67" s="562">
        <v>0</v>
      </c>
      <c r="I67" s="501" t="str">
        <f>_xlfn.IFERROR(H67/'延炼取值 '!G67*100,"")</f>
        <v/>
      </c>
      <c r="J67" s="560"/>
      <c r="K67" s="562"/>
      <c r="L67" s="460">
        <f>_xlfn.IFERROR(H67-K67,"")</f>
        <v>0</v>
      </c>
      <c r="M67" s="434"/>
      <c r="N67" s="434"/>
      <c r="O67" s="521"/>
    </row>
    <row customHeight="1" ht="14.25">
      <c r="A68" s="384"/>
      <c r="B68" s="453" t="s">
        <v>81</v>
      </c>
      <c r="C68" s="454"/>
      <c r="D68" s="201"/>
      <c r="E68" s="202"/>
      <c r="F68" s="463"/>
      <c r="G68" s="201"/>
      <c r="H68" s="202"/>
      <c r="I68" s="501"/>
      <c r="J68" s="67"/>
      <c r="K68" s="67"/>
      <c r="L68" s="460"/>
      <c r="M68" s="434"/>
      <c r="N68" s="434"/>
      <c r="O68" s="521"/>
    </row>
    <row customHeight="1" ht="14.25">
      <c r="A69" s="384"/>
      <c r="B69" s="461" t="s">
        <v>82</v>
      </c>
      <c r="C69" s="454" t="s">
        <v>19</v>
      </c>
      <c r="D69" s="558">
        <v>453000</v>
      </c>
      <c r="E69" s="202">
        <f>_xlfn.IFERROR('延炼取值 '!E69,"")</f>
        <v>444659</v>
      </c>
      <c r="F69" s="463">
        <f>_xlfn.IFERROR(E69/'延炼取值 '!D69*100,"")</f>
        <v>98.1587196467991</v>
      </c>
      <c r="G69" s="558">
        <v>5384176</v>
      </c>
      <c r="H69" s="200">
        <f>_xlfn.IFERROR('延炼取值 '!H69,"")</f>
        <v>5365667</v>
      </c>
      <c r="I69" s="501">
        <f>_xlfn.IFERROR(H69/'延炼取值 '!G69*100,"")</f>
        <v>99.656233377215</v>
      </c>
      <c r="J69" s="560">
        <v>416164</v>
      </c>
      <c r="K69" s="560">
        <v>5252084</v>
      </c>
      <c r="L69" s="460">
        <f>_xlfn.IFERROR(H69-K69,"")</f>
        <v>113583</v>
      </c>
      <c r="M69" s="434"/>
      <c r="N69" s="434"/>
      <c r="O69" s="521"/>
    </row>
    <row customHeight="1" ht="14.25">
      <c r="A70" s="384"/>
      <c r="B70" s="461" t="s">
        <v>83</v>
      </c>
      <c r="C70" s="454" t="s">
        <v>19</v>
      </c>
      <c r="D70" s="569">
        <v>465000</v>
      </c>
      <c r="E70" s="202">
        <f>_xlfn.IFERROR('延炼取值 '!E70,"")</f>
        <v>495148.38</v>
      </c>
      <c r="F70" s="463">
        <f>_xlfn.IFERROR(E70/'延炼取值 '!D70*100,"")</f>
        <v>106.483522580645</v>
      </c>
      <c r="G70" s="569">
        <v>465000</v>
      </c>
      <c r="H70" s="200">
        <f>_xlfn.IFERROR('延炼取值 '!H70,"")</f>
        <v>5912403.293</v>
      </c>
      <c r="I70" s="501">
        <f>_xlfn.IFERROR(H70/'延炼取值 '!G70*100,"")</f>
        <v>1271.48457913978</v>
      </c>
      <c r="J70" s="560">
        <v>465120.78</v>
      </c>
      <c r="K70" s="560">
        <v>5805675.36</v>
      </c>
      <c r="L70" s="460">
        <f>_xlfn.IFERROR(H70-K70,"")</f>
        <v>106727.932999999</v>
      </c>
      <c r="M70" s="434"/>
      <c r="N70" s="434"/>
      <c r="O70" s="521"/>
    </row>
    <row customHeight="1" ht="14.25">
      <c r="A71" s="384"/>
      <c r="B71" s="461" t="s">
        <v>84</v>
      </c>
      <c r="C71" s="454" t="s">
        <v>85</v>
      </c>
      <c r="D71" s="570">
        <v>96</v>
      </c>
      <c r="E71" s="225">
        <f>_xlfn.IFERROR('延炼取值 '!E71,"")</f>
        <v>96.7136007406494</v>
      </c>
      <c r="F71" s="463">
        <f>_xlfn.IFERROR(E71-'延炼取值 '!D71,"")</f>
        <v>0.713600740649397</v>
      </c>
      <c r="G71" s="570">
        <v>93.75</v>
      </c>
      <c r="H71" s="226">
        <f>_xlfn.IFERROR('延炼取值 '!H71,"")</f>
        <v>96.7359912426547</v>
      </c>
      <c r="I71" s="501">
        <f>_xlfn.IFERROR(H71-'延炼取值 '!G71,"")</f>
        <v>2.98599124265471</v>
      </c>
      <c r="J71" s="573">
        <v>96.5975267113787</v>
      </c>
      <c r="K71" s="573" t="str">
        <f>_xlfn.IFERROR('延炼取值 '!K71,"")</f>
        <v/>
      </c>
      <c r="L71" s="486" t="str">
        <f>_xlfn.IFERROR(H71-K71,"")</f>
        <v/>
      </c>
      <c r="M71" s="434"/>
      <c r="N71" s="434"/>
      <c r="O71" s="521"/>
    </row>
    <row customHeight="1" ht="14.25">
      <c r="A72" s="384"/>
      <c r="B72" s="461" t="s">
        <v>86</v>
      </c>
      <c r="C72" s="454" t="s">
        <v>85</v>
      </c>
      <c r="D72" s="570">
        <v>3</v>
      </c>
      <c r="E72" s="225">
        <f>_xlfn.IFERROR('延炼取值 '!E72,"")</f>
        <v>2.52051239031253</v>
      </c>
      <c r="F72" s="463">
        <f>_xlfn.IFERROR(E72-'延炼取值 '!D72,"")</f>
        <v>-0.47948760968747</v>
      </c>
      <c r="G72" s="570">
        <v>5.05</v>
      </c>
      <c r="H72" s="226">
        <f>_xlfn.IFERROR('延炼取值 '!H72,"")</f>
        <v>2.50627490369878</v>
      </c>
      <c r="I72" s="501">
        <f>_xlfn.IFERROR(H72-'延炼取值 '!G72,"")</f>
        <v>-2.54372509630122</v>
      </c>
      <c r="J72" s="573">
        <v>2.57913361527003</v>
      </c>
      <c r="K72" s="573">
        <v>2.53842075596131</v>
      </c>
      <c r="L72" s="486">
        <f>_xlfn.IFERROR(H72-K72,"")</f>
        <v>-0.0321458522625298</v>
      </c>
      <c r="M72" s="434"/>
      <c r="N72" s="434"/>
      <c r="O72" s="521"/>
    </row>
    <row customHeight="1" ht="14.25">
      <c r="A73" s="384"/>
      <c r="B73" s="461" t="s">
        <v>87</v>
      </c>
      <c r="C73" s="454" t="s">
        <v>85</v>
      </c>
      <c r="D73" s="570">
        <v>1</v>
      </c>
      <c r="E73" s="225">
        <f>_xlfn.IFERROR('延炼取值 '!E73,"")</f>
        <v>0.765953575998431</v>
      </c>
      <c r="F73" s="463">
        <f>_xlfn.IFERROR(E73-'延炼取值 '!D73,"")</f>
        <v>-0.234046424001569</v>
      </c>
      <c r="G73" s="570">
        <v>1.2</v>
      </c>
      <c r="H73" s="226">
        <f>_xlfn.IFERROR('延炼取值 '!H73,"")</f>
        <v>0.757732248625708</v>
      </c>
      <c r="I73" s="501">
        <f>_xlfn.IFERROR(H73-'延炼取值 '!G73,"")</f>
        <v>-0.442267751374292</v>
      </c>
      <c r="J73" s="573">
        <v>0.823325058611232</v>
      </c>
      <c r="K73" s="573">
        <v>0.845907862956077</v>
      </c>
      <c r="L73" s="486">
        <f>_xlfn.IFERROR(H73-K73,"")</f>
        <v>-0.088175614330369</v>
      </c>
      <c r="M73" s="434"/>
      <c r="N73" s="434"/>
      <c r="O73" s="521"/>
    </row>
    <row customHeight="1" ht="14.25">
      <c r="A74" s="384"/>
      <c r="B74" s="461" t="s">
        <v>88</v>
      </c>
      <c r="C74" s="488" t="s">
        <v>89</v>
      </c>
      <c r="D74" s="570">
        <v>48</v>
      </c>
      <c r="E74" s="225">
        <f>_xlfn.IFERROR('延炼取值 '!E74,"")</f>
        <v>46.8000053371049</v>
      </c>
      <c r="F74" s="463">
        <f>_xlfn.IFERROR(E74-'延炼取值 '!D74,"")</f>
        <v>-1.1999946628951</v>
      </c>
      <c r="G74" s="570">
        <v>67.3</v>
      </c>
      <c r="H74" s="226">
        <f>_xlfn.IFERROR('延炼取值 '!H74,"")</f>
        <v>46.0022633602348</v>
      </c>
      <c r="I74" s="501">
        <f>_xlfn.IFERROR(H74-'延炼取值 '!G74,"")</f>
        <v>-21.2977366397652</v>
      </c>
      <c r="J74" s="573">
        <v>49.7199941696711</v>
      </c>
      <c r="K74" s="573">
        <v>46.1227529130832</v>
      </c>
      <c r="L74" s="486">
        <f>_xlfn.IFERROR(H74-K74,"")</f>
        <v>-0.120489552848397</v>
      </c>
      <c r="M74" s="434"/>
      <c r="N74" s="434"/>
      <c r="O74" s="521"/>
    </row>
    <row customHeight="1" ht="14.25">
      <c r="A75" s="384"/>
      <c r="B75" s="461" t="s">
        <v>90</v>
      </c>
      <c r="C75" s="488" t="s">
        <v>91</v>
      </c>
      <c r="D75" s="570">
        <v>1.05</v>
      </c>
      <c r="E75" s="225">
        <f>_xlfn.IFERROR('延炼取值 '!E75,"")</f>
        <v>1.0380039656312</v>
      </c>
      <c r="F75" s="463">
        <f>_xlfn.IFERROR(E75-'延炼取值 '!D75,"")</f>
        <v>-0.0119960343688001</v>
      </c>
      <c r="G75" s="570">
        <v>1.05</v>
      </c>
      <c r="H75" s="226">
        <f>_xlfn.IFERROR('延炼取值 '!H75,"")</f>
        <v>1.04224502598614</v>
      </c>
      <c r="I75" s="501">
        <f>_xlfn.IFERROR(H75-'延炼取值 '!G75,"")</f>
        <v>-0.00775497401386005</v>
      </c>
      <c r="J75" s="573">
        <v>1.04666286366229</v>
      </c>
      <c r="K75" s="573">
        <v>1.04084726008256</v>
      </c>
      <c r="L75" s="486">
        <f>_xlfn.IFERROR(H75-K75,"")</f>
        <v>0.00139776590357998</v>
      </c>
      <c r="M75" s="434"/>
      <c r="N75" s="434"/>
      <c r="O75" s="521"/>
    </row>
    <row customHeight="1" ht="14.25">
      <c r="A76" s="384"/>
      <c r="B76" s="461" t="s">
        <v>92</v>
      </c>
      <c r="C76" s="454" t="s">
        <v>85</v>
      </c>
      <c r="D76" s="570">
        <v>100</v>
      </c>
      <c r="E76" s="225">
        <f>_xlfn.IFERROR('延炼取值 '!E76,"")</f>
        <v>100</v>
      </c>
      <c r="F76" s="463">
        <f>_xlfn.IFERROR(E76-'延炼取值 '!D76,"")</f>
        <v>0</v>
      </c>
      <c r="G76" s="570">
        <v>100</v>
      </c>
      <c r="H76" s="225">
        <f>_xlfn.IFERROR('延炼取值 '!H76,"")</f>
        <v>100</v>
      </c>
      <c r="I76" s="501">
        <f>_xlfn.IFERROR(H76-'延炼取值 '!G76,"")</f>
        <v>0</v>
      </c>
      <c r="J76" s="573">
        <v>100</v>
      </c>
      <c r="K76" s="573">
        <v>100</v>
      </c>
      <c r="L76" s="486">
        <f>_xlfn.IFERROR(H76-K76,"")</f>
        <v>0</v>
      </c>
      <c r="M76" s="434"/>
      <c r="N76" s="434"/>
      <c r="O76" s="521"/>
    </row>
    <row customHeight="1" ht="14.25">
      <c r="A77" s="384"/>
      <c r="B77" s="453" t="s">
        <v>93</v>
      </c>
      <c r="C77" s="491"/>
      <c r="D77" s="224"/>
      <c r="E77" s="225"/>
      <c r="F77" s="463"/>
      <c r="G77" s="224"/>
      <c r="H77" s="226"/>
      <c r="I77" s="501"/>
      <c r="J77" s="104"/>
      <c r="K77" s="104"/>
      <c r="L77" s="486"/>
      <c r="M77" s="434"/>
      <c r="N77" s="434"/>
      <c r="O77" s="521"/>
    </row>
    <row customHeight="1" ht="14.25">
      <c r="A78" s="384"/>
      <c r="B78" s="461" t="s">
        <v>94</v>
      </c>
      <c r="C78" s="454" t="s">
        <v>85</v>
      </c>
      <c r="D78" s="570">
        <v>48.06</v>
      </c>
      <c r="E78" s="225">
        <f>_xlfn.IFERROR('延炼取值 '!E78,"")</f>
        <v>48.7178558562336</v>
      </c>
      <c r="F78" s="463">
        <f>_xlfn.IFERROR(E78-'延炼取值 '!D78,"")</f>
        <v>0.657855856233596</v>
      </c>
      <c r="G78" s="570">
        <v>48.06</v>
      </c>
      <c r="H78" s="226">
        <f>_xlfn.IFERROR('延炼取值 '!H78,"")</f>
        <v>48.5686016088044</v>
      </c>
      <c r="I78" s="501">
        <f>_xlfn.IFERROR(H78-'延炼取值 '!G78,"")</f>
        <v>0.508601608804398</v>
      </c>
      <c r="J78" s="573">
        <v>48.6050080810073</v>
      </c>
      <c r="K78" s="573">
        <v>48.4418809385633</v>
      </c>
      <c r="L78" s="486">
        <f>_xlfn.IFERROR(H78-K78,"")</f>
        <v>0.126720670241099</v>
      </c>
      <c r="M78" s="434"/>
      <c r="N78" s="434"/>
      <c r="O78" s="521"/>
    </row>
    <row customHeight="1" ht="14.25">
      <c r="A79" s="384"/>
      <c r="B79" s="461" t="s">
        <v>95</v>
      </c>
      <c r="C79" s="454" t="s">
        <v>85</v>
      </c>
      <c r="D79" s="570">
        <v>87.64</v>
      </c>
      <c r="E79" s="225">
        <f>_xlfn.IFERROR('延炼取值 '!E79,"")</f>
        <v>88.2285688996415</v>
      </c>
      <c r="F79" s="463">
        <f>_xlfn.IFERROR(E79-'延炼取值 '!D79,"")</f>
        <v>0.588568899641501</v>
      </c>
      <c r="G79" s="570">
        <v>87.64</v>
      </c>
      <c r="H79" s="226">
        <f>_xlfn.IFERROR('延炼取值 '!H79,"")</f>
        <v>88.0585614851349</v>
      </c>
      <c r="I79" s="501">
        <f>_xlfn.IFERROR(H79-'延炼取值 '!G79,"")</f>
        <v>0.418561485134902</v>
      </c>
      <c r="J79" s="573">
        <v>88.2640783236475</v>
      </c>
      <c r="K79" s="573">
        <v>88.0247391560236</v>
      </c>
      <c r="L79" s="486">
        <f>_xlfn.IFERROR(H79-K79,"")</f>
        <v>0.0338223291113025</v>
      </c>
      <c r="M79" s="434"/>
      <c r="N79" s="434"/>
      <c r="O79" s="521"/>
    </row>
    <row customHeight="1" ht="14.25">
      <c r="A80" s="384"/>
      <c r="B80" s="461" t="s">
        <v>96</v>
      </c>
      <c r="C80" s="454" t="s">
        <v>85</v>
      </c>
      <c r="D80" s="570">
        <v>70.64</v>
      </c>
      <c r="E80" s="225">
        <f>_xlfn.IFERROR('延炼取值 '!E80,"")</f>
        <v>71.5712452240105</v>
      </c>
      <c r="F80" s="463">
        <f>_xlfn.IFERROR(E80-'延炼取值 '!D80,"")</f>
        <v>0.931245224010496</v>
      </c>
      <c r="G80" s="570">
        <v>69.34</v>
      </c>
      <c r="H80" s="226">
        <f>_xlfn.IFERROR('延炼取值 '!H80,"")</f>
        <v>71.6732484964253</v>
      </c>
      <c r="I80" s="501">
        <f>_xlfn.IFERROR(H80-'延炼取值 '!G80,"")</f>
        <v>2.3332484964253</v>
      </c>
      <c r="J80" s="573">
        <v>70.7560343871113</v>
      </c>
      <c r="K80" s="573">
        <v>70.2585318423572</v>
      </c>
      <c r="L80" s="486">
        <f>_xlfn.IFERROR(H80-K80,"")</f>
        <v>1.4147166540681</v>
      </c>
      <c r="M80" s="434"/>
      <c r="N80" s="434"/>
      <c r="O80" s="521"/>
    </row>
    <row customHeight="1" ht="14.25">
      <c r="A81" s="384"/>
      <c r="B81" s="461" t="s">
        <v>97</v>
      </c>
      <c r="C81" s="454" t="s">
        <v>85</v>
      </c>
      <c r="D81" s="570">
        <v>17</v>
      </c>
      <c r="E81" s="225">
        <f>_xlfn.IFERROR('延炼取值 '!E81,"")</f>
        <v>16.657323675631</v>
      </c>
      <c r="F81" s="463">
        <f>_xlfn.IFERROR(E81-'延炼取值 '!D81,"")</f>
        <v>-0.342676324368998</v>
      </c>
      <c r="G81" s="570">
        <v>17.3</v>
      </c>
      <c r="H81" s="226">
        <f>_xlfn.IFERROR('延炼取值 '!H81,"")</f>
        <v>16.3853129887096</v>
      </c>
      <c r="I81" s="501">
        <f>_xlfn.IFERROR(H81-'延炼取值 '!G81,"")</f>
        <v>-0.9146870112904</v>
      </c>
      <c r="J81" s="573">
        <v>17.5080439365361</v>
      </c>
      <c r="K81" s="573">
        <v>17.7662073136664</v>
      </c>
      <c r="L81" s="486">
        <f>_xlfn.IFERROR(H81-K81,"")</f>
        <v>-1.3808943249568</v>
      </c>
      <c r="M81" s="434"/>
      <c r="N81" s="434"/>
      <c r="O81" s="521"/>
    </row>
    <row customHeight="1" ht="14.25">
      <c r="A82" s="384"/>
      <c r="B82" s="461" t="s">
        <v>98</v>
      </c>
      <c r="C82" s="454" t="s">
        <v>85</v>
      </c>
      <c r="D82" s="570" t="str">
        <f>_xlfn.IFERROR(IF('延炼取值 '!D82=0,"",'延炼取值 '!D82),"")</f>
        <v/>
      </c>
      <c r="E82" s="225">
        <f>_xlfn.IFERROR('延炼取值 '!E82,"")</f>
        <v>0</v>
      </c>
      <c r="F82" s="463">
        <f>_xlfn.IFERROR(E82-'延炼取值 '!D82,"")</f>
        <v>0</v>
      </c>
      <c r="G82" s="570" t="str">
        <f>_xlfn.IFERROR(IF('延炼取值 '!G82=0,"",'延炼取值 '!G82),"")</f>
        <v/>
      </c>
      <c r="H82" s="226">
        <f>_xlfn.IFERROR('延炼取值 '!H82,"")</f>
        <v>0</v>
      </c>
      <c r="I82" s="501">
        <f>_xlfn.IFERROR(H82-'延炼取值 '!G82,"")</f>
        <v>0</v>
      </c>
      <c r="J82" s="573">
        <v>0</v>
      </c>
      <c r="K82" s="573">
        <v>0</v>
      </c>
      <c r="L82" s="486">
        <f>_xlfn.IFERROR(H82-K82,"")</f>
        <v>0</v>
      </c>
      <c r="M82" s="434"/>
      <c r="N82" s="434"/>
      <c r="O82" s="521"/>
    </row>
    <row customHeight="1" ht="14.25">
      <c r="A83" s="384"/>
      <c r="B83" s="461" t="s">
        <v>99</v>
      </c>
      <c r="C83" s="454" t="s">
        <v>85</v>
      </c>
      <c r="D83" s="570">
        <v>26</v>
      </c>
      <c r="E83" s="225">
        <f>_xlfn.IFERROR('延炼取值 '!E83,"")</f>
        <v>27.0675098032289</v>
      </c>
      <c r="F83" s="463">
        <f>_xlfn.IFERROR(E83-'延炼取值 '!D83,"")</f>
        <v>1.0675098032289</v>
      </c>
      <c r="G83" s="570">
        <v>26</v>
      </c>
      <c r="H83" s="226">
        <f>_xlfn.IFERROR('延炼取值 '!H83,"")</f>
        <v>27.7867560240368</v>
      </c>
      <c r="I83" s="501">
        <f>_xlfn.IFERROR(H83-'延炼取值 '!G83,"")</f>
        <v>1.7867560240368</v>
      </c>
      <c r="J83" s="573">
        <v>28.6037115661166</v>
      </c>
      <c r="K83" s="573">
        <v>26.7386310699886</v>
      </c>
      <c r="L83" s="486">
        <f>_xlfn.IFERROR(H83-K83,"")</f>
        <v>1.0481249540482</v>
      </c>
      <c r="M83" s="434"/>
      <c r="N83" s="434"/>
      <c r="O83" s="521"/>
    </row>
    <row customHeight="1" ht="14.25">
      <c r="A84" s="384"/>
      <c r="B84" s="465" t="s">
        <v>100</v>
      </c>
      <c r="C84" s="454" t="s">
        <v>85</v>
      </c>
      <c r="D84" s="570" t="str">
        <f>_xlfn.IFERROR(IF('延炼取值 '!D84=0,"",'延炼取值 '!D84),"")</f>
        <v/>
      </c>
      <c r="E84" s="225">
        <f>_xlfn.IFERROR('延炼取值 '!E84,"")</f>
        <v>19.4060449859419</v>
      </c>
      <c r="F84" s="463">
        <f>_xlfn.IFERROR(E84-'延炼取值 '!D84,"")</f>
        <v>19.4060449859419</v>
      </c>
      <c r="G84" s="570">
        <v>19</v>
      </c>
      <c r="H84" s="226">
        <f>_xlfn.IFERROR('延炼取值 '!H84,"")</f>
        <v>19.2783903034349</v>
      </c>
      <c r="I84" s="501">
        <f>_xlfn.IFERROR(H84-'延炼取值 '!G84,"")</f>
        <v>0.2783903034349</v>
      </c>
      <c r="J84" s="573">
        <v>19.9828427430165</v>
      </c>
      <c r="K84" s="573">
        <v>19.7197634681509</v>
      </c>
      <c r="L84" s="486">
        <f>_xlfn.IFERROR(H84-K84,"")</f>
        <v>-0.441373164716001</v>
      </c>
      <c r="M84" s="434"/>
      <c r="N84" s="434"/>
      <c r="O84" s="521"/>
    </row>
    <row customHeight="1" ht="14.25">
      <c r="A85" s="384"/>
      <c r="B85" s="465" t="s">
        <v>101</v>
      </c>
      <c r="C85" s="454" t="s">
        <v>85</v>
      </c>
      <c r="D85" s="570">
        <v>40</v>
      </c>
      <c r="E85" s="225">
        <f>_xlfn.IFERROR('延炼取值 '!E85,"")</f>
        <v>39.6903746914965</v>
      </c>
      <c r="F85" s="463">
        <f>_xlfn.IFERROR(E85-'延炼取值 '!D85,"")</f>
        <v>-0.309625308503499</v>
      </c>
      <c r="G85" s="570">
        <v>40</v>
      </c>
      <c r="H85" s="226">
        <f>_xlfn.IFERROR('延炼取值 '!H85,"")</f>
        <v>37.0466462535742</v>
      </c>
      <c r="I85" s="501">
        <f>_xlfn.IFERROR(H85-'延炼取值 '!G85,"")</f>
        <v>-2.9533537464258</v>
      </c>
      <c r="J85" s="573">
        <v>41.8942832961453</v>
      </c>
      <c r="K85" s="573">
        <v>44.6343386399293</v>
      </c>
      <c r="L85" s="486">
        <f>_xlfn.IFERROR(H85-K85,"")</f>
        <v>-7.58769238635509</v>
      </c>
      <c r="M85" s="434"/>
      <c r="N85" s="434"/>
      <c r="O85" s="521"/>
    </row>
    <row customHeight="1" ht="14.25">
      <c r="A86" s="384"/>
      <c r="B86" s="465" t="s">
        <v>102</v>
      </c>
      <c r="C86" s="454" t="s">
        <v>85</v>
      </c>
      <c r="D86" s="570" t="str">
        <f>_xlfn.IFERROR(IF('延炼取值 '!D86=0,"",'延炼取值 '!D86),"")</f>
        <v/>
      </c>
      <c r="E86" s="225">
        <f>_xlfn.IFERROR('延炼取值 '!E86,"")</f>
        <v>96.3387456224132</v>
      </c>
      <c r="F86" s="463"/>
      <c r="G86" s="570" t="str">
        <f>_xlfn.IFERROR(IF('延炼取值 '!G86=0,"",'延炼取值 '!G86),"")</f>
        <v/>
      </c>
      <c r="H86" s="226">
        <f>_xlfn.IFERROR('延炼取值 '!H86,"")</f>
        <v>95.9467279830702</v>
      </c>
      <c r="I86" s="501"/>
      <c r="J86" s="573">
        <v>95.5417484194463</v>
      </c>
      <c r="K86" s="573">
        <v>96.0755759611335</v>
      </c>
      <c r="L86" s="486">
        <f>_xlfn.IFERROR(H86-K86,"")</f>
        <v>-0.128847978063291</v>
      </c>
      <c r="M86" s="434"/>
      <c r="N86" s="434"/>
      <c r="O86" s="521"/>
    </row>
    <row customHeight="1" ht="14.25">
      <c r="A87" s="384"/>
      <c r="B87" s="465" t="s">
        <v>103</v>
      </c>
      <c r="C87" s="454" t="s">
        <v>85</v>
      </c>
      <c r="D87" s="570" t="str">
        <f>_xlfn.IFERROR(IF('延炼取值 '!D87=0,"",'延炼取值 '!D87),"")</f>
        <v/>
      </c>
      <c r="E87" s="225">
        <f>_xlfn.IFERROR('延炼取值 '!E87,"")</f>
        <v>0</v>
      </c>
      <c r="F87" s="463">
        <f>_xlfn.IFERROR(E87-'延炼取值 '!D87,"")</f>
        <v>0</v>
      </c>
      <c r="G87" s="570" t="str">
        <f>_xlfn.IFERROR(IF('延炼取值 '!G87=0,"",'延炼取值 '!G87),"")</f>
        <v/>
      </c>
      <c r="H87" s="226">
        <f>_xlfn.IFERROR('延炼取值 '!H87,"")</f>
        <v>0</v>
      </c>
      <c r="I87" s="501">
        <f>_xlfn.IFERROR(H87-'延炼取值 '!G87,"")</f>
        <v>0</v>
      </c>
      <c r="J87" s="573">
        <v>0</v>
      </c>
      <c r="K87" s="573">
        <v>0</v>
      </c>
      <c r="L87" s="486">
        <f>_xlfn.IFERROR(H87-K87,"")</f>
        <v>0</v>
      </c>
      <c r="M87" s="434"/>
      <c r="N87" s="434"/>
      <c r="O87" s="521"/>
    </row>
    <row customHeight="1" ht="14.25">
      <c r="A88" s="384"/>
      <c r="B88" s="465" t="s">
        <v>104</v>
      </c>
      <c r="C88" s="454" t="s">
        <v>85</v>
      </c>
      <c r="D88" s="575" t="str">
        <f>_xlfn.IFERROR(IF('延炼取值 '!D88=0,"",'延炼取值 '!D88),"")</f>
        <v/>
      </c>
      <c r="E88" s="230">
        <f>_xlfn.IFERROR('延炼取值 '!E88,"")</f>
        <v>0</v>
      </c>
      <c r="F88" s="463">
        <f>_xlfn.IFERROR(E88-'延炼取值 '!D88,"")</f>
        <v>0</v>
      </c>
      <c r="G88" s="575" t="str">
        <f>_xlfn.IFERROR(IF('延炼取值 '!G88=0,"",'延炼取值 '!G88),"")</f>
        <v/>
      </c>
      <c r="H88" s="232">
        <f>_xlfn.IFERROR('延炼取值 '!H88,"")</f>
        <v>0</v>
      </c>
      <c r="I88" s="578">
        <f>_xlfn.IFERROR(H88-'延炼取值 '!G88,"")</f>
        <v>0</v>
      </c>
      <c r="J88" s="579">
        <v>0</v>
      </c>
      <c r="K88" s="579">
        <v>0</v>
      </c>
      <c r="L88" s="486">
        <f>_xlfn.IFERROR(H88-K88,"")</f>
        <v>0</v>
      </c>
      <c r="M88" s="434"/>
      <c r="N88" s="434"/>
      <c r="O88" s="521"/>
    </row>
    <row customHeight="1" ht="14.25">
      <c r="A89" s="384"/>
      <c r="B89" s="499" t="s">
        <v>105</v>
      </c>
      <c r="C89" s="454" t="s">
        <v>85</v>
      </c>
      <c r="D89" s="570">
        <v>94.4</v>
      </c>
      <c r="E89" s="225">
        <f>_xlfn.IFERROR('延炼取值 '!E89,"")</f>
        <v>94.7278589038498</v>
      </c>
      <c r="F89" s="463">
        <f>_xlfn.IFERROR(E89-'延炼取值 '!D89,"")</f>
        <v>0.327858903849801</v>
      </c>
      <c r="G89" s="570" t="str">
        <f>_xlfn.IFERROR(IF('延炼取值 '!G89=0,"",'延炼取值 '!G89),"")</f>
        <v/>
      </c>
      <c r="H89" s="226">
        <f>_xlfn.IFERROR('延炼取值 '!H89,"")</f>
        <v>94.8039266970062</v>
      </c>
      <c r="I89" s="501">
        <f>_xlfn.IFERROR(H89-'延炼取值 '!G89,"")</f>
        <v>94.8039266970062</v>
      </c>
      <c r="J89" s="573" t="str">
        <f>_xlfn.IFERROR('延炼取值 '!J89,"")</f>
        <v/>
      </c>
      <c r="K89" s="573" t="str">
        <f>_xlfn.IFERROR('延炼取值 '!K89,"")</f>
        <v/>
      </c>
      <c r="L89" s="486" t="str">
        <f>_xlfn.IFERROR(H89-K89,"")</f>
        <v/>
      </c>
      <c r="M89" s="434"/>
      <c r="N89" s="434"/>
      <c r="O89" s="521"/>
    </row>
    <row customHeight="1" ht="14.25">
      <c r="A90" s="384"/>
      <c r="B90" s="502" t="s">
        <v>106</v>
      </c>
      <c r="C90" s="580"/>
      <c r="D90" s="390"/>
      <c r="E90" s="390"/>
      <c r="F90" s="582"/>
      <c r="G90" s="390"/>
      <c r="H90" s="390"/>
      <c r="I90" s="504"/>
      <c r="J90" s="390"/>
      <c r="K90" s="390"/>
      <c r="L90" s="583"/>
      <c r="M90" s="434"/>
      <c r="N90" s="434"/>
      <c r="O90" s="521"/>
    </row>
    <row customHeight="1" ht="14.25">
      <c r="A91" s="384"/>
      <c r="B91" s="507"/>
      <c r="C91" s="504"/>
      <c r="D91" s="390"/>
      <c r="E91" s="390"/>
      <c r="F91" s="504"/>
      <c r="G91" s="390"/>
      <c r="H91" s="390"/>
      <c r="I91" s="504"/>
      <c r="J91" s="390"/>
      <c r="K91" s="390"/>
      <c r="L91" s="506"/>
      <c r="M91" s="434"/>
      <c r="N91" s="434"/>
      <c r="O91" s="521"/>
    </row>
    <row customHeight="1" ht="14.25">
      <c r="A92" s="384"/>
      <c r="B92" s="507"/>
      <c r="C92" s="504"/>
      <c r="D92" s="390"/>
      <c r="E92" s="390"/>
      <c r="F92" s="504"/>
      <c r="G92" s="390"/>
      <c r="H92" s="390"/>
      <c r="I92" s="504"/>
      <c r="J92" s="390"/>
      <c r="K92" s="390"/>
      <c r="L92" s="506"/>
      <c r="M92" s="434"/>
      <c r="N92" s="434"/>
      <c r="O92" s="521"/>
    </row>
    <row customHeight="1" ht="15">
      <c r="A93" s="384"/>
      <c r="B93" s="508"/>
      <c r="C93" s="509"/>
      <c r="D93" s="391"/>
      <c r="E93" s="391"/>
      <c r="F93" s="509"/>
      <c r="G93" s="391"/>
      <c r="H93" s="391"/>
      <c r="I93" s="509"/>
      <c r="J93" s="391"/>
      <c r="K93" s="391"/>
      <c r="L93" s="511"/>
      <c r="M93" s="434"/>
      <c r="N93" s="434"/>
      <c r="O93" s="521"/>
    </row>
    <row customHeight="1" ht="14.25">
      <c r="A94" s="384"/>
      <c r="B94" s="239" t="s">
        <v>107</v>
      </c>
      <c r="C94" s="514" t="s">
        <v>110</v>
      </c>
      <c r="D94" s="239" t="s">
        <v>109</v>
      </c>
      <c r="E94" s="239"/>
      <c r="F94" s="515" t="s">
        <v>110</v>
      </c>
      <c r="G94" s="239" t="s">
        <v>111</v>
      </c>
      <c r="H94" s="516" t="s">
        <v>112</v>
      </c>
      <c r="I94" s="250"/>
      <c r="J94" s="239" t="s">
        <v>113</v>
      </c>
      <c r="K94" s="585" t="s">
        <v>114</v>
      </c>
      <c r="L94" s="518"/>
      <c r="M94" s="434"/>
      <c r="N94" s="434"/>
      <c r="O94" s="521"/>
    </row>
    <row customHeight="1" ht="14.25">
      <c r="A95" s="384"/>
      <c r="B95" s="384"/>
      <c r="C95" s="384"/>
      <c r="D95" s="384"/>
      <c r="E95" s="384"/>
      <c r="F95" s="519"/>
      <c r="G95" s="384"/>
      <c r="H95" s="384"/>
      <c r="I95" s="519"/>
      <c r="J95" s="384"/>
      <c r="K95" s="384"/>
      <c r="L95" s="384"/>
      <c r="M95" s="434"/>
      <c r="N95" s="434"/>
      <c r="O95" s="521"/>
    </row>
    <row customHeight="1" ht="14.25" hidden="1">
      <c r="A96" s="384"/>
      <c r="B96" s="384"/>
      <c r="C96" s="435" t="s">
        <v>110</v>
      </c>
      <c r="D96" s="435"/>
      <c r="E96" s="435"/>
      <c r="F96" s="520" t="s">
        <v>110</v>
      </c>
      <c r="G96" s="435"/>
      <c r="H96" s="435" t="s">
        <v>112</v>
      </c>
      <c r="I96" s="519"/>
      <c r="J96" s="435"/>
      <c r="K96" s="435" t="s">
        <v>114</v>
      </c>
      <c r="L96" s="384"/>
      <c r="M96" s="434"/>
      <c r="N96" s="434"/>
      <c r="O96" s="521"/>
    </row>
    <row customHeight="1" ht="14.25">
      <c r="A97" s="384"/>
      <c r="B97" s="384"/>
      <c r="C97" s="384"/>
      <c r="D97" s="384"/>
      <c r="E97" s="384"/>
      <c r="F97" s="519"/>
      <c r="G97" s="384"/>
      <c r="H97" s="384"/>
      <c r="I97" s="519"/>
      <c r="J97" s="384"/>
      <c r="K97" s="384"/>
      <c r="L97" s="384"/>
      <c r="M97" s="434"/>
      <c r="N97" s="434"/>
      <c r="O97" s="521"/>
    </row>
    <row customHeight="1" ht="14.25">
      <c r="A98" s="384"/>
      <c r="B98" s="384"/>
      <c r="C98" s="384"/>
      <c r="D98" s="384"/>
      <c r="E98" s="384"/>
      <c r="F98" s="519"/>
      <c r="G98" s="384"/>
      <c r="H98" s="384"/>
      <c r="I98" s="519"/>
      <c r="J98" s="384"/>
      <c r="K98" s="384"/>
      <c r="L98" s="384"/>
      <c r="M98" s="434"/>
      <c r="N98" s="434"/>
      <c r="O98" s="521"/>
    </row>
    <row customHeight="1" ht="13.5">
      <c r="A99" s="384"/>
      <c r="B99" s="384"/>
      <c r="C99" s="384"/>
      <c r="D99" s="384"/>
      <c r="E99" s="384"/>
      <c r="F99" s="519"/>
      <c r="G99" s="384"/>
      <c r="H99" s="384"/>
      <c r="I99" s="519"/>
      <c r="J99" s="384"/>
      <c r="K99" s="384"/>
      <c r="L99" s="384"/>
      <c r="M99" s="434"/>
      <c r="N99" s="434"/>
      <c r="O99" s="521"/>
    </row>
    <row customHeight="1" ht="14.4525">
      <c r="A100" s="384"/>
      <c r="B100" s="384"/>
      <c r="C100" s="384"/>
      <c r="D100" s="384"/>
      <c r="E100" s="384"/>
      <c r="F100" s="519"/>
      <c r="G100" s="384"/>
      <c r="H100" s="384"/>
      <c r="I100" s="519"/>
      <c r="J100" s="384"/>
      <c r="K100" s="384"/>
      <c r="L100" s="384"/>
      <c r="M100" s="434"/>
      <c r="N100" s="434"/>
      <c r="O100" s="521"/>
    </row>
    <row customHeight="1" ht="14.4525">
      <c r="A101" s="384"/>
      <c r="B101" s="384"/>
      <c r="C101" s="384"/>
      <c r="D101" s="384"/>
      <c r="E101" s="384"/>
      <c r="F101" s="519"/>
      <c r="G101" s="384"/>
      <c r="H101" s="384"/>
      <c r="I101" s="519"/>
      <c r="J101" s="384"/>
      <c r="K101" s="384"/>
      <c r="L101" s="384"/>
      <c r="M101" s="434"/>
      <c r="N101" s="434"/>
      <c r="O101" s="521"/>
    </row>
    <row customHeight="1" ht="14.4525">
      <c r="A102" s="384"/>
      <c r="B102" s="384"/>
      <c r="C102" s="384"/>
      <c r="D102" s="384"/>
      <c r="E102" s="384"/>
      <c r="F102" s="519"/>
      <c r="G102" s="384"/>
      <c r="H102" s="384"/>
      <c r="I102" s="519"/>
      <c r="J102" s="384"/>
      <c r="K102" s="384"/>
      <c r="L102" s="384"/>
      <c r="M102" s="434"/>
      <c r="N102" s="434"/>
      <c r="O102" s="521"/>
    </row>
    <row customHeight="1" ht="14.4525">
      <c r="A103" s="384"/>
      <c r="B103" s="384"/>
      <c r="C103" s="384"/>
      <c r="D103" s="384"/>
      <c r="E103" s="384"/>
      <c r="F103" s="519"/>
      <c r="G103" s="384"/>
      <c r="H103" s="384"/>
      <c r="I103" s="519"/>
      <c r="J103" s="384"/>
      <c r="K103" s="384"/>
      <c r="L103" s="384"/>
      <c r="M103" s="434"/>
      <c r="N103" s="434"/>
      <c r="O103" s="521"/>
    </row>
    <row customHeight="1" ht="14.4525">
      <c r="A104" s="384"/>
      <c r="B104" s="384"/>
      <c r="C104" s="384"/>
      <c r="D104" s="384"/>
      <c r="E104" s="384"/>
      <c r="F104" s="519"/>
      <c r="G104" s="384"/>
      <c r="H104" s="384"/>
      <c r="I104" s="519"/>
      <c r="J104" s="384"/>
      <c r="K104" s="384"/>
      <c r="L104" s="384"/>
      <c r="M104" s="434"/>
      <c r="N104" s="434"/>
      <c r="O104" s="521"/>
    </row>
    <row customHeight="1" ht="14.4525">
      <c r="A105" s="384"/>
      <c r="B105" s="384"/>
      <c r="C105" s="384"/>
      <c r="D105" s="384"/>
      <c r="E105" s="384"/>
      <c r="F105" s="519"/>
      <c r="G105" s="384"/>
      <c r="H105" s="384"/>
      <c r="I105" s="519"/>
      <c r="J105" s="384"/>
      <c r="K105" s="384"/>
      <c r="L105" s="384"/>
      <c r="M105" s="434"/>
      <c r="N105" s="434"/>
      <c r="O105" s="521"/>
    </row>
    <row customHeight="1" ht="14.4525">
      <c r="A106" s="384"/>
      <c r="B106" s="384"/>
      <c r="C106" s="384"/>
      <c r="D106" s="384"/>
      <c r="E106" s="384"/>
      <c r="F106" s="519"/>
      <c r="G106" s="384"/>
      <c r="H106" s="384"/>
      <c r="I106" s="519"/>
      <c r="J106" s="384"/>
      <c r="K106" s="384"/>
      <c r="L106" s="384"/>
      <c r="M106" s="434"/>
      <c r="N106" s="434"/>
      <c r="O106" s="521"/>
    </row>
    <row customHeight="1" ht="14.4525">
      <c r="A107" s="384"/>
      <c r="B107" s="384"/>
      <c r="C107" s="384"/>
      <c r="D107" s="384"/>
      <c r="E107" s="384"/>
      <c r="F107" s="519"/>
      <c r="G107" s="384"/>
      <c r="H107" s="384"/>
      <c r="I107" s="519"/>
      <c r="J107" s="384"/>
      <c r="K107" s="384"/>
      <c r="L107" s="384"/>
      <c r="M107" s="434"/>
      <c r="N107" s="434"/>
      <c r="O107" s="521"/>
    </row>
    <row customHeight="1" ht="14.4525">
      <c r="A108" s="384"/>
      <c r="B108" s="384"/>
      <c r="C108" s="384"/>
      <c r="D108" s="384"/>
      <c r="E108" s="384"/>
      <c r="F108" s="519"/>
      <c r="G108" s="384"/>
      <c r="H108" s="384"/>
      <c r="I108" s="519"/>
      <c r="J108" s="384"/>
      <c r="K108" s="384"/>
      <c r="L108" s="384"/>
      <c r="M108" s="434"/>
      <c r="N108" s="434"/>
      <c r="O108" s="521"/>
    </row>
    <row customHeight="1" ht="14.4525">
      <c r="A109" s="384"/>
      <c r="B109" s="384"/>
      <c r="C109" s="384"/>
      <c r="D109" s="384"/>
      <c r="E109" s="384"/>
      <c r="F109" s="519"/>
      <c r="G109" s="384"/>
      <c r="H109" s="384"/>
      <c r="I109" s="519"/>
      <c r="J109" s="384"/>
      <c r="K109" s="384"/>
      <c r="L109" s="384"/>
      <c r="M109" s="434"/>
      <c r="N109" s="434"/>
      <c r="O109" s="521"/>
    </row>
    <row customHeight="1" ht="14.4525">
      <c r="A110" s="384"/>
      <c r="B110" s="384"/>
      <c r="C110" s="384"/>
      <c r="D110" s="384"/>
      <c r="E110" s="384"/>
      <c r="F110" s="519"/>
      <c r="G110" s="384"/>
      <c r="H110" s="384"/>
      <c r="I110" s="519"/>
      <c r="J110" s="384"/>
      <c r="K110" s="384"/>
      <c r="L110" s="384"/>
      <c r="M110" s="434"/>
      <c r="N110" s="434"/>
      <c r="O110" s="521"/>
    </row>
    <row customHeight="1" ht="14.4525">
      <c r="A111" s="384"/>
      <c r="B111" s="384"/>
      <c r="C111" s="384"/>
      <c r="D111" s="384"/>
      <c r="E111" s="384"/>
      <c r="F111" s="519"/>
      <c r="G111" s="384"/>
      <c r="H111" s="384"/>
      <c r="I111" s="519"/>
      <c r="J111" s="384"/>
      <c r="K111" s="384"/>
      <c r="L111" s="384"/>
      <c r="M111" s="434"/>
      <c r="N111" s="434"/>
      <c r="O111" s="521"/>
    </row>
    <row customHeight="1" ht="14.4525">
      <c r="A112" s="384"/>
      <c r="B112" s="384"/>
      <c r="C112" s="384"/>
      <c r="D112" s="384"/>
      <c r="E112" s="384"/>
      <c r="F112" s="519"/>
      <c r="G112" s="384"/>
      <c r="H112" s="384"/>
      <c r="I112" s="519"/>
      <c r="J112" s="384"/>
      <c r="K112" s="384"/>
      <c r="L112" s="384"/>
      <c r="M112" s="434"/>
      <c r="N112" s="434"/>
      <c r="O112" s="521"/>
    </row>
    <row customHeight="1" ht="14.4525">
      <c r="A113" s="384"/>
      <c r="B113" s="384"/>
      <c r="C113" s="384"/>
      <c r="D113" s="384"/>
      <c r="E113" s="384"/>
      <c r="F113" s="519"/>
      <c r="G113" s="384"/>
      <c r="H113" s="384"/>
      <c r="I113" s="519"/>
      <c r="J113" s="384"/>
      <c r="K113" s="384"/>
      <c r="L113" s="384"/>
      <c r="M113" s="434"/>
      <c r="N113" s="434"/>
      <c r="O113" s="521"/>
    </row>
    <row customHeight="1" ht="14.4525">
      <c r="A114" s="384"/>
      <c r="B114" s="384"/>
      <c r="C114" s="384"/>
      <c r="D114" s="384"/>
      <c r="E114" s="384"/>
      <c r="F114" s="519"/>
      <c r="G114" s="384"/>
      <c r="H114" s="384"/>
      <c r="I114" s="519"/>
      <c r="J114" s="384"/>
      <c r="K114" s="384"/>
      <c r="L114" s="384"/>
      <c r="M114" s="434"/>
      <c r="N114" s="434"/>
      <c r="O114" s="521"/>
    </row>
    <row customHeight="1" ht="14.4525">
      <c r="A115" s="384"/>
      <c r="B115" s="384"/>
      <c r="C115" s="384"/>
      <c r="D115" s="384"/>
      <c r="E115" s="384"/>
      <c r="F115" s="519"/>
      <c r="G115" s="384"/>
      <c r="H115" s="384"/>
      <c r="I115" s="519"/>
      <c r="J115" s="384"/>
      <c r="K115" s="384"/>
      <c r="L115" s="384"/>
      <c r="M115" s="434"/>
      <c r="N115" s="434"/>
      <c r="O115" s="521"/>
    </row>
    <row customHeight="1" ht="14.4525">
      <c r="A116" s="384"/>
      <c r="B116" s="384"/>
      <c r="C116" s="384"/>
      <c r="D116" s="384"/>
      <c r="E116" s="384"/>
      <c r="F116" s="519"/>
      <c r="G116" s="384"/>
      <c r="H116" s="384"/>
      <c r="I116" s="519"/>
      <c r="J116" s="384"/>
      <c r="K116" s="384"/>
      <c r="L116" s="384"/>
      <c r="M116" s="434"/>
      <c r="N116" s="434"/>
      <c r="O116" s="521"/>
    </row>
    <row customHeight="1" ht="14.4525">
      <c r="A117" s="384"/>
      <c r="B117" s="384"/>
      <c r="C117" s="384"/>
      <c r="D117" s="384"/>
      <c r="E117" s="384"/>
      <c r="F117" s="519"/>
      <c r="G117" s="384"/>
      <c r="H117" s="384"/>
      <c r="I117" s="519"/>
      <c r="J117" s="384"/>
      <c r="K117" s="384"/>
      <c r="L117" s="384"/>
      <c r="M117" s="434"/>
      <c r="N117" s="434"/>
      <c r="O117" s="521"/>
    </row>
    <row customHeight="1" ht="14.4525">
      <c r="A118" s="384"/>
      <c r="B118" s="384"/>
      <c r="C118" s="384"/>
      <c r="D118" s="384"/>
      <c r="E118" s="384"/>
      <c r="F118" s="519"/>
      <c r="G118" s="384"/>
      <c r="H118" s="384"/>
      <c r="I118" s="519"/>
      <c r="J118" s="384"/>
      <c r="K118" s="384"/>
      <c r="L118" s="384"/>
      <c r="M118" s="434"/>
      <c r="N118" s="434"/>
      <c r="O118" s="521"/>
    </row>
    <row customHeight="1" ht="14.4525">
      <c r="A119" s="384"/>
      <c r="B119" s="384"/>
      <c r="C119" s="384"/>
      <c r="D119" s="384"/>
      <c r="E119" s="384"/>
      <c r="F119" s="519"/>
      <c r="G119" s="384"/>
      <c r="H119" s="384"/>
      <c r="I119" s="519"/>
      <c r="J119" s="384"/>
      <c r="K119" s="384"/>
      <c r="L119" s="384"/>
      <c r="M119" s="434"/>
      <c r="N119" s="434"/>
      <c r="O119" s="521"/>
    </row>
    <row customHeight="1" ht="14.4525">
      <c r="A120" s="384"/>
      <c r="B120" s="384"/>
      <c r="C120" s="384"/>
      <c r="D120" s="384"/>
      <c r="E120" s="384"/>
      <c r="F120" s="519"/>
      <c r="G120" s="384"/>
      <c r="H120" s="384"/>
      <c r="I120" s="519"/>
      <c r="J120" s="384"/>
      <c r="K120" s="384"/>
      <c r="L120" s="384"/>
      <c r="M120" s="434"/>
      <c r="N120" s="434"/>
      <c r="O120" s="521"/>
    </row>
    <row customHeight="1" ht="14.4525">
      <c r="A121" s="384"/>
      <c r="B121" s="384"/>
      <c r="C121" s="384"/>
      <c r="D121" s="384"/>
      <c r="E121" s="384"/>
      <c r="F121" s="519"/>
      <c r="G121" s="384"/>
      <c r="H121" s="384"/>
      <c r="I121" s="519"/>
      <c r="J121" s="384"/>
      <c r="K121" s="384"/>
      <c r="L121" s="384"/>
      <c r="M121" s="434"/>
      <c r="N121" s="434"/>
      <c r="O121" s="521"/>
    </row>
    <row customHeight="1" ht="14.4525">
      <c r="A122" s="384"/>
      <c r="B122" s="384"/>
      <c r="C122" s="384"/>
      <c r="D122" s="384"/>
      <c r="E122" s="384"/>
      <c r="F122" s="519"/>
      <c r="G122" s="384"/>
      <c r="H122" s="384"/>
      <c r="I122" s="519"/>
      <c r="J122" s="384"/>
      <c r="K122" s="384"/>
      <c r="L122" s="384"/>
      <c r="M122" s="434"/>
      <c r="N122" s="434"/>
      <c r="O122" s="521"/>
    </row>
    <row customHeight="1" ht="14.4525">
      <c r="A123" s="384"/>
      <c r="B123" s="384"/>
      <c r="C123" s="384"/>
      <c r="D123" s="384"/>
      <c r="E123" s="384"/>
      <c r="F123" s="519"/>
      <c r="G123" s="384"/>
      <c r="H123" s="384"/>
      <c r="I123" s="519"/>
      <c r="J123" s="384"/>
      <c r="K123" s="384"/>
      <c r="L123" s="384"/>
      <c r="M123" s="434"/>
      <c r="N123" s="434"/>
      <c r="O123" s="521"/>
    </row>
    <row customHeight="1" ht="14.4525">
      <c r="A124" s="384"/>
      <c r="B124" s="384"/>
      <c r="C124" s="384"/>
      <c r="D124" s="384"/>
      <c r="E124" s="384"/>
      <c r="F124" s="519"/>
      <c r="G124" s="384"/>
      <c r="H124" s="384"/>
      <c r="I124" s="519"/>
      <c r="J124" s="384"/>
      <c r="K124" s="384"/>
      <c r="L124" s="384"/>
      <c r="M124" s="434"/>
      <c r="N124" s="434"/>
      <c r="O124" s="521"/>
    </row>
    <row customHeight="1" ht="14.4525">
      <c r="A125" s="384"/>
      <c r="B125" s="384"/>
      <c r="C125" s="384"/>
      <c r="D125" s="384"/>
      <c r="E125" s="384"/>
      <c r="F125" s="519"/>
      <c r="G125" s="384"/>
      <c r="H125" s="384"/>
      <c r="I125" s="519"/>
      <c r="J125" s="384"/>
      <c r="K125" s="384"/>
      <c r="L125" s="384"/>
      <c r="M125" s="434"/>
      <c r="N125" s="434"/>
      <c r="O125" s="521"/>
    </row>
    <row customHeight="1" ht="14.4525">
      <c r="A126" s="384"/>
      <c r="B126" s="384"/>
      <c r="C126" s="384"/>
      <c r="D126" s="384"/>
      <c r="E126" s="384"/>
      <c r="F126" s="519"/>
      <c r="G126" s="384"/>
      <c r="H126" s="384"/>
      <c r="I126" s="519"/>
      <c r="J126" s="384"/>
      <c r="K126" s="384"/>
      <c r="L126" s="384"/>
      <c r="M126" s="434"/>
      <c r="N126" s="434"/>
      <c r="O126" s="521"/>
    </row>
    <row customHeight="1" ht="14.4525">
      <c r="A127" s="384"/>
      <c r="B127" s="384"/>
      <c r="C127" s="384"/>
      <c r="D127" s="384"/>
      <c r="E127" s="384"/>
      <c r="F127" s="519"/>
      <c r="G127" s="384"/>
      <c r="H127" s="384"/>
      <c r="I127" s="519"/>
      <c r="J127" s="384"/>
      <c r="K127" s="384"/>
      <c r="L127" s="384"/>
      <c r="M127" s="434"/>
      <c r="N127" s="434"/>
      <c r="O127" s="521"/>
    </row>
    <row customHeight="1" ht="14.4525">
      <c r="A128" s="384"/>
      <c r="B128" s="384"/>
      <c r="C128" s="384"/>
      <c r="D128" s="384"/>
      <c r="E128" s="384"/>
      <c r="F128" s="519"/>
      <c r="G128" s="384"/>
      <c r="H128" s="384"/>
      <c r="I128" s="519"/>
      <c r="J128" s="384"/>
      <c r="K128" s="384"/>
      <c r="L128" s="384"/>
      <c r="M128" s="434"/>
      <c r="N128" s="434"/>
      <c r="O128" s="521"/>
    </row>
    <row customHeight="1" ht="14.4525">
      <c r="A129" s="384"/>
      <c r="B129" s="384"/>
      <c r="C129" s="384"/>
      <c r="D129" s="384"/>
      <c r="E129" s="384"/>
      <c r="F129" s="519"/>
      <c r="G129" s="384"/>
      <c r="H129" s="384"/>
      <c r="I129" s="519"/>
      <c r="J129" s="384"/>
      <c r="K129" s="384"/>
      <c r="L129" s="384"/>
      <c r="M129" s="434"/>
      <c r="N129" s="434"/>
      <c r="O129" s="521"/>
    </row>
    <row customHeight="1" ht="14.4525">
      <c r="A130" s="384"/>
      <c r="B130" s="384"/>
      <c r="C130" s="384"/>
      <c r="D130" s="384"/>
      <c r="E130" s="384"/>
      <c r="F130" s="519"/>
      <c r="G130" s="384"/>
      <c r="H130" s="384"/>
      <c r="I130" s="519"/>
      <c r="J130" s="384"/>
      <c r="K130" s="384"/>
      <c r="L130" s="384"/>
      <c r="M130" s="434"/>
      <c r="N130" s="434"/>
      <c r="O130" s="521"/>
    </row>
    <row customHeight="1" ht="14.4525">
      <c r="A131" s="384"/>
      <c r="B131" s="384"/>
      <c r="C131" s="384"/>
      <c r="D131" s="384"/>
      <c r="E131" s="384"/>
      <c r="F131" s="519"/>
      <c r="G131" s="384"/>
      <c r="H131" s="384"/>
      <c r="I131" s="519"/>
      <c r="J131" s="384"/>
      <c r="K131" s="384"/>
      <c r="L131" s="384"/>
      <c r="M131" s="434"/>
      <c r="N131" s="434"/>
      <c r="O131" s="521"/>
    </row>
    <row customHeight="1" ht="14.4525">
      <c r="A132" s="384"/>
      <c r="B132" s="384"/>
      <c r="C132" s="384"/>
      <c r="D132" s="384"/>
      <c r="E132" s="384"/>
      <c r="F132" s="519"/>
      <c r="G132" s="384"/>
      <c r="H132" s="384"/>
      <c r="I132" s="519"/>
      <c r="J132" s="384"/>
      <c r="K132" s="384"/>
      <c r="L132" s="384"/>
      <c r="M132" s="434"/>
      <c r="N132" s="434"/>
      <c r="O132" s="521"/>
    </row>
    <row customHeight="1" ht="14.4525">
      <c r="A133" s="384"/>
      <c r="B133" s="384"/>
      <c r="C133" s="384"/>
      <c r="D133" s="384"/>
      <c r="E133" s="384"/>
      <c r="F133" s="519"/>
      <c r="G133" s="384"/>
      <c r="H133" s="384"/>
      <c r="I133" s="519"/>
      <c r="J133" s="384"/>
      <c r="K133" s="384"/>
      <c r="L133" s="384"/>
      <c r="M133" s="434"/>
      <c r="N133" s="434"/>
      <c r="O133" s="521"/>
    </row>
    <row customHeight="1" ht="14.4525">
      <c r="A134" s="384"/>
      <c r="B134" s="384"/>
      <c r="C134" s="384"/>
      <c r="D134" s="384"/>
      <c r="E134" s="384"/>
      <c r="F134" s="519"/>
      <c r="G134" s="384"/>
      <c r="H134" s="384"/>
      <c r="I134" s="519"/>
      <c r="J134" s="384"/>
      <c r="K134" s="384"/>
      <c r="L134" s="384"/>
      <c r="M134" s="434"/>
      <c r="N134" s="434"/>
      <c r="O134" s="521"/>
    </row>
    <row customHeight="1" ht="14.4525">
      <c r="A135" s="384"/>
      <c r="B135" s="384"/>
      <c r="C135" s="384"/>
      <c r="D135" s="384"/>
      <c r="E135" s="384"/>
      <c r="F135" s="519"/>
      <c r="G135" s="384"/>
      <c r="H135" s="384"/>
      <c r="I135" s="519"/>
      <c r="J135" s="384"/>
      <c r="K135" s="384"/>
      <c r="L135" s="384"/>
      <c r="M135" s="434"/>
      <c r="N135" s="434"/>
      <c r="O135" s="521"/>
    </row>
    <row customHeight="1" ht="14.4525">
      <c r="A136" s="384"/>
      <c r="B136" s="384"/>
      <c r="C136" s="384"/>
      <c r="D136" s="384"/>
      <c r="E136" s="384"/>
      <c r="F136" s="519"/>
      <c r="G136" s="384"/>
      <c r="H136" s="384"/>
      <c r="I136" s="519"/>
      <c r="J136" s="384"/>
      <c r="K136" s="384"/>
      <c r="L136" s="384"/>
      <c r="M136" s="434"/>
      <c r="N136" s="434"/>
      <c r="O136" s="521"/>
    </row>
    <row customHeight="1" ht="14.4525">
      <c r="A137" s="384"/>
      <c r="B137" s="384"/>
      <c r="C137" s="384"/>
      <c r="D137" s="384"/>
      <c r="E137" s="384"/>
      <c r="F137" s="519"/>
      <c r="G137" s="384"/>
      <c r="H137" s="384"/>
      <c r="I137" s="519"/>
      <c r="J137" s="384"/>
      <c r="K137" s="384"/>
      <c r="L137" s="384"/>
      <c r="M137" s="434"/>
      <c r="N137" s="434"/>
      <c r="O137" s="521"/>
    </row>
    <row customHeight="1" ht="14.4525">
      <c r="A138" s="384"/>
      <c r="B138" s="384"/>
      <c r="C138" s="384"/>
      <c r="D138" s="384"/>
      <c r="E138" s="384"/>
      <c r="F138" s="519"/>
      <c r="G138" s="384"/>
      <c r="H138" s="384"/>
      <c r="I138" s="519"/>
      <c r="J138" s="384"/>
      <c r="K138" s="384"/>
      <c r="L138" s="384"/>
      <c r="M138" s="434"/>
      <c r="N138" s="434"/>
      <c r="O138" s="521"/>
    </row>
    <row customHeight="1" ht="14.4525">
      <c r="A139" s="384"/>
      <c r="B139" s="384"/>
      <c r="C139" s="384"/>
      <c r="D139" s="384"/>
      <c r="E139" s="384"/>
      <c r="F139" s="519"/>
      <c r="G139" s="384"/>
      <c r="H139" s="384"/>
      <c r="I139" s="519"/>
      <c r="J139" s="384"/>
      <c r="K139" s="384"/>
      <c r="L139" s="384"/>
      <c r="M139" s="434"/>
      <c r="N139" s="434"/>
      <c r="O139" s="521"/>
    </row>
    <row customHeight="1" ht="14.4525">
      <c r="A140" s="384"/>
      <c r="B140" s="384"/>
      <c r="C140" s="384"/>
      <c r="D140" s="384"/>
      <c r="E140" s="384"/>
      <c r="F140" s="519"/>
      <c r="G140" s="384"/>
      <c r="H140" s="384"/>
      <c r="I140" s="519"/>
      <c r="J140" s="384"/>
      <c r="K140" s="384"/>
      <c r="L140" s="384"/>
      <c r="M140" s="434"/>
      <c r="N140" s="434"/>
      <c r="O140" s="521"/>
    </row>
    <row customHeight="1" ht="14.4525">
      <c r="A141" s="384"/>
      <c r="B141" s="384"/>
      <c r="C141" s="384"/>
      <c r="D141" s="384"/>
      <c r="E141" s="384"/>
      <c r="F141" s="519"/>
      <c r="G141" s="384"/>
      <c r="H141" s="384"/>
      <c r="I141" s="519"/>
      <c r="J141" s="384"/>
      <c r="K141" s="384"/>
      <c r="L141" s="384"/>
      <c r="M141" s="434"/>
      <c r="N141" s="434"/>
      <c r="O141" s="521"/>
    </row>
    <row customHeight="1" ht="14.4525">
      <c r="A142" s="384"/>
      <c r="B142" s="384"/>
      <c r="C142" s="384"/>
      <c r="D142" s="384"/>
      <c r="E142" s="384"/>
      <c r="F142" s="519"/>
      <c r="G142" s="384"/>
      <c r="H142" s="384"/>
      <c r="I142" s="519"/>
      <c r="J142" s="384"/>
      <c r="K142" s="384"/>
      <c r="L142" s="384"/>
      <c r="M142" s="434"/>
      <c r="N142" s="434"/>
      <c r="O142" s="521"/>
    </row>
    <row customHeight="1" ht="14.4525">
      <c r="A143" s="384"/>
      <c r="B143" s="384"/>
      <c r="C143" s="384"/>
      <c r="D143" s="384"/>
      <c r="E143" s="384"/>
      <c r="F143" s="519"/>
      <c r="G143" s="384"/>
      <c r="H143" s="384"/>
      <c r="I143" s="519"/>
      <c r="J143" s="384"/>
      <c r="K143" s="384"/>
      <c r="L143" s="384"/>
      <c r="M143" s="434"/>
      <c r="N143" s="434"/>
      <c r="O143" s="521"/>
    </row>
    <row customHeight="1" ht="14.4525">
      <c r="A144" s="384"/>
      <c r="B144" s="384"/>
      <c r="C144" s="384"/>
      <c r="D144" s="384"/>
      <c r="E144" s="384"/>
      <c r="F144" s="519"/>
      <c r="G144" s="384"/>
      <c r="H144" s="384"/>
      <c r="I144" s="519"/>
      <c r="J144" s="384"/>
      <c r="K144" s="384"/>
      <c r="L144" s="384"/>
      <c r="M144" s="434"/>
      <c r="N144" s="434"/>
      <c r="O144" s="521"/>
    </row>
    <row customHeight="1" ht="14.4525">
      <c r="A145" s="384"/>
      <c r="B145" s="384"/>
      <c r="C145" s="384"/>
      <c r="D145" s="384"/>
      <c r="E145" s="384"/>
      <c r="F145" s="519"/>
      <c r="G145" s="384"/>
      <c r="H145" s="384"/>
      <c r="I145" s="519"/>
      <c r="J145" s="384"/>
      <c r="K145" s="384"/>
      <c r="L145" s="384"/>
      <c r="M145" s="434"/>
      <c r="N145" s="434"/>
      <c r="O145" s="521"/>
    </row>
    <row customHeight="1" ht="14.4525">
      <c r="A146" s="384"/>
      <c r="B146" s="384"/>
      <c r="C146" s="384"/>
      <c r="D146" s="384"/>
      <c r="E146" s="384"/>
      <c r="F146" s="519"/>
      <c r="G146" s="384"/>
      <c r="H146" s="384"/>
      <c r="I146" s="519"/>
      <c r="J146" s="384"/>
      <c r="K146" s="384"/>
      <c r="L146" s="384"/>
      <c r="M146" s="434"/>
      <c r="N146" s="434"/>
      <c r="O146" s="521"/>
    </row>
    <row customHeight="1" ht="14.4525">
      <c r="A147" s="384"/>
      <c r="B147" s="384"/>
      <c r="C147" s="384"/>
      <c r="D147" s="384"/>
      <c r="E147" s="384"/>
      <c r="F147" s="519"/>
      <c r="G147" s="384"/>
      <c r="H147" s="384"/>
      <c r="I147" s="519"/>
      <c r="J147" s="384"/>
      <c r="K147" s="384"/>
      <c r="L147" s="384"/>
      <c r="M147" s="434"/>
      <c r="N147" s="434"/>
      <c r="O147" s="521"/>
    </row>
  </sheetData>
  <mergeCells count="12">
    <mergeCell ref="B1:L1"/>
    <mergeCell ref="C2:I2"/>
    <mergeCell ref="J2:L2"/>
    <mergeCell ref="D3:F3"/>
    <mergeCell ref="G3:I3"/>
    <mergeCell ref="J3:K3"/>
    <mergeCell ref="D94:E94"/>
    <mergeCell ref="B3:B4"/>
    <mergeCell ref="B90:B93"/>
    <mergeCell ref="C3:C4"/>
    <mergeCell ref="L3:L4"/>
    <mergeCell ref="C90:L93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7BFED37-3B8A-FCE8-08E8-1ADE41F033FF}" mc:Ignorable="x14ac xr xr2 xr3">
  <dimension ref="A1:U240"/>
  <sheetViews>
    <sheetView workbookViewId="0">
      <pane xSplit="2" ySplit="4" topLeftCell="C75" activePane="bottomRight" state="frozen"/>
      <selection pane="bottomLeft" activeCell="A5" sqref="A5"/>
      <selection pane="topRight" activeCell="C1" sqref="C1"/>
      <selection pane="bottomRight" activeCell="H89" sqref="H89"/>
    </sheetView>
  </sheetViews>
  <sheetFormatPr defaultColWidth="9.00390625" customHeight="1" defaultRowHeight="14.4525"/>
  <cols>
    <col min="1" max="1" style="51" width="2.7109375" customWidth="1"/>
    <col min="2" max="2" style="51" width="28.28125" customWidth="1"/>
    <col min="3" max="3" style="51" width="8.28125" customWidth="1"/>
    <col min="4" max="4" style="51" width="13.140625" customWidth="1"/>
    <col min="5" max="5" style="345" width="11.421875" customWidth="1"/>
    <col min="6" max="7" style="51" width="10.7109375" customWidth="1"/>
    <col min="8" max="8" style="51" width="10.57421875" customWidth="1"/>
    <col min="9" max="12" style="51" width="10.7109375" customWidth="1"/>
    <col min="13" max="13" style="139" width="13.8515625" customWidth="1"/>
  </cols>
  <sheetData>
    <row customHeight="1" ht="25.5">
      <c r="A1" s="586"/>
      <c r="B1" s="587" t="s">
        <v>127</v>
      </c>
      <c r="C1" s="587"/>
      <c r="D1" s="587"/>
      <c r="E1" s="588"/>
      <c r="F1" s="587"/>
      <c r="G1" s="587"/>
      <c r="H1" s="589"/>
      <c r="I1" s="587"/>
      <c r="J1" s="587"/>
      <c r="K1" s="587"/>
      <c r="L1" s="587"/>
      <c r="M1" s="402"/>
      <c r="N1" s="521"/>
      <c r="O1" s="521"/>
      <c r="P1" s="521"/>
      <c r="Q1" s="521"/>
      <c r="R1" s="521"/>
      <c r="S1" s="521"/>
      <c r="T1" s="521"/>
      <c r="U1" s="521"/>
    </row>
    <row customHeight="1" ht="15">
      <c r="A2" s="586"/>
      <c r="B2" s="590" t="s">
        <v>1</v>
      </c>
      <c r="C2" s="591"/>
      <c r="D2" s="591"/>
      <c r="E2" s="592"/>
      <c r="F2" s="591"/>
      <c r="G2" s="591"/>
      <c r="H2" s="593"/>
      <c r="I2" s="591"/>
      <c r="J2" s="591" t="s">
        <v>3</v>
      </c>
      <c r="K2" s="591"/>
      <c r="L2" s="591"/>
      <c r="M2" s="402"/>
      <c r="N2" s="521"/>
      <c r="O2" s="521"/>
      <c r="P2" s="521"/>
      <c r="Q2" s="521"/>
      <c r="R2" s="521"/>
      <c r="S2" s="521"/>
      <c r="T2" s="521"/>
      <c r="U2" s="521"/>
    </row>
    <row customHeight="1" ht="14.25">
      <c r="A3" s="586"/>
      <c r="B3" s="57" t="s">
        <v>4</v>
      </c>
      <c r="C3" s="58" t="s">
        <v>5</v>
      </c>
      <c r="D3" s="58" t="s">
        <v>6</v>
      </c>
      <c r="E3" s="350"/>
      <c r="F3" s="58"/>
      <c r="G3" s="58" t="s">
        <v>7</v>
      </c>
      <c r="H3" s="351"/>
      <c r="I3" s="58"/>
      <c r="J3" s="598" t="s">
        <v>8</v>
      </c>
      <c r="K3" s="598"/>
      <c r="L3" s="91" t="s">
        <v>9</v>
      </c>
      <c r="M3" s="402"/>
      <c r="N3" s="521"/>
      <c r="O3" s="521"/>
      <c r="P3" s="521"/>
      <c r="Q3" s="521"/>
      <c r="R3" s="521"/>
      <c r="S3" s="521"/>
      <c r="T3" s="521"/>
      <c r="U3" s="521"/>
    </row>
    <row customHeight="1" ht="14.25">
      <c r="A4" s="586"/>
      <c r="B4" s="59"/>
      <c r="C4" s="60"/>
      <c r="D4" s="60" t="s">
        <v>10</v>
      </c>
      <c r="E4" s="352" t="s">
        <v>11</v>
      </c>
      <c r="F4" s="60" t="s">
        <v>12</v>
      </c>
      <c r="G4" s="60" t="s">
        <v>13</v>
      </c>
      <c r="H4" s="102" t="s">
        <v>14</v>
      </c>
      <c r="I4" s="60" t="s">
        <v>12</v>
      </c>
      <c r="J4" s="604" t="s">
        <v>15</v>
      </c>
      <c r="K4" s="604" t="s">
        <v>16</v>
      </c>
      <c r="L4" s="605"/>
      <c r="M4" s="402"/>
      <c r="N4" s="521"/>
      <c r="O4" s="521"/>
      <c r="P4" s="521"/>
      <c r="Q4" s="521"/>
      <c r="R4" s="521"/>
      <c r="S4" s="521"/>
      <c r="T4" s="521"/>
      <c r="U4" s="521"/>
    </row>
    <row customHeight="1" ht="14.25">
      <c r="A5" s="586"/>
      <c r="B5" s="606" t="s">
        <v>17</v>
      </c>
      <c r="C5" s="607"/>
      <c r="D5" s="608"/>
      <c r="E5" s="609"/>
      <c r="F5" s="608"/>
      <c r="G5" s="608"/>
      <c r="H5" s="609"/>
      <c r="I5" s="608"/>
      <c r="J5" s="608"/>
      <c r="K5" s="608"/>
      <c r="L5" s="610"/>
      <c r="M5" s="402"/>
      <c r="N5" s="521"/>
      <c r="O5" s="521"/>
      <c r="P5" s="521"/>
      <c r="Q5" s="521"/>
      <c r="R5" s="521"/>
      <c r="S5" s="521"/>
      <c r="T5" s="521"/>
      <c r="U5" s="521"/>
    </row>
    <row customHeight="1" ht="14.25">
      <c r="A6" s="586"/>
      <c r="B6" s="611" t="s">
        <v>18</v>
      </c>
      <c r="C6" s="607" t="s">
        <v>19</v>
      </c>
      <c r="D6" s="451"/>
      <c r="E6" s="609"/>
      <c r="F6" s="608"/>
      <c r="G6" s="451"/>
      <c r="H6" s="609"/>
      <c r="I6" s="608"/>
      <c r="J6" s="608"/>
      <c r="K6" s="608"/>
      <c r="L6" s="610"/>
      <c r="M6" s="402"/>
      <c r="N6" s="521"/>
      <c r="O6" s="521"/>
      <c r="P6" s="521"/>
      <c r="Q6" s="521"/>
      <c r="R6" s="521"/>
      <c r="S6" s="521"/>
      <c r="T6" s="521"/>
      <c r="U6" s="521"/>
    </row>
    <row customHeight="1" ht="14.25">
      <c r="A7" s="586"/>
      <c r="B7" s="611" t="s">
        <v>20</v>
      </c>
      <c r="C7" s="607" t="s">
        <v>19</v>
      </c>
      <c r="D7" s="67">
        <v>525000</v>
      </c>
      <c r="E7" s="354">
        <f>E98</f>
        <v>488629</v>
      </c>
      <c r="F7" s="613">
        <f>E7/#REF!*100</f>
      </c>
      <c r="G7" s="67">
        <v>6300000</v>
      </c>
      <c r="H7" s="354">
        <f>H98</f>
        <v>5829379</v>
      </c>
      <c r="I7" s="613">
        <f>H7/#REF!*100</f>
      </c>
      <c r="J7" s="280">
        <f>J16</f>
        <v>466526</v>
      </c>
      <c r="K7" s="280">
        <f>K16</f>
        <v>5775191</v>
      </c>
      <c r="L7" s="610">
        <f>H7-K7</f>
        <v>54188</v>
      </c>
      <c r="M7" s="402"/>
      <c r="N7" s="521"/>
      <c r="O7" s="521"/>
      <c r="P7" s="521"/>
      <c r="Q7" s="521"/>
      <c r="R7" s="521"/>
      <c r="S7" s="521"/>
      <c r="T7" s="521"/>
      <c r="U7" s="521"/>
    </row>
    <row customHeight="1" ht="14.25">
      <c r="A8" s="586"/>
      <c r="B8" s="611" t="s">
        <v>21</v>
      </c>
      <c r="C8" s="607" t="s">
        <v>19</v>
      </c>
      <c r="D8" s="67">
        <v>1300</v>
      </c>
      <c r="E8" s="352">
        <f>E100</f>
        <v>1492.96</v>
      </c>
      <c r="F8" s="613">
        <f>E8/#REF!*100</f>
      </c>
      <c r="G8" s="67">
        <v>15256</v>
      </c>
      <c r="H8" s="352">
        <f>H100</f>
        <v>13575.24</v>
      </c>
      <c r="I8" s="613">
        <f>H8/#REF!*100</f>
      </c>
      <c r="J8" s="272">
        <f>J100</f>
        <v>1418.46</v>
      </c>
      <c r="K8" s="272">
        <f>K100</f>
        <v>14243.22</v>
      </c>
      <c r="L8" s="610">
        <f>H8-K8</f>
        <v>-667.98</v>
      </c>
      <c r="M8" s="402"/>
      <c r="N8" s="521"/>
      <c r="O8" s="521"/>
      <c r="P8" s="521"/>
      <c r="Q8" s="521"/>
      <c r="R8" s="521"/>
      <c r="S8" s="521"/>
      <c r="T8" s="521"/>
      <c r="U8" s="521"/>
    </row>
    <row customHeight="1" ht="14.25">
      <c r="A9" s="586"/>
      <c r="B9" s="611" t="s">
        <v>22</v>
      </c>
      <c r="C9" s="607" t="s">
        <v>19</v>
      </c>
      <c r="D9" s="67">
        <v>3000</v>
      </c>
      <c r="E9" s="352">
        <f>E102</f>
        <v>0</v>
      </c>
      <c r="F9" s="613"/>
      <c r="G9" s="67"/>
      <c r="H9" s="352">
        <f>H102</f>
        <v>9400.16</v>
      </c>
      <c r="I9" s="613"/>
      <c r="J9" s="363">
        <f>J102</f>
        <v>0</v>
      </c>
      <c r="K9" s="363">
        <f>K102</f>
        <v>0</v>
      </c>
      <c r="L9" s="610">
        <f>H9-K9</f>
        <v>9400.16</v>
      </c>
      <c r="M9" s="402"/>
      <c r="N9" s="521"/>
      <c r="O9" s="521"/>
      <c r="P9" s="521"/>
      <c r="Q9" s="521"/>
      <c r="R9" s="521"/>
      <c r="S9" s="521"/>
      <c r="T9" s="521"/>
      <c r="U9" s="521"/>
    </row>
    <row customHeight="1" ht="14.25">
      <c r="A10" s="586"/>
      <c r="B10" s="611" t="s">
        <v>23</v>
      </c>
      <c r="C10" s="607" t="s">
        <v>19</v>
      </c>
      <c r="D10" s="67"/>
      <c r="E10" s="352"/>
      <c r="F10" s="613"/>
      <c r="G10" s="67"/>
      <c r="H10" s="352"/>
      <c r="I10" s="613"/>
      <c r="J10" s="272"/>
      <c r="K10" s="272"/>
      <c r="L10" s="610"/>
      <c r="M10" s="402"/>
      <c r="N10" s="521"/>
      <c r="O10" s="521"/>
      <c r="P10" s="521"/>
      <c r="Q10" s="521"/>
      <c r="R10" s="521"/>
      <c r="S10" s="521"/>
      <c r="T10" s="521"/>
      <c r="U10" s="521"/>
    </row>
    <row customHeight="1" ht="14.25">
      <c r="A11" s="586"/>
      <c r="B11" s="611" t="s">
        <v>24</v>
      </c>
      <c r="C11" s="607" t="s">
        <v>19</v>
      </c>
      <c r="D11" s="67"/>
      <c r="E11" s="119"/>
      <c r="F11" s="613"/>
      <c r="G11" s="67"/>
      <c r="H11" s="352"/>
      <c r="I11" s="613"/>
      <c r="J11" s="272"/>
      <c r="K11" s="272"/>
      <c r="L11" s="610"/>
      <c r="M11" s="402"/>
      <c r="N11" s="521"/>
      <c r="O11" s="521"/>
      <c r="P11" s="521"/>
      <c r="Q11" s="521"/>
      <c r="R11" s="521"/>
      <c r="S11" s="521"/>
      <c r="T11" s="521"/>
      <c r="U11" s="521"/>
    </row>
    <row customHeight="1" ht="14.25">
      <c r="A12" s="586"/>
      <c r="B12" s="611" t="s">
        <v>25</v>
      </c>
      <c r="C12" s="607" t="s">
        <v>19</v>
      </c>
      <c r="D12" s="67"/>
      <c r="E12" s="352">
        <f>E104</f>
        <v>0</v>
      </c>
      <c r="F12" s="613"/>
      <c r="G12" s="67"/>
      <c r="H12" s="352">
        <f>H104</f>
        <v>0</v>
      </c>
      <c r="I12" s="613"/>
      <c r="J12" s="363">
        <f>J104</f>
        <v>0</v>
      </c>
      <c r="K12" s="363">
        <f>K104</f>
        <v>0</v>
      </c>
      <c r="L12" s="610"/>
      <c r="M12" s="402"/>
      <c r="N12" s="521"/>
      <c r="O12" s="521"/>
      <c r="P12" s="521"/>
      <c r="Q12" s="521"/>
      <c r="R12" s="521"/>
      <c r="S12" s="521"/>
      <c r="T12" s="521"/>
      <c r="U12" s="521"/>
    </row>
    <row customHeight="1" ht="14.25">
      <c r="A13" s="586"/>
      <c r="B13" s="611" t="s">
        <v>26</v>
      </c>
      <c r="C13" s="607" t="s">
        <v>19</v>
      </c>
      <c r="D13" s="67">
        <v>2200</v>
      </c>
      <c r="E13" s="352">
        <f>E106</f>
        <v>2787</v>
      </c>
      <c r="F13" s="613">
        <f>E13/#REF!*100</f>
      </c>
      <c r="G13" s="67">
        <v>30625</v>
      </c>
      <c r="H13" s="352">
        <f>H106</f>
        <v>25213</v>
      </c>
      <c r="I13" s="613">
        <f>H13/#REF!*100</f>
      </c>
      <c r="J13" s="272">
        <f>J106</f>
        <v>2897</v>
      </c>
      <c r="K13" s="272">
        <f>K106</f>
        <v>29727</v>
      </c>
      <c r="L13" s="610">
        <f>H13-K13</f>
        <v>-4514</v>
      </c>
      <c r="M13" s="402"/>
      <c r="N13" s="521"/>
      <c r="O13" s="521"/>
      <c r="P13" s="521"/>
      <c r="Q13" s="521"/>
      <c r="R13" s="521"/>
      <c r="S13" s="521"/>
      <c r="T13" s="521"/>
      <c r="U13" s="521"/>
    </row>
    <row customHeight="1" ht="14.25">
      <c r="A14" s="586"/>
      <c r="B14" s="611" t="s">
        <v>27</v>
      </c>
      <c r="C14" s="607" t="s">
        <v>19</v>
      </c>
      <c r="D14" s="67"/>
      <c r="E14" s="352"/>
      <c r="F14" s="613"/>
      <c r="G14" s="67"/>
      <c r="H14" s="352"/>
      <c r="I14" s="613"/>
      <c r="J14" s="272"/>
      <c r="K14" s="272"/>
      <c r="L14" s="610">
        <f>H14-K14</f>
        <v>0</v>
      </c>
      <c r="M14" s="402"/>
      <c r="N14" s="521"/>
      <c r="O14" s="521"/>
      <c r="P14" s="521"/>
      <c r="Q14" s="521"/>
      <c r="R14" s="521"/>
      <c r="S14" s="521"/>
      <c r="T14" s="521"/>
      <c r="U14" s="521"/>
    </row>
    <row customHeight="1" ht="14.25">
      <c r="A15" s="586"/>
      <c r="B15" s="611" t="s">
        <v>28</v>
      </c>
      <c r="C15" s="607" t="s">
        <v>19</v>
      </c>
      <c r="D15" s="67"/>
      <c r="E15" s="352"/>
      <c r="F15" s="613"/>
      <c r="G15" s="67"/>
      <c r="H15" s="352"/>
      <c r="I15" s="613"/>
      <c r="J15" s="272"/>
      <c r="K15" s="272"/>
      <c r="L15" s="610"/>
      <c r="M15" s="402"/>
      <c r="N15" s="521"/>
      <c r="O15" s="521"/>
      <c r="P15" s="521"/>
      <c r="Q15" s="521"/>
      <c r="R15" s="521"/>
      <c r="S15" s="521"/>
      <c r="T15" s="521"/>
      <c r="U15" s="521"/>
    </row>
    <row customHeight="1" ht="14.25">
      <c r="A16" s="586"/>
      <c r="B16" s="611" t="s">
        <v>29</v>
      </c>
      <c r="C16" s="607" t="s">
        <v>19</v>
      </c>
      <c r="D16" s="67"/>
      <c r="E16" s="352">
        <f>E96</f>
        <v>488629</v>
      </c>
      <c r="F16" s="613"/>
      <c r="G16" s="355"/>
      <c r="H16" s="352">
        <f>H96</f>
        <v>5829379</v>
      </c>
      <c r="I16" s="613"/>
      <c r="J16" s="272">
        <f>J96</f>
        <v>466526</v>
      </c>
      <c r="K16" s="272">
        <f>K96</f>
        <v>5775191</v>
      </c>
      <c r="L16" s="610"/>
      <c r="M16" s="402"/>
      <c r="N16" s="521"/>
      <c r="O16" s="521"/>
      <c r="P16" s="521"/>
      <c r="Q16" s="521"/>
      <c r="R16" s="521"/>
      <c r="S16" s="521"/>
      <c r="T16" s="521"/>
      <c r="U16" s="521"/>
    </row>
    <row customHeight="1" ht="14.25">
      <c r="A17" s="586"/>
      <c r="B17" s="611" t="s">
        <v>130</v>
      </c>
      <c r="C17" s="607" t="s">
        <v>19</v>
      </c>
      <c r="D17" s="72">
        <v>525000</v>
      </c>
      <c r="E17" s="356">
        <f>E7</f>
        <v>488629</v>
      </c>
      <c r="F17" s="620">
        <f>E17/#REF!*100</f>
      </c>
      <c r="G17" s="72">
        <v>6300000</v>
      </c>
      <c r="H17" s="356">
        <f>H7</f>
        <v>5829379</v>
      </c>
      <c r="I17" s="620">
        <f>H17/#REF!*100</f>
      </c>
      <c r="J17" s="273">
        <f>J16</f>
        <v>466526</v>
      </c>
      <c r="K17" s="273">
        <f>K16</f>
        <v>5775191</v>
      </c>
      <c r="L17" s="622">
        <f>H17-K17</f>
        <v>54188</v>
      </c>
      <c r="M17" s="402"/>
      <c r="N17" s="521"/>
      <c r="O17" s="521"/>
      <c r="P17" s="521"/>
      <c r="Q17" s="521"/>
      <c r="R17" s="521"/>
      <c r="S17" s="521"/>
      <c r="T17" s="521"/>
      <c r="U17" s="521"/>
    </row>
    <row customHeight="1" ht="14.25">
      <c r="A18" s="586"/>
      <c r="B18" s="623" t="s">
        <v>131</v>
      </c>
      <c r="C18" s="624" t="s">
        <v>19</v>
      </c>
      <c r="D18" s="357"/>
      <c r="E18" s="358"/>
      <c r="F18" s="627"/>
      <c r="G18" s="317"/>
      <c r="H18" s="358">
        <f>H223</f>
        <v>0</v>
      </c>
      <c r="I18" s="627"/>
      <c r="J18" s="78">
        <f>J223</f>
        <v>0</v>
      </c>
      <c r="K18" s="78">
        <f>K223</f>
        <v>0</v>
      </c>
      <c r="L18" s="630"/>
      <c r="M18" s="402"/>
      <c r="N18" s="521"/>
      <c r="O18" s="521"/>
      <c r="P18" s="521"/>
      <c r="Q18" s="521"/>
      <c r="R18" s="521"/>
      <c r="S18" s="521"/>
      <c r="T18" s="521"/>
      <c r="U18" s="521"/>
    </row>
    <row customHeight="1" ht="14.25">
      <c r="A19" s="586"/>
      <c r="B19" s="611" t="s">
        <v>32</v>
      </c>
      <c r="C19" s="607" t="s">
        <v>19</v>
      </c>
      <c r="D19" s="268"/>
      <c r="E19" s="350">
        <f>_xlfn.IFERROR(E108,"")</f>
        <v>252896</v>
      </c>
      <c r="F19" s="631"/>
      <c r="G19" s="355"/>
      <c r="H19" s="350">
        <f>_xlfn.IFERROR(H108,"")</f>
        <v>2967443</v>
      </c>
      <c r="I19" s="631"/>
      <c r="J19" s="276">
        <f>_xlfn.IFERROR(J108,"")</f>
        <v>261377</v>
      </c>
      <c r="K19" s="276">
        <f>_xlfn.IFERROR(K108,"")</f>
        <v>2949656</v>
      </c>
      <c r="L19" s="633">
        <f>H19-K19</f>
        <v>17787</v>
      </c>
      <c r="M19" s="402"/>
      <c r="N19" s="521"/>
      <c r="O19" s="521"/>
      <c r="P19" s="521"/>
      <c r="Q19" s="521"/>
      <c r="R19" s="521"/>
      <c r="S19" s="521"/>
      <c r="T19" s="521"/>
      <c r="U19" s="521"/>
    </row>
    <row customHeight="1" ht="14.25">
      <c r="A20" s="586"/>
      <c r="B20" s="611" t="s">
        <v>132</v>
      </c>
      <c r="C20" s="607" t="s">
        <v>19</v>
      </c>
      <c r="D20" s="67">
        <v>260000</v>
      </c>
      <c r="E20" s="352">
        <f>_xlfn.IFERROR(E110,"")</f>
        <v>251400</v>
      </c>
      <c r="F20" s="613">
        <f>E20/#REF!*100</f>
      </c>
      <c r="G20" s="67">
        <v>3080000</v>
      </c>
      <c r="H20" s="352">
        <f>_xlfn.IFERROR(H110,"")</f>
        <v>2974069</v>
      </c>
      <c r="I20" s="613">
        <f>H20/#REF!*100</f>
      </c>
      <c r="J20" s="272">
        <f>_xlfn.IFERROR(J110,"")</f>
        <v>260435</v>
      </c>
      <c r="K20" s="272">
        <f>_xlfn.IFERROR(K110,"")</f>
        <v>2936284</v>
      </c>
      <c r="L20" s="610">
        <f>H20-K20</f>
        <v>37785</v>
      </c>
      <c r="M20" s="402"/>
      <c r="N20" s="521"/>
      <c r="O20" s="521"/>
      <c r="P20" s="521"/>
      <c r="Q20" s="521"/>
      <c r="R20" s="521"/>
      <c r="S20" s="521"/>
      <c r="T20" s="521"/>
      <c r="U20" s="521"/>
    </row>
    <row customHeight="1" ht="14.25">
      <c r="A21" s="586"/>
      <c r="B21" s="611" t="s">
        <v>34</v>
      </c>
      <c r="C21" s="607" t="s">
        <v>19</v>
      </c>
      <c r="D21" s="67"/>
      <c r="E21" s="352"/>
      <c r="F21" s="613"/>
      <c r="G21" s="67"/>
      <c r="H21" s="352"/>
      <c r="I21" s="613"/>
      <c r="J21" s="272"/>
      <c r="K21" s="272"/>
      <c r="L21" s="610"/>
      <c r="M21" s="402"/>
      <c r="N21" s="521"/>
      <c r="O21" s="521"/>
      <c r="P21" s="521"/>
      <c r="Q21" s="521"/>
      <c r="R21" s="521"/>
      <c r="S21" s="521"/>
      <c r="T21" s="521"/>
      <c r="U21" s="521"/>
    </row>
    <row customHeight="1" ht="14.25">
      <c r="A22" s="586"/>
      <c r="B22" s="611" t="s">
        <v>35</v>
      </c>
      <c r="C22" s="607" t="s">
        <v>19</v>
      </c>
      <c r="D22" s="67"/>
      <c r="E22" s="352"/>
      <c r="F22" s="613"/>
      <c r="G22" s="67"/>
      <c r="H22" s="352"/>
      <c r="I22" s="613"/>
      <c r="J22" s="272"/>
      <c r="K22" s="272"/>
      <c r="L22" s="610"/>
      <c r="M22" s="402"/>
      <c r="N22" s="521"/>
      <c r="O22" s="521"/>
      <c r="P22" s="521"/>
      <c r="Q22" s="521"/>
      <c r="R22" s="521"/>
      <c r="S22" s="521"/>
      <c r="T22" s="521"/>
      <c r="U22" s="521"/>
    </row>
    <row customHeight="1" ht="14.25">
      <c r="A23" s="586"/>
      <c r="B23" s="611" t="s">
        <v>36</v>
      </c>
      <c r="C23" s="607" t="s">
        <v>19</v>
      </c>
      <c r="D23" s="67"/>
      <c r="E23" s="352"/>
      <c r="F23" s="613"/>
      <c r="G23" s="67"/>
      <c r="H23" s="352"/>
      <c r="I23" s="613"/>
      <c r="J23" s="272"/>
      <c r="K23" s="272"/>
      <c r="L23" s="610"/>
      <c r="M23" s="402"/>
      <c r="N23" s="521"/>
      <c r="O23" s="521"/>
      <c r="P23" s="521"/>
      <c r="Q23" s="521"/>
      <c r="R23" s="521"/>
      <c r="S23" s="521"/>
      <c r="T23" s="521"/>
      <c r="U23" s="521"/>
    </row>
    <row customHeight="1" ht="14.25">
      <c r="A24" s="586"/>
      <c r="B24" s="611" t="s">
        <v>37</v>
      </c>
      <c r="C24" s="607" t="s">
        <v>19</v>
      </c>
      <c r="D24" s="67"/>
      <c r="E24" s="352"/>
      <c r="F24" s="613"/>
      <c r="G24" s="67"/>
      <c r="H24" s="352"/>
      <c r="I24" s="613"/>
      <c r="J24" s="272"/>
      <c r="K24" s="272"/>
      <c r="L24" s="610"/>
      <c r="M24" s="402"/>
      <c r="N24" s="521"/>
      <c r="O24" s="521"/>
      <c r="P24" s="521"/>
      <c r="Q24" s="521"/>
      <c r="R24" s="521"/>
      <c r="S24" s="521"/>
      <c r="T24" s="521"/>
      <c r="U24" s="521"/>
    </row>
    <row customHeight="1" ht="14.25">
      <c r="A25" s="586"/>
      <c r="B25" s="611" t="s">
        <v>38</v>
      </c>
      <c r="C25" s="607" t="s">
        <v>19</v>
      </c>
      <c r="D25" s="67"/>
      <c r="E25" s="352"/>
      <c r="F25" s="613"/>
      <c r="G25" s="67"/>
      <c r="H25" s="352"/>
      <c r="I25" s="613"/>
      <c r="J25" s="272"/>
      <c r="K25" s="272"/>
      <c r="L25" s="610"/>
      <c r="M25" s="402"/>
      <c r="N25" s="521"/>
      <c r="O25" s="521"/>
      <c r="P25" s="521"/>
      <c r="Q25" s="521"/>
      <c r="R25" s="521"/>
      <c r="S25" s="521"/>
      <c r="T25" s="521"/>
      <c r="U25" s="521"/>
    </row>
    <row customHeight="1" ht="14.25">
      <c r="A26" s="586"/>
      <c r="B26" s="611" t="s">
        <v>39</v>
      </c>
      <c r="C26" s="607" t="s">
        <v>19</v>
      </c>
      <c r="D26" s="67">
        <v>26800</v>
      </c>
      <c r="E26" s="352">
        <f>E113</f>
        <v>28307</v>
      </c>
      <c r="F26" s="613">
        <f>E26/#REF!*100</f>
      </c>
      <c r="G26" s="67">
        <v>300000</v>
      </c>
      <c r="H26" s="352">
        <f>H113</f>
        <v>303202</v>
      </c>
      <c r="I26" s="613">
        <f>H26/#REF!*100</f>
      </c>
      <c r="J26" s="272">
        <f>J113</f>
        <v>29206</v>
      </c>
      <c r="K26" s="272">
        <f>K113</f>
        <v>311265</v>
      </c>
      <c r="L26" s="610">
        <f>H26-K26</f>
        <v>-8063</v>
      </c>
      <c r="M26" s="402"/>
      <c r="N26" s="521"/>
      <c r="O26" s="521"/>
      <c r="P26" s="521"/>
      <c r="Q26" s="521"/>
      <c r="R26" s="521"/>
      <c r="S26" s="521"/>
      <c r="T26" s="521"/>
      <c r="U26" s="521"/>
    </row>
    <row customHeight="1" ht="14.25">
      <c r="A27" s="586"/>
      <c r="B27" s="611" t="s">
        <v>40</v>
      </c>
      <c r="C27" s="607" t="s">
        <v>19</v>
      </c>
      <c r="D27" s="67"/>
      <c r="E27" s="352">
        <f>E115</f>
        <v>29036</v>
      </c>
      <c r="F27" s="613"/>
      <c r="G27" s="67">
        <v>157422</v>
      </c>
      <c r="H27" s="352">
        <f>H115</f>
        <v>193268</v>
      </c>
      <c r="I27" s="613"/>
      <c r="J27" s="363">
        <f>J115</f>
        <v>8195</v>
      </c>
      <c r="K27" s="363">
        <f>K115</f>
        <v>238896</v>
      </c>
      <c r="L27" s="610"/>
      <c r="M27" s="402"/>
      <c r="N27" s="521"/>
      <c r="O27" s="521"/>
      <c r="P27" s="521"/>
      <c r="Q27" s="521"/>
      <c r="R27" s="521"/>
      <c r="S27" s="521"/>
      <c r="T27" s="521"/>
      <c r="U27" s="521"/>
    </row>
    <row customHeight="1" ht="14.25">
      <c r="A28" s="586"/>
      <c r="B28" s="611" t="s">
        <v>41</v>
      </c>
      <c r="C28" s="607" t="s">
        <v>19</v>
      </c>
      <c r="D28" s="67"/>
      <c r="E28" s="352"/>
      <c r="F28" s="613"/>
      <c r="G28" s="67"/>
      <c r="H28" s="352"/>
      <c r="I28" s="613"/>
      <c r="J28" s="272"/>
      <c r="K28" s="272"/>
      <c r="L28" s="610"/>
      <c r="M28" s="402"/>
      <c r="N28" s="521"/>
      <c r="O28" s="521"/>
      <c r="P28" s="521"/>
      <c r="Q28" s="521"/>
      <c r="R28" s="521"/>
      <c r="S28" s="521"/>
      <c r="T28" s="521"/>
      <c r="U28" s="521"/>
    </row>
    <row customHeight="1" ht="14.25">
      <c r="A29" s="586"/>
      <c r="B29" s="611" t="s">
        <v>42</v>
      </c>
      <c r="C29" s="607" t="s">
        <v>19</v>
      </c>
      <c r="D29" s="67"/>
      <c r="E29" s="352"/>
      <c r="F29" s="613"/>
      <c r="G29" s="67"/>
      <c r="H29" s="352"/>
      <c r="I29" s="613"/>
      <c r="J29" s="272"/>
      <c r="K29" s="272"/>
      <c r="L29" s="610"/>
      <c r="M29" s="402"/>
      <c r="N29" s="521"/>
      <c r="O29" s="521"/>
      <c r="P29" s="521"/>
      <c r="Q29" s="521"/>
      <c r="R29" s="521"/>
      <c r="S29" s="521"/>
      <c r="T29" s="521"/>
      <c r="U29" s="521"/>
    </row>
    <row customHeight="1" ht="14.25">
      <c r="A30" s="586"/>
      <c r="B30" s="606" t="s">
        <v>43</v>
      </c>
      <c r="C30" s="607"/>
      <c r="D30" s="67"/>
      <c r="E30" s="352"/>
      <c r="F30" s="613"/>
      <c r="G30" s="67"/>
      <c r="H30" s="352"/>
      <c r="I30" s="613"/>
      <c r="J30" s="272"/>
      <c r="K30" s="272"/>
      <c r="L30" s="610"/>
      <c r="M30" s="402"/>
      <c r="N30" s="521"/>
      <c r="O30" s="521"/>
      <c r="P30" s="521"/>
      <c r="Q30" s="521"/>
      <c r="R30" s="521"/>
      <c r="S30" s="521"/>
      <c r="T30" s="521"/>
      <c r="U30" s="521"/>
    </row>
    <row customHeight="1" ht="14.25">
      <c r="A31" s="586"/>
      <c r="B31" s="634" t="s">
        <v>44</v>
      </c>
      <c r="C31" s="607" t="s">
        <v>19</v>
      </c>
      <c r="D31" s="67">
        <v>253000</v>
      </c>
      <c r="E31" s="359">
        <f>E32+E33+E34</f>
        <v>239897</v>
      </c>
      <c r="F31" s="613">
        <f>E31/#REF!*100</f>
      </c>
      <c r="G31" s="67">
        <v>2656714</v>
      </c>
      <c r="H31" s="359">
        <f>H32+H33+H34</f>
        <v>2874458</v>
      </c>
      <c r="I31" s="613">
        <f>H31/#REF!*100</f>
      </c>
      <c r="J31" s="277">
        <f>J32+J33+J34</f>
        <v>252437</v>
      </c>
      <c r="K31" s="277">
        <f>K32+K33+K34</f>
        <v>2814746</v>
      </c>
      <c r="L31" s="610">
        <f>H31-K31</f>
        <v>59712</v>
      </c>
      <c r="M31" s="402"/>
      <c r="N31" s="521"/>
      <c r="O31" s="521"/>
      <c r="P31" s="521"/>
      <c r="Q31" s="521"/>
      <c r="R31" s="521"/>
      <c r="S31" s="521"/>
      <c r="T31" s="521"/>
      <c r="U31" s="521"/>
    </row>
    <row customHeight="1" ht="14.25">
      <c r="A32" s="586"/>
      <c r="B32" s="611" t="s">
        <v>45</v>
      </c>
      <c r="C32" s="607" t="s">
        <v>19</v>
      </c>
      <c r="D32" s="67"/>
      <c r="E32" s="352">
        <f>E118</f>
        <v>135789</v>
      </c>
      <c r="F32" s="613">
        <f>E32/#REF!*100</f>
      </c>
      <c r="G32" s="67">
        <v>1770198</v>
      </c>
      <c r="H32" s="352">
        <f>H118</f>
        <v>1660222</v>
      </c>
      <c r="I32" s="613">
        <f>H32/#REF!*100</f>
      </c>
      <c r="J32" s="272">
        <f>J118</f>
        <v>152029</v>
      </c>
      <c r="K32" s="272">
        <f>K118</f>
        <v>1766975</v>
      </c>
      <c r="L32" s="610">
        <f>H32-K32</f>
        <v>-106753</v>
      </c>
      <c r="M32" s="402"/>
      <c r="N32" s="521"/>
      <c r="O32" s="521"/>
      <c r="P32" s="521"/>
      <c r="Q32" s="521"/>
      <c r="R32" s="521"/>
      <c r="S32" s="521"/>
      <c r="T32" s="521"/>
      <c r="U32" s="521"/>
    </row>
    <row customHeight="1" ht="14.25">
      <c r="A33" s="586"/>
      <c r="B33" s="634" t="s">
        <v>46</v>
      </c>
      <c r="C33" s="607" t="s">
        <v>19</v>
      </c>
      <c r="D33" s="67"/>
      <c r="E33" s="352">
        <f>E119</f>
        <v>104108</v>
      </c>
      <c r="F33" s="613">
        <f>E33/#REF!*100</f>
      </c>
      <c r="G33" s="67">
        <v>864200</v>
      </c>
      <c r="H33" s="352">
        <f>H119</f>
        <v>1191274</v>
      </c>
      <c r="I33" s="613">
        <f>H33/#REF!*100</f>
      </c>
      <c r="J33" s="272">
        <f>J119</f>
        <v>98185</v>
      </c>
      <c r="K33" s="272">
        <f>K119</f>
        <v>1026709</v>
      </c>
      <c r="L33" s="610">
        <f>H33-K33</f>
        <v>164565</v>
      </c>
      <c r="M33" s="402"/>
      <c r="N33" s="521"/>
      <c r="O33" s="521"/>
      <c r="P33" s="521"/>
      <c r="Q33" s="521"/>
      <c r="R33" s="521"/>
      <c r="S33" s="521"/>
      <c r="T33" s="521"/>
      <c r="U33" s="521"/>
    </row>
    <row customHeight="1" ht="14.25">
      <c r="A34" s="586"/>
      <c r="B34" s="634" t="s">
        <v>47</v>
      </c>
      <c r="C34" s="607" t="s">
        <v>19</v>
      </c>
      <c r="D34" s="67"/>
      <c r="E34" s="352">
        <f>E117</f>
        <v>0</v>
      </c>
      <c r="F34" s="613"/>
      <c r="G34" s="67"/>
      <c r="H34" s="352">
        <f>H117</f>
        <v>22962</v>
      </c>
      <c r="I34" s="613"/>
      <c r="J34" s="272">
        <f>J117</f>
        <v>2223</v>
      </c>
      <c r="K34" s="272">
        <f>K117</f>
        <v>21062</v>
      </c>
      <c r="L34" s="610">
        <f>H34-K34</f>
        <v>1900</v>
      </c>
      <c r="M34" s="402"/>
      <c r="N34" s="521"/>
      <c r="O34" s="521"/>
      <c r="P34" s="521"/>
      <c r="Q34" s="521"/>
      <c r="R34" s="521"/>
      <c r="S34" s="521"/>
      <c r="T34" s="521"/>
      <c r="U34" s="521"/>
    </row>
    <row customHeight="1" ht="14.25">
      <c r="A35" s="586"/>
      <c r="B35" s="611" t="s">
        <v>48</v>
      </c>
      <c r="C35" s="607" t="s">
        <v>19</v>
      </c>
      <c r="D35" s="67">
        <v>200000</v>
      </c>
      <c r="E35" s="360">
        <f>E36+E37+E38+E39+E40</f>
        <v>194670</v>
      </c>
      <c r="F35" s="613">
        <f>E35/#REF!*100</f>
      </c>
      <c r="G35" s="67">
        <v>2577462</v>
      </c>
      <c r="H35" s="360">
        <f>H36+H37+H38+H39+H40</f>
        <v>2388739</v>
      </c>
      <c r="I35" s="613">
        <f>H35/#REF!*100</f>
      </c>
      <c r="J35" s="272">
        <f>J36+J37+J38+J39+J40</f>
        <v>158779</v>
      </c>
      <c r="K35" s="124">
        <f>K36+K37+K38+K39+K40</f>
        <v>2366904</v>
      </c>
      <c r="L35" s="610">
        <f>H35-K35</f>
        <v>21835</v>
      </c>
      <c r="M35" s="402"/>
      <c r="N35" s="521"/>
      <c r="O35" s="521"/>
      <c r="P35" s="521"/>
      <c r="Q35" s="521"/>
      <c r="R35" s="521"/>
      <c r="S35" s="521"/>
      <c r="T35" s="521"/>
      <c r="U35" s="521"/>
    </row>
    <row customHeight="1" ht="14.25">
      <c r="A36" s="586"/>
      <c r="B36" s="639" t="s">
        <v>49</v>
      </c>
      <c r="C36" s="607" t="s">
        <v>19</v>
      </c>
      <c r="D36" s="67"/>
      <c r="E36" s="352"/>
      <c r="F36" s="613"/>
      <c r="G36" s="67"/>
      <c r="H36" s="352"/>
      <c r="I36" s="613"/>
      <c r="J36" s="272"/>
      <c r="K36" s="272"/>
      <c r="L36" s="610">
        <f>H36-K36</f>
        <v>0</v>
      </c>
      <c r="M36" s="402"/>
      <c r="N36" s="521"/>
      <c r="O36" s="521"/>
      <c r="P36" s="521"/>
      <c r="Q36" s="521"/>
      <c r="R36" s="521"/>
      <c r="S36" s="521"/>
      <c r="T36" s="521"/>
      <c r="U36" s="521"/>
    </row>
    <row customHeight="1" ht="14.25">
      <c r="A37" s="586"/>
      <c r="B37" s="611" t="s">
        <v>50</v>
      </c>
      <c r="C37" s="607" t="s">
        <v>19</v>
      </c>
      <c r="D37" s="67"/>
      <c r="E37" s="352">
        <f>E121</f>
        <v>194670</v>
      </c>
      <c r="F37" s="613"/>
      <c r="G37" s="67"/>
      <c r="H37" s="352">
        <f>H121</f>
        <v>2388739</v>
      </c>
      <c r="I37" s="613"/>
      <c r="J37" s="272">
        <f>SUM(J121:J122)</f>
        <v>158779</v>
      </c>
      <c r="K37" s="272">
        <f>SUM(K121:K122)</f>
        <v>2366904</v>
      </c>
      <c r="L37" s="610">
        <f>H37-K37</f>
        <v>21835</v>
      </c>
      <c r="M37" s="402"/>
      <c r="N37" s="521"/>
      <c r="O37" s="521"/>
      <c r="P37" s="521"/>
      <c r="Q37" s="521"/>
      <c r="R37" s="521"/>
      <c r="S37" s="521"/>
      <c r="T37" s="521"/>
      <c r="U37" s="521"/>
    </row>
    <row customHeight="1" ht="14.25">
      <c r="A38" s="586"/>
      <c r="B38" s="611" t="s">
        <v>51</v>
      </c>
      <c r="C38" s="607" t="s">
        <v>19</v>
      </c>
      <c r="D38" s="67"/>
      <c r="E38" s="352">
        <f>E123</f>
        <v>0</v>
      </c>
      <c r="F38" s="613"/>
      <c r="G38" s="67"/>
      <c r="H38" s="352">
        <f>H123</f>
        <v>0</v>
      </c>
      <c r="I38" s="613"/>
      <c r="J38" s="272">
        <f>J123</f>
        <v>0</v>
      </c>
      <c r="K38" s="272">
        <f>K123</f>
        <v>0</v>
      </c>
      <c r="L38" s="610">
        <f>H38-K38</f>
        <v>0</v>
      </c>
      <c r="M38" s="402"/>
      <c r="N38" s="521"/>
      <c r="O38" s="521"/>
      <c r="P38" s="521"/>
      <c r="Q38" s="521"/>
      <c r="R38" s="521"/>
      <c r="S38" s="521"/>
      <c r="T38" s="521"/>
      <c r="U38" s="521"/>
    </row>
    <row customHeight="1" ht="14.25">
      <c r="A39" s="586"/>
      <c r="B39" s="611" t="s">
        <v>52</v>
      </c>
      <c r="C39" s="607" t="s">
        <v>19</v>
      </c>
      <c r="D39" s="67"/>
      <c r="E39" s="360"/>
      <c r="F39" s="613"/>
      <c r="G39" s="67"/>
      <c r="H39" s="360"/>
      <c r="I39" s="613"/>
      <c r="J39" s="124"/>
      <c r="K39" s="124"/>
      <c r="L39" s="610"/>
      <c r="M39" s="402"/>
      <c r="N39" s="521"/>
      <c r="O39" s="521"/>
      <c r="P39" s="521"/>
      <c r="Q39" s="521"/>
      <c r="R39" s="521"/>
      <c r="S39" s="521"/>
      <c r="T39" s="521"/>
      <c r="U39" s="521"/>
    </row>
    <row customHeight="1" ht="14.25">
      <c r="A40" s="586"/>
      <c r="B40" s="611" t="s">
        <v>53</v>
      </c>
      <c r="C40" s="607" t="s">
        <v>19</v>
      </c>
      <c r="D40" s="67"/>
      <c r="E40" s="361"/>
      <c r="F40" s="613"/>
      <c r="G40" s="67"/>
      <c r="H40" s="361"/>
      <c r="I40" s="641"/>
      <c r="J40" s="279"/>
      <c r="K40" s="279"/>
      <c r="L40" s="643"/>
      <c r="M40" s="402"/>
      <c r="N40" s="521"/>
      <c r="O40" s="521"/>
      <c r="P40" s="521"/>
      <c r="Q40" s="521"/>
      <c r="R40" s="521"/>
      <c r="S40" s="521"/>
      <c r="T40" s="521"/>
      <c r="U40" s="521"/>
    </row>
    <row customHeight="1" ht="14.25">
      <c r="A41" s="586"/>
      <c r="B41" s="611" t="s">
        <v>54</v>
      </c>
      <c r="C41" s="607" t="s">
        <v>19</v>
      </c>
      <c r="D41" s="67"/>
      <c r="E41" s="352">
        <f>E125</f>
        <v>10092</v>
      </c>
      <c r="F41" s="613"/>
      <c r="G41" s="67">
        <v>150000</v>
      </c>
      <c r="H41" s="352">
        <f>H125</f>
        <v>102470</v>
      </c>
      <c r="I41" s="613">
        <f>H41/#REF!*100</f>
      </c>
      <c r="J41" s="272">
        <f>J125</f>
        <v>4948</v>
      </c>
      <c r="K41" s="272">
        <f>K125</f>
        <v>70434</v>
      </c>
      <c r="L41" s="610"/>
      <c r="M41" s="402"/>
      <c r="N41" s="521"/>
      <c r="O41" s="521"/>
      <c r="P41" s="521"/>
      <c r="Q41" s="521"/>
      <c r="R41" s="521"/>
      <c r="S41" s="521"/>
      <c r="T41" s="521"/>
      <c r="U41" s="521"/>
    </row>
    <row customHeight="1" ht="14.25">
      <c r="A42" s="586"/>
      <c r="B42" s="611" t="s">
        <v>55</v>
      </c>
      <c r="C42" s="607" t="s">
        <v>19</v>
      </c>
      <c r="D42" s="67">
        <f>_xlfn.IFERROR(D43+D44+D45,"")</f>
        <v>1800</v>
      </c>
      <c r="E42" s="352">
        <f>E45</f>
        <v>2774.68</v>
      </c>
      <c r="F42" s="613">
        <f>E42/#REF!*100</f>
      </c>
      <c r="G42" s="72">
        <v>30800</v>
      </c>
      <c r="H42" s="352">
        <f>H45</f>
        <v>24882.5</v>
      </c>
      <c r="I42" s="613">
        <f>H42/#REF!*100</f>
      </c>
      <c r="J42" s="272">
        <f>J45</f>
        <v>2189.14</v>
      </c>
      <c r="K42" s="272">
        <f>K45</f>
        <v>25635.58</v>
      </c>
      <c r="L42" s="610">
        <f>H42-K42</f>
        <v>-753.080000000002</v>
      </c>
      <c r="M42" s="402"/>
      <c r="N42" s="521"/>
      <c r="O42" s="521"/>
      <c r="P42" s="521"/>
      <c r="Q42" s="521"/>
      <c r="R42" s="521"/>
      <c r="S42" s="521"/>
      <c r="T42" s="521"/>
      <c r="U42" s="521"/>
    </row>
    <row customHeight="1" ht="14.25">
      <c r="A43" s="586"/>
      <c r="B43" s="611" t="s">
        <v>56</v>
      </c>
      <c r="C43" s="607" t="s">
        <v>19</v>
      </c>
      <c r="D43" s="67"/>
      <c r="E43" s="352"/>
      <c r="F43" s="644"/>
      <c r="G43" s="88"/>
      <c r="H43" s="362"/>
      <c r="I43" s="613"/>
      <c r="J43" s="272"/>
      <c r="K43" s="272"/>
      <c r="L43" s="610"/>
      <c r="M43" s="402"/>
      <c r="N43" s="521"/>
      <c r="O43" s="521"/>
      <c r="P43" s="521"/>
      <c r="Q43" s="521"/>
      <c r="R43" s="521"/>
      <c r="S43" s="521"/>
      <c r="T43" s="521"/>
      <c r="U43" s="521"/>
    </row>
    <row customHeight="1" ht="14.25">
      <c r="A44" s="586"/>
      <c r="B44" s="611" t="s">
        <v>57</v>
      </c>
      <c r="C44" s="607" t="s">
        <v>19</v>
      </c>
      <c r="D44" s="67"/>
      <c r="E44" s="352"/>
      <c r="F44" s="644"/>
      <c r="G44" s="88"/>
      <c r="H44" s="362"/>
      <c r="I44" s="613"/>
      <c r="J44" s="272"/>
      <c r="K44" s="272"/>
      <c r="L44" s="610"/>
      <c r="M44" s="402"/>
      <c r="N44" s="521"/>
      <c r="O44" s="521"/>
      <c r="P44" s="521"/>
      <c r="Q44" s="521"/>
      <c r="R44" s="521"/>
      <c r="S44" s="521"/>
      <c r="T44" s="521"/>
      <c r="U44" s="521"/>
    </row>
    <row customHeight="1" ht="14.25">
      <c r="A45" s="586"/>
      <c r="B45" s="611" t="s">
        <v>58</v>
      </c>
      <c r="C45" s="607" t="s">
        <v>19</v>
      </c>
      <c r="D45" s="67">
        <v>1800</v>
      </c>
      <c r="E45" s="352">
        <f>E127</f>
        <v>2774.68</v>
      </c>
      <c r="F45" s="644">
        <f>E45/#REF!*100</f>
      </c>
      <c r="G45" s="88">
        <v>30800</v>
      </c>
      <c r="H45" s="362">
        <f>H127</f>
        <v>24882.5</v>
      </c>
      <c r="I45" s="613">
        <f>H45/#REF!*100</f>
      </c>
      <c r="J45" s="272">
        <f>J127</f>
        <v>2189.14</v>
      </c>
      <c r="K45" s="272">
        <f>K127</f>
        <v>25635.58</v>
      </c>
      <c r="L45" s="610">
        <f>H45-K45</f>
        <v>-753.080000000002</v>
      </c>
      <c r="M45" s="402"/>
      <c r="N45" s="521"/>
      <c r="O45" s="521"/>
      <c r="P45" s="521"/>
      <c r="Q45" s="521"/>
      <c r="R45" s="521"/>
      <c r="S45" s="521"/>
      <c r="T45" s="521"/>
      <c r="U45" s="521"/>
    </row>
    <row customHeight="1" ht="14.25">
      <c r="A46" s="586"/>
      <c r="B46" s="611" t="s">
        <v>59</v>
      </c>
      <c r="C46" s="607" t="s">
        <v>19</v>
      </c>
      <c r="D46" s="67">
        <f>_xlfn.IFERROR(D47+D48+D49+D50,"")</f>
        <v>0</v>
      </c>
      <c r="E46" s="352">
        <f>E47+E48+E49+E50</f>
        <v>20470.62</v>
      </c>
      <c r="F46" s="613">
        <f>E46/#REF!*100</f>
      </c>
      <c r="G46" s="268"/>
      <c r="H46" s="352">
        <f>H47+H48+H49+H50</f>
        <v>261850.7</v>
      </c>
      <c r="I46" s="613">
        <f>H46/#REF!*100</f>
      </c>
      <c r="J46" s="352">
        <f>J47+J48+J49+J50</f>
        <v>21479.18</v>
      </c>
      <c r="K46" s="352">
        <f>K47+K48+K49+K50</f>
        <v>256014.84</v>
      </c>
      <c r="L46" s="610">
        <f>H46-K46</f>
        <v>5835.86000000002</v>
      </c>
      <c r="M46" s="402"/>
      <c r="N46" s="521"/>
      <c r="O46" s="521"/>
      <c r="P46" s="521"/>
      <c r="Q46" s="521"/>
      <c r="R46" s="521"/>
      <c r="S46" s="521"/>
      <c r="T46" s="521"/>
      <c r="U46" s="521"/>
    </row>
    <row customHeight="1" ht="14.25">
      <c r="A47" s="586"/>
      <c r="B47" s="611" t="s">
        <v>60</v>
      </c>
      <c r="C47" s="607" t="s">
        <v>19</v>
      </c>
      <c r="D47" s="67"/>
      <c r="E47" s="352"/>
      <c r="F47" s="613"/>
      <c r="G47" s="67">
        <v>53323</v>
      </c>
      <c r="H47" s="352"/>
      <c r="I47" s="613"/>
      <c r="J47" s="364">
        <v>0</v>
      </c>
      <c r="K47" s="364">
        <v>0</v>
      </c>
      <c r="L47" s="610">
        <f>H47-K48</f>
        <v>-96150.36</v>
      </c>
      <c r="M47" s="402"/>
      <c r="N47" s="521"/>
      <c r="O47" s="521"/>
      <c r="P47" s="521"/>
      <c r="Q47" s="521"/>
      <c r="R47" s="521"/>
      <c r="S47" s="521"/>
      <c r="T47" s="521"/>
      <c r="U47" s="521"/>
    </row>
    <row customHeight="1" ht="14.25">
      <c r="A48" s="586"/>
      <c r="B48" s="611" t="s">
        <v>61</v>
      </c>
      <c r="C48" s="607" t="s">
        <v>19</v>
      </c>
      <c r="D48" s="67"/>
      <c r="E48" s="352">
        <f>E129</f>
        <v>5234.98</v>
      </c>
      <c r="F48" s="613"/>
      <c r="G48" s="67"/>
      <c r="H48" s="352">
        <f>H129</f>
        <v>89114.86</v>
      </c>
      <c r="I48" s="613"/>
      <c r="J48" s="272">
        <f>J129</f>
        <v>8826.36</v>
      </c>
      <c r="K48" s="272">
        <f>K129</f>
        <v>96150.36</v>
      </c>
      <c r="L48" s="610">
        <f>H48-K49</f>
        <v>-70749.62</v>
      </c>
      <c r="M48" s="402"/>
      <c r="N48" s="521"/>
      <c r="O48" s="521"/>
      <c r="P48" s="521"/>
      <c r="Q48" s="521"/>
      <c r="R48" s="521"/>
      <c r="S48" s="521"/>
      <c r="T48" s="521"/>
      <c r="U48" s="521"/>
    </row>
    <row customHeight="1" ht="14.25">
      <c r="A49" s="586"/>
      <c r="B49" s="611" t="s">
        <v>62</v>
      </c>
      <c r="C49" s="607" t="s">
        <v>19</v>
      </c>
      <c r="D49" s="67"/>
      <c r="E49" s="352">
        <f>E131</f>
        <v>15235.64</v>
      </c>
      <c r="F49" s="613"/>
      <c r="G49" s="67">
        <v>152660</v>
      </c>
      <c r="H49" s="352">
        <f>H131</f>
        <v>172735.84</v>
      </c>
      <c r="I49" s="613"/>
      <c r="J49" s="272">
        <f>J131</f>
        <v>12652.82</v>
      </c>
      <c r="K49" s="272">
        <f>K131</f>
        <v>159864.48</v>
      </c>
      <c r="L49" s="610">
        <f>H49-#REF!</f>
      </c>
      <c r="M49" s="402"/>
      <c r="N49" s="521"/>
      <c r="O49" s="521"/>
      <c r="P49" s="521"/>
      <c r="Q49" s="521"/>
      <c r="R49" s="521"/>
      <c r="S49" s="521"/>
      <c r="T49" s="521"/>
      <c r="U49" s="521"/>
    </row>
    <row customHeight="1" ht="14.25">
      <c r="A50" s="586"/>
      <c r="B50" s="611" t="s">
        <v>63</v>
      </c>
      <c r="C50" s="607" t="s">
        <v>19</v>
      </c>
      <c r="D50" s="67"/>
      <c r="E50" s="352">
        <f>E133</f>
        <v>0</v>
      </c>
      <c r="F50" s="613"/>
      <c r="G50" s="67"/>
      <c r="H50" s="352">
        <f>H133</f>
        <v>0</v>
      </c>
      <c r="I50" s="613"/>
      <c r="J50" s="272">
        <f>J133</f>
        <v>0</v>
      </c>
      <c r="K50" s="272">
        <f>K133</f>
        <v>0</v>
      </c>
      <c r="L50" s="610">
        <f>H50-K50</f>
        <v>0</v>
      </c>
      <c r="M50" s="402"/>
      <c r="N50" s="521"/>
      <c r="O50" s="521"/>
      <c r="P50" s="521"/>
      <c r="Q50" s="521"/>
      <c r="R50" s="521"/>
      <c r="S50" s="521"/>
      <c r="T50" s="521"/>
      <c r="U50" s="521"/>
    </row>
    <row customHeight="1" ht="14.25">
      <c r="A51" s="586"/>
      <c r="B51" s="611" t="s">
        <v>64</v>
      </c>
      <c r="C51" s="607" t="s">
        <v>19</v>
      </c>
      <c r="D51" s="67">
        <v>0</v>
      </c>
      <c r="E51" s="352">
        <f>E135</f>
        <v>0</v>
      </c>
      <c r="F51" s="613">
        <f>E51/#REF!*100</f>
      </c>
      <c r="G51" s="67">
        <v>100000</v>
      </c>
      <c r="H51" s="352">
        <f>H135</f>
        <v>0</v>
      </c>
      <c r="I51" s="613">
        <f>H51/#REF!*100</f>
      </c>
      <c r="J51" s="272">
        <f>J135</f>
        <v>0</v>
      </c>
      <c r="K51" s="272">
        <f>K135</f>
        <v>0</v>
      </c>
      <c r="L51" s="610">
        <f>H51-K51</f>
        <v>0</v>
      </c>
      <c r="M51" s="402"/>
      <c r="N51" s="521"/>
      <c r="O51" s="521"/>
      <c r="P51" s="521"/>
      <c r="Q51" s="521"/>
      <c r="R51" s="521"/>
      <c r="S51" s="521"/>
      <c r="T51" s="521"/>
      <c r="U51" s="521"/>
    </row>
    <row customHeight="1" ht="14.25">
      <c r="A52" s="586"/>
      <c r="B52" s="611" t="s">
        <v>133</v>
      </c>
      <c r="C52" s="607" t="s">
        <v>19</v>
      </c>
      <c r="D52" s="67">
        <v>2400</v>
      </c>
      <c r="E52" s="352">
        <f>E137</f>
        <v>1678</v>
      </c>
      <c r="F52" s="613">
        <f>E52/#REF!*100</f>
      </c>
      <c r="G52" s="67">
        <v>22092</v>
      </c>
      <c r="H52" s="352">
        <f>H137</f>
        <v>21283.62</v>
      </c>
      <c r="I52" s="613">
        <f>H52/#REF!*100</f>
      </c>
      <c r="J52" s="272">
        <f>J137</f>
        <v>2583.04</v>
      </c>
      <c r="K52" s="272">
        <f>K137</f>
        <v>20716.9</v>
      </c>
      <c r="L52" s="610">
        <f>H52-K52</f>
        <v>566.719999999998</v>
      </c>
      <c r="M52" s="402"/>
      <c r="N52" s="521"/>
      <c r="O52" s="521"/>
      <c r="P52" s="521"/>
      <c r="Q52" s="521"/>
      <c r="R52" s="521"/>
      <c r="S52" s="521"/>
      <c r="T52" s="521"/>
      <c r="U52" s="521"/>
    </row>
    <row customHeight="1" ht="14.25">
      <c r="A53" s="586"/>
      <c r="B53" s="611" t="s">
        <v>66</v>
      </c>
      <c r="C53" s="607" t="s">
        <v>19</v>
      </c>
      <c r="D53" s="67">
        <v>8700</v>
      </c>
      <c r="E53" s="352">
        <f>E139</f>
        <v>9078</v>
      </c>
      <c r="F53" s="613">
        <f>E53/#REF!*100</f>
      </c>
      <c r="G53" s="67">
        <v>100000</v>
      </c>
      <c r="H53" s="352">
        <f>H139</f>
        <v>94304</v>
      </c>
      <c r="I53" s="613">
        <f>H53/#REF!*100</f>
      </c>
      <c r="J53" s="272">
        <f>J139</f>
        <v>8765</v>
      </c>
      <c r="K53" s="272">
        <f>K139</f>
        <v>93538</v>
      </c>
      <c r="L53" s="610">
        <f>H53-K53</f>
        <v>766</v>
      </c>
      <c r="M53" s="402"/>
      <c r="N53" s="521"/>
      <c r="O53" s="521"/>
      <c r="P53" s="521"/>
      <c r="Q53" s="521"/>
      <c r="R53" s="521"/>
      <c r="S53" s="521"/>
      <c r="T53" s="521"/>
      <c r="U53" s="521"/>
    </row>
    <row customHeight="1" ht="14.25">
      <c r="A54" s="586"/>
      <c r="B54" s="611" t="s">
        <v>67</v>
      </c>
      <c r="C54" s="607" t="s">
        <v>19</v>
      </c>
      <c r="D54" s="67"/>
      <c r="E54" s="352">
        <f>E141</f>
        <v>4995</v>
      </c>
      <c r="F54" s="613">
        <f>E54/#REF!*100</f>
      </c>
      <c r="G54" s="67">
        <v>50000</v>
      </c>
      <c r="H54" s="352">
        <f>H141</f>
        <v>54371</v>
      </c>
      <c r="I54" s="613">
        <f>H54/#REF!*100</f>
      </c>
      <c r="J54" s="272">
        <f>J141</f>
        <v>4669</v>
      </c>
      <c r="K54" s="272">
        <f>K141</f>
        <v>49862</v>
      </c>
      <c r="L54" s="610">
        <f>H54-K54</f>
        <v>4509</v>
      </c>
      <c r="M54" s="402"/>
      <c r="N54" s="521"/>
      <c r="O54" s="521"/>
      <c r="P54" s="521"/>
      <c r="Q54" s="521"/>
      <c r="R54" s="521"/>
      <c r="S54" s="521"/>
      <c r="T54" s="521"/>
      <c r="U54" s="521"/>
    </row>
    <row customHeight="1" ht="14.25">
      <c r="A55" s="586"/>
      <c r="B55" s="611" t="s">
        <v>68</v>
      </c>
      <c r="C55" s="607" t="s">
        <v>19</v>
      </c>
      <c r="D55" s="67"/>
      <c r="E55" s="352">
        <f>E143</f>
        <v>1446.64</v>
      </c>
      <c r="F55" s="613"/>
      <c r="G55" s="67"/>
      <c r="H55" s="352">
        <f>H143</f>
        <v>7435.6</v>
      </c>
      <c r="I55" s="613"/>
      <c r="J55" s="272">
        <f>J143</f>
        <v>0</v>
      </c>
      <c r="K55" s="272">
        <f>K143</f>
        <v>2472.16</v>
      </c>
      <c r="L55" s="610">
        <f>H55-K55</f>
        <v>4963.44</v>
      </c>
      <c r="M55" s="402"/>
      <c r="N55" s="521"/>
      <c r="O55" s="521"/>
      <c r="P55" s="521"/>
      <c r="Q55" s="521"/>
      <c r="R55" s="521"/>
      <c r="S55" s="521"/>
      <c r="T55" s="521"/>
      <c r="U55" s="521"/>
    </row>
    <row customHeight="1" ht="14.25">
      <c r="A56" s="586"/>
      <c r="B56" s="611" t="s">
        <v>69</v>
      </c>
      <c r="C56" s="607" t="s">
        <v>19</v>
      </c>
      <c r="D56" s="67"/>
      <c r="E56" s="352"/>
      <c r="F56" s="613"/>
      <c r="G56" s="67"/>
      <c r="H56" s="352"/>
      <c r="I56" s="613"/>
      <c r="J56" s="272"/>
      <c r="K56" s="272"/>
      <c r="L56" s="610">
        <f>H56-K56</f>
        <v>0</v>
      </c>
      <c r="M56" s="402"/>
      <c r="N56" s="521"/>
      <c r="O56" s="521"/>
      <c r="P56" s="521"/>
      <c r="Q56" s="521"/>
      <c r="R56" s="521"/>
      <c r="S56" s="521"/>
      <c r="T56" s="521"/>
      <c r="U56" s="521"/>
    </row>
    <row customHeight="1" ht="14.25">
      <c r="A57" s="586"/>
      <c r="B57" s="611" t="s">
        <v>70</v>
      </c>
      <c r="C57" s="607" t="s">
        <v>19</v>
      </c>
      <c r="D57" s="72">
        <v>5299.5702</v>
      </c>
      <c r="E57" s="356">
        <f>E145</f>
        <v>5307</v>
      </c>
      <c r="F57" s="613">
        <f>E57/#REF!*100</f>
      </c>
      <c r="G57" s="67">
        <v>56000</v>
      </c>
      <c r="H57" s="356">
        <f>H145</f>
        <v>47549</v>
      </c>
      <c r="I57" s="613">
        <f>H57/#REF!*100</f>
      </c>
      <c r="J57" s="273">
        <f>J145</f>
        <v>5445</v>
      </c>
      <c r="K57" s="273">
        <f>K145</f>
        <v>56046</v>
      </c>
      <c r="L57" s="610">
        <f>H57-K57</f>
        <v>-8497</v>
      </c>
      <c r="M57" s="402"/>
      <c r="N57" s="521"/>
      <c r="O57" s="521"/>
      <c r="P57" s="521"/>
      <c r="Q57" s="521"/>
      <c r="R57" s="521"/>
      <c r="S57" s="521"/>
      <c r="T57" s="521"/>
      <c r="U57" s="521"/>
    </row>
    <row customHeight="1" ht="14.25">
      <c r="A58" s="586"/>
      <c r="B58" s="611" t="s">
        <v>71</v>
      </c>
      <c r="C58" s="607" t="s">
        <v>19</v>
      </c>
      <c r="D58" s="72"/>
      <c r="E58" s="356"/>
      <c r="F58" s="613"/>
      <c r="G58" s="67"/>
      <c r="H58" s="356"/>
      <c r="I58" s="613"/>
      <c r="J58" s="273"/>
      <c r="K58" s="273"/>
      <c r="L58" s="610">
        <f>H58-K58</f>
        <v>0</v>
      </c>
      <c r="M58" s="402"/>
      <c r="N58" s="521"/>
      <c r="O58" s="521"/>
      <c r="P58" s="521"/>
      <c r="Q58" s="521"/>
      <c r="R58" s="521"/>
      <c r="S58" s="521"/>
      <c r="T58" s="521"/>
      <c r="U58" s="521"/>
    </row>
    <row customHeight="1" ht="14.25">
      <c r="A59" s="586"/>
      <c r="B59" s="611" t="s">
        <v>72</v>
      </c>
      <c r="C59" s="607" t="s">
        <v>19</v>
      </c>
      <c r="D59" s="72"/>
      <c r="E59" s="356">
        <f>E147</f>
        <v>365</v>
      </c>
      <c r="F59" s="613"/>
      <c r="G59" s="67">
        <v>2500</v>
      </c>
      <c r="H59" s="356">
        <f>H147</f>
        <v>4084</v>
      </c>
      <c r="I59" s="613"/>
      <c r="J59" s="273">
        <f>J147</f>
        <v>265</v>
      </c>
      <c r="K59" s="273">
        <f>K147</f>
        <v>3319</v>
      </c>
      <c r="L59" s="610">
        <f>H59-K59</f>
        <v>765</v>
      </c>
      <c r="M59" s="402"/>
      <c r="N59" s="521"/>
      <c r="O59" s="521"/>
      <c r="P59" s="521"/>
      <c r="Q59" s="521"/>
      <c r="R59" s="521"/>
      <c r="S59" s="521"/>
      <c r="T59" s="521"/>
      <c r="U59" s="521"/>
    </row>
    <row customHeight="1" ht="14.25">
      <c r="A60" s="586"/>
      <c r="B60" s="648" t="s">
        <v>73</v>
      </c>
      <c r="C60" s="607" t="s">
        <v>19</v>
      </c>
      <c r="D60" s="72"/>
      <c r="E60" s="356">
        <f>E149</f>
        <v>4425.8</v>
      </c>
      <c r="F60" s="613"/>
      <c r="G60" s="67"/>
      <c r="H60" s="356">
        <f>H149</f>
        <v>30850.34</v>
      </c>
      <c r="I60" s="613"/>
      <c r="J60" s="273">
        <f>J149</f>
        <v>3562.42</v>
      </c>
      <c r="K60" s="273">
        <f>K149</f>
        <v>45666.9</v>
      </c>
      <c r="L60" s="610">
        <f>H60-K60</f>
        <v>-14816.56</v>
      </c>
      <c r="M60" s="402"/>
      <c r="N60" s="521"/>
      <c r="O60" s="521"/>
      <c r="P60" s="521"/>
      <c r="Q60" s="521"/>
      <c r="R60" s="521"/>
      <c r="S60" s="521"/>
      <c r="T60" s="521"/>
      <c r="U60" s="521"/>
    </row>
    <row customHeight="1" ht="14.25">
      <c r="A61" s="586"/>
      <c r="B61" s="648" t="s">
        <v>74</v>
      </c>
      <c r="C61" s="649" t="s">
        <v>19</v>
      </c>
      <c r="D61" s="72"/>
      <c r="E61" s="356">
        <f>E151</f>
        <v>0</v>
      </c>
      <c r="F61" s="613"/>
      <c r="G61" s="67"/>
      <c r="H61" s="356">
        <f>H151</f>
        <v>177.14</v>
      </c>
      <c r="I61" s="613"/>
      <c r="J61" s="273">
        <f>J151</f>
        <v>0</v>
      </c>
      <c r="K61" s="273">
        <f>K151</f>
        <v>320.64</v>
      </c>
      <c r="L61" s="610">
        <f>H61-K61</f>
        <v>-143.5</v>
      </c>
      <c r="M61" s="402"/>
      <c r="N61" s="521"/>
      <c r="O61" s="521"/>
      <c r="P61" s="521"/>
      <c r="Q61" s="521"/>
      <c r="R61" s="521"/>
      <c r="S61" s="521"/>
      <c r="T61" s="521"/>
      <c r="U61" s="521"/>
    </row>
    <row customHeight="1" ht="14.25">
      <c r="A62" s="586"/>
      <c r="B62" s="611" t="s">
        <v>75</v>
      </c>
      <c r="C62" s="607" t="s">
        <v>19</v>
      </c>
      <c r="D62" s="67"/>
      <c r="E62" s="352"/>
      <c r="F62" s="613"/>
      <c r="G62" s="67"/>
      <c r="H62" s="352"/>
      <c r="I62" s="613"/>
      <c r="J62" s="272"/>
      <c r="K62" s="272"/>
      <c r="L62" s="610"/>
      <c r="M62" s="402"/>
      <c r="N62" s="521"/>
      <c r="O62" s="521"/>
      <c r="P62" s="521"/>
      <c r="Q62" s="521"/>
      <c r="R62" s="521"/>
      <c r="S62" s="521"/>
      <c r="T62" s="521"/>
      <c r="U62" s="521"/>
    </row>
    <row customHeight="1" ht="14.25">
      <c r="A63" s="586"/>
      <c r="B63" s="611" t="s">
        <v>76</v>
      </c>
      <c r="C63" s="607" t="s">
        <v>19</v>
      </c>
      <c r="D63" s="67"/>
      <c r="E63" s="352"/>
      <c r="F63" s="613"/>
      <c r="G63" s="67"/>
      <c r="H63" s="352"/>
      <c r="I63" s="613"/>
      <c r="J63" s="272"/>
      <c r="K63" s="272"/>
      <c r="L63" s="610"/>
      <c r="M63" s="402"/>
      <c r="N63" s="521"/>
      <c r="O63" s="521"/>
      <c r="P63" s="521"/>
      <c r="Q63" s="521"/>
      <c r="R63" s="521"/>
      <c r="S63" s="521"/>
      <c r="T63" s="521"/>
      <c r="U63" s="521"/>
    </row>
    <row customHeight="1" ht="14.25">
      <c r="A64" s="586"/>
      <c r="B64" s="611" t="s">
        <v>77</v>
      </c>
      <c r="C64" s="607" t="s">
        <v>19</v>
      </c>
      <c r="D64" s="67">
        <v>3300</v>
      </c>
      <c r="E64" s="352">
        <f>E153</f>
        <v>3313</v>
      </c>
      <c r="F64" s="613">
        <f>E64/#REF!*100</f>
      </c>
      <c r="G64" s="67">
        <v>37000</v>
      </c>
      <c r="H64" s="352">
        <f>H153</f>
        <v>36964</v>
      </c>
      <c r="I64" s="613">
        <f>H64/#REF!*100</f>
      </c>
      <c r="J64" s="272">
        <f>J153</f>
        <v>3727</v>
      </c>
      <c r="K64" s="272">
        <f>K153</f>
        <v>37450</v>
      </c>
      <c r="L64" s="610">
        <f>H64-K64</f>
        <v>-486</v>
      </c>
      <c r="M64" s="402"/>
      <c r="N64" s="521"/>
      <c r="O64" s="521"/>
      <c r="P64" s="521"/>
      <c r="Q64" s="521"/>
      <c r="R64" s="521"/>
      <c r="S64" s="521"/>
      <c r="T64" s="521"/>
      <c r="U64" s="521"/>
    </row>
    <row customHeight="1" ht="14.25">
      <c r="A65" s="586"/>
      <c r="B65" s="611" t="s">
        <v>78</v>
      </c>
      <c r="C65" s="607" t="s">
        <v>19</v>
      </c>
      <c r="D65" s="67"/>
      <c r="E65" s="352"/>
      <c r="F65" s="613"/>
      <c r="G65" s="67"/>
      <c r="H65" s="352"/>
      <c r="I65" s="613"/>
      <c r="J65" s="272"/>
      <c r="K65" s="272"/>
      <c r="L65" s="610"/>
      <c r="M65" s="402"/>
      <c r="N65" s="521"/>
      <c r="O65" s="521"/>
      <c r="P65" s="521"/>
      <c r="Q65" s="521"/>
      <c r="R65" s="521"/>
      <c r="S65" s="521"/>
      <c r="T65" s="521"/>
      <c r="U65" s="521"/>
    </row>
    <row customHeight="1" ht="14.25">
      <c r="A66" s="586"/>
      <c r="B66" s="611" t="s">
        <v>79</v>
      </c>
      <c r="C66" s="607" t="s">
        <v>19</v>
      </c>
      <c r="D66" s="67"/>
      <c r="E66" s="352"/>
      <c r="F66" s="613"/>
      <c r="G66" s="67"/>
      <c r="H66" s="352"/>
      <c r="I66" s="613"/>
      <c r="J66" s="272"/>
      <c r="K66" s="272"/>
      <c r="L66" s="610"/>
      <c r="M66" s="402"/>
      <c r="N66" s="521"/>
      <c r="O66" s="521"/>
      <c r="P66" s="521"/>
      <c r="Q66" s="521"/>
      <c r="R66" s="521"/>
      <c r="S66" s="521"/>
      <c r="T66" s="521"/>
      <c r="U66" s="521"/>
    </row>
    <row customHeight="1" ht="14.25">
      <c r="A67" s="586"/>
      <c r="B67" s="611" t="s">
        <v>80</v>
      </c>
      <c r="C67" s="607" t="s">
        <v>19</v>
      </c>
      <c r="D67" s="67"/>
      <c r="E67" s="352"/>
      <c r="F67" s="613"/>
      <c r="G67" s="67"/>
      <c r="H67" s="292"/>
      <c r="I67" s="613"/>
      <c r="J67" s="272"/>
      <c r="K67" s="272"/>
      <c r="L67" s="610"/>
      <c r="M67" s="402"/>
      <c r="N67" s="521"/>
      <c r="O67" s="521"/>
      <c r="P67" s="521"/>
      <c r="Q67" s="521"/>
      <c r="R67" s="521"/>
      <c r="S67" s="521"/>
      <c r="T67" s="521"/>
      <c r="U67" s="521"/>
    </row>
    <row customHeight="1" ht="14.25">
      <c r="A68" s="586"/>
      <c r="B68" s="606" t="s">
        <v>81</v>
      </c>
      <c r="C68" s="607"/>
      <c r="D68" s="67"/>
      <c r="E68" s="352"/>
      <c r="F68" s="613"/>
      <c r="G68" s="67"/>
      <c r="H68" s="352"/>
      <c r="I68" s="613"/>
      <c r="J68" s="272"/>
      <c r="K68" s="272"/>
      <c r="L68" s="610"/>
      <c r="M68" s="402"/>
      <c r="N68" s="521"/>
      <c r="O68" s="521"/>
      <c r="P68" s="521"/>
      <c r="Q68" s="521"/>
      <c r="R68" s="521"/>
      <c r="S68" s="521"/>
      <c r="T68" s="521"/>
      <c r="U68" s="521"/>
    </row>
    <row customHeight="1" ht="14.25">
      <c r="A69" s="586"/>
      <c r="B69" s="611" t="s">
        <v>82</v>
      </c>
      <c r="C69" s="607" t="s">
        <v>19</v>
      </c>
      <c r="D69" s="67">
        <f>_xlfn.IFERROR(D31+D35+D41,"")</f>
        <v>453000</v>
      </c>
      <c r="E69" s="360">
        <f>E31+E35+E41</f>
        <v>444659</v>
      </c>
      <c r="F69" s="613">
        <f>E69/#REF!*100</f>
      </c>
      <c r="G69" s="67">
        <f>_xlfn.IFERROR(G31+G35+G41,"")</f>
        <v>5384176</v>
      </c>
      <c r="H69" s="360">
        <f>H31+H35+H41</f>
        <v>5365667</v>
      </c>
      <c r="I69" s="613">
        <f>H69/#REF!*100</f>
      </c>
      <c r="J69" s="272">
        <f>J31+J35+J41</f>
        <v>416164</v>
      </c>
      <c r="K69" s="124">
        <f>K31+K35+K41</f>
        <v>5252084</v>
      </c>
      <c r="L69" s="610">
        <f>H69-K69</f>
        <v>113583</v>
      </c>
      <c r="M69" s="402"/>
      <c r="N69" s="521"/>
      <c r="O69" s="521"/>
      <c r="P69" s="521"/>
      <c r="Q69" s="521"/>
      <c r="R69" s="521"/>
      <c r="S69" s="521"/>
      <c r="T69" s="521"/>
      <c r="U69" s="521"/>
    </row>
    <row customHeight="1" ht="14.25">
      <c r="A70" s="586"/>
      <c r="B70" s="611" t="s">
        <v>83</v>
      </c>
      <c r="C70" s="607" t="s">
        <v>19</v>
      </c>
      <c r="D70" s="67">
        <v>465000</v>
      </c>
      <c r="E70" s="360">
        <f>_xlfn.IFERROR(E219,"")</f>
        <v>495148.38</v>
      </c>
      <c r="F70" s="613">
        <f>E70/#REF!*100</f>
      </c>
      <c r="G70" s="67">
        <v>465000</v>
      </c>
      <c r="H70" s="360">
        <f>_xlfn.IFERROR(H219,"")</f>
        <v>5912403.293</v>
      </c>
      <c r="I70" s="613">
        <f>H70/#REF!*100</f>
      </c>
      <c r="J70" s="277">
        <f>_xlfn.IFERROR(J219,"")</f>
        <v>465120.78</v>
      </c>
      <c r="K70" s="272">
        <f>_xlfn.IFERROR(K219,"")</f>
        <v>5805675.36</v>
      </c>
      <c r="L70" s="610">
        <f>H70-K70</f>
        <v>106727.932999999</v>
      </c>
      <c r="M70" s="402"/>
      <c r="N70" s="521"/>
      <c r="O70" s="521"/>
      <c r="P70" s="521"/>
      <c r="Q70" s="521"/>
      <c r="R70" s="521"/>
      <c r="S70" s="521"/>
      <c r="T70" s="521"/>
      <c r="U70" s="521"/>
    </row>
    <row customHeight="1" ht="14.25">
      <c r="A71" s="586"/>
      <c r="B71" s="611" t="s">
        <v>134</v>
      </c>
      <c r="C71" s="607" t="s">
        <v>85</v>
      </c>
      <c r="D71" s="104">
        <v>96</v>
      </c>
      <c r="E71" s="360">
        <f>_xlfn.IFERROR(E155/E156*100,"")</f>
        <v>96.7136007406494</v>
      </c>
      <c r="F71" s="651">
        <f>E71-#REF!</f>
      </c>
      <c r="G71" s="104">
        <v>93.75</v>
      </c>
      <c r="H71" s="360">
        <f>_xlfn.IFERROR(H155/H156*100,"")</f>
        <v>96.7359912426547</v>
      </c>
      <c r="I71" s="651">
        <f>H71-#REF!</f>
      </c>
      <c r="J71" s="124">
        <f>_xlfn.IFERROR(J155/J156*100,"")</f>
        <v>96.5975267113787</v>
      </c>
      <c r="K71" s="124" t="str">
        <f>_xlfn.IFERROR(K155/K156*100,"")</f>
        <v/>
      </c>
      <c r="L71" s="652">
        <f>H71-K71</f>
      </c>
      <c r="M71" s="402"/>
      <c r="N71" s="521"/>
      <c r="O71" s="521"/>
      <c r="P71" s="521"/>
      <c r="Q71" s="521"/>
      <c r="R71" s="521"/>
      <c r="S71" s="521"/>
      <c r="T71" s="521"/>
      <c r="U71" s="521"/>
    </row>
    <row customHeight="1" ht="14.25">
      <c r="A72" s="586"/>
      <c r="B72" s="611" t="s">
        <v>135</v>
      </c>
      <c r="C72" s="607" t="s">
        <v>85</v>
      </c>
      <c r="D72" s="104">
        <v>3</v>
      </c>
      <c r="E72" s="360">
        <f>_xlfn.IFERROR(E158/E159*100,"")</f>
        <v>2.52051239031253</v>
      </c>
      <c r="F72" s="651">
        <f>E72-#REF!</f>
      </c>
      <c r="G72" s="104">
        <v>5.05</v>
      </c>
      <c r="H72" s="360">
        <f>_xlfn.IFERROR(H158/H159*100,"")</f>
        <v>2.50627490369878</v>
      </c>
      <c r="I72" s="651">
        <f>H72-#REF!</f>
      </c>
      <c r="J72" s="124">
        <f>_xlfn.IFERROR(J158/J159*100,"")</f>
        <v>2.57913361527003</v>
      </c>
      <c r="K72" s="124">
        <f>_xlfn.IFERROR(K158/K159*100,"")</f>
        <v>2.53842075596131</v>
      </c>
      <c r="L72" s="652">
        <f>H72-K72</f>
        <v>-0.0321458522625298</v>
      </c>
      <c r="M72" s="402"/>
      <c r="N72" s="521"/>
      <c r="O72" s="521"/>
      <c r="P72" s="521"/>
      <c r="Q72" s="521"/>
      <c r="R72" s="521"/>
      <c r="S72" s="521"/>
      <c r="T72" s="521"/>
      <c r="U72" s="521"/>
    </row>
    <row customHeight="1" ht="14.25">
      <c r="A73" s="586"/>
      <c r="B73" s="611" t="s">
        <v>136</v>
      </c>
      <c r="C73" s="607" t="s">
        <v>85</v>
      </c>
      <c r="D73" s="104">
        <v>1</v>
      </c>
      <c r="E73" s="360">
        <f>_xlfn.IFERROR(E161/E162*100,"")</f>
        <v>0.765953575998431</v>
      </c>
      <c r="F73" s="651">
        <f>E73-#REF!</f>
      </c>
      <c r="G73" s="104">
        <v>1.2</v>
      </c>
      <c r="H73" s="360">
        <f>_xlfn.IFERROR(H161/H162*100,"")</f>
        <v>0.757732248625708</v>
      </c>
      <c r="I73" s="651">
        <f>H73-#REF!</f>
      </c>
      <c r="J73" s="124">
        <f>_xlfn.IFERROR(J161/J162*100,"")</f>
        <v>0.823325058611232</v>
      </c>
      <c r="K73" s="124">
        <f>_xlfn.IFERROR(K161/K162*100,"")</f>
        <v>0.845907862956077</v>
      </c>
      <c r="L73" s="652">
        <f>H73-K73</f>
        <v>-0.088175614330369</v>
      </c>
      <c r="M73" s="402"/>
      <c r="N73" s="521"/>
      <c r="O73" s="521"/>
      <c r="P73" s="521"/>
      <c r="Q73" s="521"/>
      <c r="R73" s="521"/>
      <c r="S73" s="521"/>
      <c r="T73" s="521"/>
      <c r="U73" s="521"/>
    </row>
    <row customHeight="1" ht="14.25">
      <c r="A74" s="586"/>
      <c r="B74" s="611" t="s">
        <v>88</v>
      </c>
      <c r="C74" s="653" t="s">
        <v>89</v>
      </c>
      <c r="D74" s="104">
        <v>48</v>
      </c>
      <c r="E74" s="360">
        <f>_xlfn.IFERROR(E164/E165*1000,"")</f>
        <v>46.8000053371049</v>
      </c>
      <c r="F74" s="651">
        <f>E74-#REF!</f>
      </c>
      <c r="G74" s="104">
        <v>67.3</v>
      </c>
      <c r="H74" s="360">
        <f>_xlfn.IFERROR(H164/H165*1000,"")</f>
        <v>46.0022633602348</v>
      </c>
      <c r="I74" s="651">
        <f>H74-#REF!</f>
      </c>
      <c r="J74" s="124">
        <f>_xlfn.IFERROR(J164/J165*1000,"")</f>
        <v>49.7199941696711</v>
      </c>
      <c r="K74" s="124">
        <f>_xlfn.IFERROR(K164/K165*1000,"")</f>
        <v>46.1227529130832</v>
      </c>
      <c r="L74" s="652">
        <f>H74-K74</f>
        <v>-0.120489552848397</v>
      </c>
      <c r="M74" s="402"/>
      <c r="N74" s="521"/>
      <c r="O74" s="521"/>
      <c r="P74" s="521"/>
      <c r="Q74" s="521"/>
      <c r="R74" s="521"/>
      <c r="S74" s="521"/>
      <c r="T74" s="521"/>
      <c r="U74" s="521"/>
    </row>
    <row customHeight="1" ht="14.25">
      <c r="A75" s="586"/>
      <c r="B75" s="611" t="s">
        <v>90</v>
      </c>
      <c r="C75" s="653" t="s">
        <v>91</v>
      </c>
      <c r="D75" s="104">
        <v>1.05</v>
      </c>
      <c r="E75" s="360">
        <f>_xlfn.IFERROR(E209/SUM(E211:E217),"")</f>
        <v>1.0380039656312</v>
      </c>
      <c r="F75" s="651">
        <f>E75-#REF!</f>
      </c>
      <c r="G75" s="104">
        <v>1.05</v>
      </c>
      <c r="H75" s="360">
        <f>_xlfn.IFERROR(H209/SUM(H211:H217),"")</f>
        <v>1.04224502598614</v>
      </c>
      <c r="I75" s="651">
        <f>H75-#REF!</f>
      </c>
      <c r="J75" s="124">
        <f>_xlfn.IFERROR(J209/SUM(J211:J217),"")</f>
        <v>1.04666286366229</v>
      </c>
      <c r="K75" s="124">
        <f>_xlfn.IFERROR(K209/SUM(K211:K217),"")</f>
        <v>1.04084726008256</v>
      </c>
      <c r="L75" s="652">
        <f>H75-K75</f>
        <v>0.00139776590357998</v>
      </c>
      <c r="M75" s="402"/>
      <c r="N75" s="521"/>
      <c r="O75" s="521"/>
      <c r="P75" s="521"/>
      <c r="Q75" s="521"/>
      <c r="R75" s="521"/>
      <c r="S75" s="521"/>
      <c r="T75" s="521"/>
      <c r="U75" s="521"/>
    </row>
    <row customHeight="1" ht="14.25">
      <c r="A76" s="586"/>
      <c r="B76" s="611" t="s">
        <v>92</v>
      </c>
      <c r="C76" s="607" t="s">
        <v>85</v>
      </c>
      <c r="D76" s="104">
        <v>100</v>
      </c>
      <c r="E76" s="365">
        <f>_xlfn.IFERROR(E221/E222*100,"")</f>
        <v>100</v>
      </c>
      <c r="F76" s="651"/>
      <c r="G76" s="104">
        <v>100</v>
      </c>
      <c r="H76" s="365">
        <f>_xlfn.IFERROR(H221/H222*100,"")</f>
        <v>100</v>
      </c>
      <c r="I76" s="651"/>
      <c r="J76" s="378">
        <f>_xlfn.IFERROR(J221/J222*100,"")</f>
        <v>100</v>
      </c>
      <c r="K76" s="378">
        <f>_xlfn.IFERROR(K221/K222*100,"")</f>
        <v>100</v>
      </c>
      <c r="L76" s="652">
        <f>H76-K76</f>
        <v>0</v>
      </c>
      <c r="M76" s="402"/>
      <c r="N76" s="521"/>
      <c r="O76" s="521"/>
      <c r="P76" s="521"/>
      <c r="Q76" s="521"/>
      <c r="R76" s="521"/>
      <c r="S76" s="521"/>
      <c r="T76" s="521"/>
      <c r="U76" s="521"/>
    </row>
    <row customHeight="1" ht="14.25">
      <c r="A77" s="586"/>
      <c r="B77" s="606" t="s">
        <v>93</v>
      </c>
      <c r="C77" s="608"/>
      <c r="D77" s="104"/>
      <c r="E77" s="352"/>
      <c r="F77" s="651"/>
      <c r="G77" s="104"/>
      <c r="H77" s="352"/>
      <c r="I77" s="608"/>
      <c r="J77" s="272"/>
      <c r="K77" s="272"/>
      <c r="L77" s="610"/>
      <c r="M77" s="402"/>
      <c r="N77" s="521"/>
      <c r="O77" s="521"/>
      <c r="P77" s="521"/>
      <c r="Q77" s="521"/>
      <c r="R77" s="521"/>
      <c r="S77" s="521"/>
      <c r="T77" s="521"/>
      <c r="U77" s="521"/>
    </row>
    <row customHeight="1" ht="14.25">
      <c r="A78" s="586"/>
      <c r="B78" s="611" t="s">
        <v>94</v>
      </c>
      <c r="C78" s="607" t="s">
        <v>85</v>
      </c>
      <c r="D78" s="104">
        <v>48.06</v>
      </c>
      <c r="E78" s="360">
        <f>_xlfn.IFERROR(E167/E168*100,"")</f>
        <v>48.7178558562336</v>
      </c>
      <c r="F78" s="651">
        <f>E78-#REF!</f>
      </c>
      <c r="G78" s="104">
        <v>48.06</v>
      </c>
      <c r="H78" s="360">
        <f>_xlfn.IFERROR(H167/H168*100,"")</f>
        <v>48.5686016088044</v>
      </c>
      <c r="I78" s="651">
        <f>H78-#REF!</f>
      </c>
      <c r="J78" s="124">
        <f>_xlfn.IFERROR(J167/J168*100,"")</f>
        <v>48.6050080810073</v>
      </c>
      <c r="K78" s="124">
        <f>_xlfn.IFERROR(K167/K168*100,"")</f>
        <v>48.4418809385633</v>
      </c>
      <c r="L78" s="652">
        <f>H78-K78</f>
        <v>0.126720670241099</v>
      </c>
      <c r="M78" s="402"/>
      <c r="N78" s="521"/>
      <c r="O78" s="521"/>
      <c r="P78" s="521"/>
      <c r="Q78" s="521"/>
      <c r="R78" s="521"/>
      <c r="S78" s="521"/>
      <c r="T78" s="521"/>
      <c r="U78" s="521"/>
    </row>
    <row customHeight="1" ht="14.25">
      <c r="A79" s="586"/>
      <c r="B79" s="611" t="s">
        <v>95</v>
      </c>
      <c r="C79" s="607" t="s">
        <v>85</v>
      </c>
      <c r="D79" s="104">
        <f>_xlfn.IFERROR(D80+D81,"")</f>
        <v>87.64</v>
      </c>
      <c r="E79" s="360">
        <f>_xlfn.IFERROR(E170/E171*100,"")</f>
        <v>88.2285688996415</v>
      </c>
      <c r="F79" s="651">
        <f>E79-#REF!</f>
      </c>
      <c r="G79" s="104">
        <v>87.64</v>
      </c>
      <c r="H79" s="360">
        <f>_xlfn.IFERROR(H170/H171*100,"")</f>
        <v>88.0585614851349</v>
      </c>
      <c r="I79" s="651">
        <f>H79-#REF!</f>
      </c>
      <c r="J79" s="124">
        <f>_xlfn.IFERROR(J170/J171*100,"")</f>
        <v>88.2640783236475</v>
      </c>
      <c r="K79" s="124">
        <f>_xlfn.IFERROR(K170/K171*100,"")</f>
        <v>88.0247391560236</v>
      </c>
      <c r="L79" s="652">
        <f>H79-K79</f>
        <v>0.0338223291113025</v>
      </c>
      <c r="M79" s="402"/>
      <c r="N79" s="521"/>
      <c r="O79" s="521"/>
      <c r="P79" s="521"/>
      <c r="Q79" s="521"/>
      <c r="R79" s="521"/>
      <c r="S79" s="521"/>
      <c r="T79" s="521"/>
      <c r="U79" s="521"/>
    </row>
    <row customHeight="1" ht="14.25">
      <c r="A80" s="586"/>
      <c r="B80" s="611" t="s">
        <v>96</v>
      </c>
      <c r="C80" s="607" t="s">
        <v>85</v>
      </c>
      <c r="D80" s="104">
        <v>70.64</v>
      </c>
      <c r="E80" s="360">
        <f>_xlfn.IFERROR(SUM(E181,E183,E186),"")</f>
        <v>71.5712452240105</v>
      </c>
      <c r="F80" s="651">
        <f>E80-#REF!</f>
      </c>
      <c r="G80" s="104">
        <v>69.34</v>
      </c>
      <c r="H80" s="360">
        <f>_xlfn.IFERROR(SUM(H181,H183,H186),"")</f>
        <v>71.6732484964253</v>
      </c>
      <c r="I80" s="651">
        <f>H80-#REF!</f>
      </c>
      <c r="J80" s="379">
        <f>_xlfn.IFERROR(SUM(J181,J183,J186),"")</f>
        <v>70.7560343871113</v>
      </c>
      <c r="K80" s="379">
        <f>_xlfn.IFERROR(SUM(K181,K183,K186),"")</f>
        <v>70.2585318423572</v>
      </c>
      <c r="L80" s="652">
        <f>H80-K80</f>
        <v>1.4147166540681</v>
      </c>
      <c r="M80" s="402"/>
      <c r="N80" s="521"/>
      <c r="O80" s="521"/>
      <c r="P80" s="521"/>
      <c r="Q80" s="521"/>
      <c r="R80" s="521"/>
      <c r="S80" s="521"/>
      <c r="T80" s="521"/>
      <c r="U80" s="521"/>
    </row>
    <row customHeight="1" ht="14.25">
      <c r="A81" s="586"/>
      <c r="B81" s="611" t="s">
        <v>97</v>
      </c>
      <c r="C81" s="607" t="s">
        <v>85</v>
      </c>
      <c r="D81" s="104">
        <v>17</v>
      </c>
      <c r="E81" s="360">
        <f>_xlfn.IFERROR(E190/E191*100,"")</f>
        <v>16.657323675631</v>
      </c>
      <c r="F81" s="651">
        <f>E81-#REF!</f>
      </c>
      <c r="G81" s="104">
        <v>17.3</v>
      </c>
      <c r="H81" s="360">
        <f>_xlfn.IFERROR(H190/H191*100,"")</f>
        <v>16.3853129887096</v>
      </c>
      <c r="I81" s="651">
        <f>H81-#REF!</f>
      </c>
      <c r="J81" s="124">
        <f>_xlfn.IFERROR(J190/J191*100,"")</f>
        <v>17.5080439365361</v>
      </c>
      <c r="K81" s="124">
        <f>_xlfn.IFERROR(K190/K191*100,"")</f>
        <v>17.7662073136664</v>
      </c>
      <c r="L81" s="652">
        <f>H81-K81</f>
        <v>-1.3808943249568</v>
      </c>
      <c r="M81" s="402"/>
      <c r="N81" s="521"/>
      <c r="O81" s="521"/>
      <c r="P81" s="521"/>
      <c r="Q81" s="521"/>
      <c r="R81" s="521"/>
      <c r="S81" s="521"/>
      <c r="T81" s="521"/>
      <c r="U81" s="521"/>
    </row>
    <row customHeight="1" ht="14.25">
      <c r="A82" s="586"/>
      <c r="B82" s="611" t="s">
        <v>98</v>
      </c>
      <c r="C82" s="607" t="s">
        <v>85</v>
      </c>
      <c r="D82" s="104"/>
      <c r="E82" s="360"/>
      <c r="F82" s="651"/>
      <c r="G82" s="104"/>
      <c r="H82" s="360"/>
      <c r="I82" s="651"/>
      <c r="J82" s="124"/>
      <c r="K82" s="124"/>
      <c r="L82" s="652"/>
      <c r="M82" s="402"/>
      <c r="N82" s="521"/>
      <c r="O82" s="521"/>
      <c r="P82" s="521"/>
      <c r="Q82" s="521"/>
      <c r="R82" s="521"/>
      <c r="S82" s="521"/>
      <c r="T82" s="521"/>
      <c r="U82" s="521"/>
    </row>
    <row customHeight="1" ht="14.25">
      <c r="A83" s="586"/>
      <c r="B83" s="611" t="s">
        <v>99</v>
      </c>
      <c r="C83" s="607" t="s">
        <v>85</v>
      </c>
      <c r="D83" s="104">
        <v>26</v>
      </c>
      <c r="E83" s="360">
        <f>_xlfn.IFERROR(E193/E194*100,"")</f>
        <v>27.0675098032289</v>
      </c>
      <c r="F83" s="651">
        <f>E83-#REF!</f>
      </c>
      <c r="G83" s="104">
        <v>26</v>
      </c>
      <c r="H83" s="360">
        <f>_xlfn.IFERROR(H193/H194*100,"")</f>
        <v>27.7867560240368</v>
      </c>
      <c r="I83" s="651">
        <f>H83-#REF!</f>
      </c>
      <c r="J83" s="124">
        <f>_xlfn.IFERROR(J193/J194*100,"")</f>
        <v>28.6037115661166</v>
      </c>
      <c r="K83" s="124">
        <f>_xlfn.IFERROR(K193/K194*100,"")</f>
        <v>26.7386310699886</v>
      </c>
      <c r="L83" s="652">
        <f>H83-K83</f>
        <v>1.0481249540482</v>
      </c>
      <c r="M83" s="402"/>
      <c r="N83" s="521"/>
      <c r="O83" s="521"/>
      <c r="P83" s="521"/>
      <c r="Q83" s="521"/>
      <c r="R83" s="521"/>
      <c r="S83" s="521"/>
      <c r="T83" s="521"/>
      <c r="U83" s="521"/>
    </row>
    <row customHeight="1" ht="14.25">
      <c r="A84" s="586"/>
      <c r="B84" s="611" t="s">
        <v>100</v>
      </c>
      <c r="C84" s="607" t="s">
        <v>85</v>
      </c>
      <c r="D84" s="104"/>
      <c r="E84" s="360">
        <f>_xlfn.IFERROR(E196/E197*100,"")</f>
        <v>19.4060449859419</v>
      </c>
      <c r="F84" s="651">
        <f>E84-#REF!</f>
      </c>
      <c r="G84" s="104">
        <v>19</v>
      </c>
      <c r="H84" s="360">
        <f>_xlfn.IFERROR(H196/H197*100,"")</f>
        <v>19.2783903034349</v>
      </c>
      <c r="I84" s="651">
        <f>H84-#REF!</f>
      </c>
      <c r="J84" s="124">
        <f>_xlfn.IFERROR(J196/J197*100,"")</f>
        <v>19.9828427430165</v>
      </c>
      <c r="K84" s="124">
        <f>_xlfn.IFERROR(K196/K197*100,"")</f>
        <v>19.7197634681509</v>
      </c>
      <c r="L84" s="652">
        <f>H84-K84</f>
        <v>-0.441373164716001</v>
      </c>
      <c r="M84" s="402"/>
      <c r="N84" s="521"/>
      <c r="O84" s="521"/>
      <c r="P84" s="521"/>
      <c r="Q84" s="521"/>
      <c r="R84" s="521"/>
      <c r="S84" s="521"/>
      <c r="T84" s="521"/>
      <c r="U84" s="521"/>
    </row>
    <row customHeight="1" ht="14.25">
      <c r="A85" s="586"/>
      <c r="B85" s="611" t="s">
        <v>101</v>
      </c>
      <c r="C85" s="607" t="s">
        <v>85</v>
      </c>
      <c r="D85" s="104">
        <v>40</v>
      </c>
      <c r="E85" s="360">
        <f>_xlfn.IFERROR(E199/E200*100,"")</f>
        <v>39.6903746914965</v>
      </c>
      <c r="F85" s="651">
        <f>E85-#REF!</f>
      </c>
      <c r="G85" s="104">
        <v>40</v>
      </c>
      <c r="H85" s="360">
        <f>_xlfn.IFERROR(H199/H200*100,"")</f>
        <v>37.0466462535742</v>
      </c>
      <c r="I85" s="651">
        <f>H85-#REF!</f>
      </c>
      <c r="J85" s="124">
        <f>_xlfn.IFERROR(J199/J200*100,"")</f>
        <v>41.8942832961453</v>
      </c>
      <c r="K85" s="124">
        <f>_xlfn.IFERROR(K199/K200*100,"")</f>
        <v>44.6343386399293</v>
      </c>
      <c r="L85" s="652">
        <f>H85-K85</f>
        <v>-7.58769238635509</v>
      </c>
      <c r="M85" s="402"/>
      <c r="N85" s="521"/>
      <c r="O85" s="521"/>
      <c r="P85" s="521"/>
      <c r="Q85" s="521"/>
      <c r="R85" s="521"/>
      <c r="S85" s="521"/>
      <c r="T85" s="521"/>
      <c r="U85" s="521"/>
    </row>
    <row customHeight="1" ht="14.25">
      <c r="A86" s="586"/>
      <c r="B86" s="611" t="s">
        <v>102</v>
      </c>
      <c r="C86" s="607" t="s">
        <v>85</v>
      </c>
      <c r="D86" s="104"/>
      <c r="E86" s="360">
        <f>_xlfn.IFERROR(E202/E203*100,"")</f>
        <v>96.3387456224132</v>
      </c>
      <c r="F86" s="657"/>
      <c r="G86" s="104"/>
      <c r="H86" s="360">
        <f>_xlfn.IFERROR(H202/H203*100,"")</f>
        <v>95.9467279830702</v>
      </c>
      <c r="I86" s="651"/>
      <c r="J86" s="124">
        <f>_xlfn.IFERROR(J202/J203*100,"")</f>
        <v>95.5417484194463</v>
      </c>
      <c r="K86" s="124">
        <f>_xlfn.IFERROR(K202/K203*100,"")</f>
        <v>96.0755759611335</v>
      </c>
      <c r="L86" s="652">
        <f>H86-K86</f>
        <v>-0.128847978063291</v>
      </c>
      <c r="M86" s="402"/>
      <c r="N86" s="521"/>
      <c r="O86" s="521"/>
      <c r="P86" s="521"/>
      <c r="Q86" s="521"/>
      <c r="R86" s="521"/>
      <c r="S86" s="521"/>
      <c r="T86" s="521"/>
      <c r="U86" s="521"/>
    </row>
    <row customHeight="1" ht="14.25">
      <c r="A87" s="586"/>
      <c r="B87" s="611" t="s">
        <v>103</v>
      </c>
      <c r="C87" s="607" t="s">
        <v>85</v>
      </c>
      <c r="D87" s="104"/>
      <c r="E87" s="365"/>
      <c r="F87" s="608"/>
      <c r="G87" s="104"/>
      <c r="H87" s="658"/>
      <c r="I87" s="651"/>
      <c r="J87" s="608"/>
      <c r="K87" s="328"/>
      <c r="L87" s="660"/>
      <c r="M87" s="661"/>
      <c r="N87" s="521"/>
      <c r="O87" s="521"/>
      <c r="P87" s="521"/>
      <c r="Q87" s="521"/>
      <c r="R87" s="521"/>
      <c r="S87" s="521"/>
      <c r="T87" s="521"/>
      <c r="U87" s="521"/>
    </row>
    <row customHeight="1" ht="14.25">
      <c r="A88" s="586"/>
      <c r="B88" s="611" t="s">
        <v>104</v>
      </c>
      <c r="C88" s="607" t="s">
        <v>85</v>
      </c>
      <c r="D88" s="104"/>
      <c r="E88" s="356"/>
      <c r="F88" s="662"/>
      <c r="G88" s="369"/>
      <c r="H88" s="664"/>
      <c r="I88" s="665"/>
      <c r="J88" s="662"/>
      <c r="K88" s="273"/>
      <c r="L88" s="660"/>
      <c r="M88" s="402"/>
      <c r="N88" s="521"/>
      <c r="O88" s="521"/>
      <c r="P88" s="521"/>
      <c r="Q88" s="521"/>
      <c r="R88" s="521"/>
      <c r="S88" s="521"/>
      <c r="T88" s="521"/>
      <c r="U88" s="521"/>
    </row>
    <row customHeight="1" ht="14.25">
      <c r="A89" s="586"/>
      <c r="B89" s="666" t="s">
        <v>105</v>
      </c>
      <c r="C89" s="607" t="s">
        <v>85</v>
      </c>
      <c r="D89" s="104">
        <v>94.4</v>
      </c>
      <c r="E89" s="360">
        <f>_xlfn.IFERROR(E228/E229*100,"")</f>
        <v>94.7278589038498</v>
      </c>
      <c r="F89" s="651">
        <f>E89-#REF!</f>
      </c>
      <c r="G89" s="104"/>
      <c r="H89" s="360">
        <f>_xlfn.IFERROR(H228/H229*100,"")</f>
        <v>94.8039266970062</v>
      </c>
      <c r="I89" s="608"/>
      <c r="J89" s="124" t="str">
        <f>_xlfn.IFERROR(J228/J229*100,"")</f>
        <v/>
      </c>
      <c r="K89" s="124" t="str">
        <f>_xlfn.IFERROR(K228/K229*100,"")</f>
        <v/>
      </c>
      <c r="L89" s="652">
        <f>H89-K89</f>
      </c>
      <c r="M89" s="402"/>
      <c r="N89" s="521"/>
      <c r="O89" s="521"/>
      <c r="P89" s="521"/>
      <c r="Q89" s="521"/>
      <c r="R89" s="521"/>
      <c r="S89" s="521"/>
      <c r="T89" s="521"/>
      <c r="U89" s="521"/>
    </row>
    <row customHeight="1" ht="14.25">
      <c r="A90" s="586"/>
      <c r="B90" s="666" t="s">
        <v>137</v>
      </c>
      <c r="C90" s="667"/>
      <c r="D90" s="668"/>
      <c r="E90" s="669"/>
      <c r="F90" s="668"/>
      <c r="G90" s="668"/>
      <c r="H90" s="670"/>
      <c r="I90" s="668"/>
      <c r="J90" s="668"/>
      <c r="K90" s="671"/>
      <c r="L90" s="672"/>
      <c r="M90" s="402"/>
      <c r="N90" s="521"/>
      <c r="O90" s="521"/>
      <c r="P90" s="521"/>
      <c r="Q90" s="521"/>
      <c r="R90" s="521"/>
      <c r="S90" s="521"/>
      <c r="T90" s="521"/>
      <c r="U90" s="521"/>
    </row>
    <row customHeight="1" ht="14.25">
      <c r="A91" s="586"/>
      <c r="B91" s="673" t="s">
        <v>138</v>
      </c>
      <c r="C91" s="674"/>
      <c r="D91" s="668"/>
      <c r="E91" s="669"/>
      <c r="F91" s="668"/>
      <c r="G91" s="668"/>
      <c r="H91" s="670"/>
      <c r="I91" s="668"/>
      <c r="J91" s="668"/>
      <c r="K91" s="671"/>
      <c r="L91" s="675"/>
      <c r="M91" s="402"/>
      <c r="N91" s="521"/>
      <c r="O91" s="521"/>
      <c r="P91" s="521"/>
      <c r="Q91" s="521"/>
      <c r="R91" s="521"/>
      <c r="S91" s="521"/>
      <c r="T91" s="521"/>
      <c r="U91" s="521"/>
    </row>
    <row customHeight="1" ht="14.25">
      <c r="A92" s="586"/>
      <c r="B92" s="673" t="s">
        <v>139</v>
      </c>
      <c r="C92" s="674"/>
      <c r="D92" s="668"/>
      <c r="E92" s="669"/>
      <c r="F92" s="668"/>
      <c r="G92" s="668"/>
      <c r="H92" s="670"/>
      <c r="I92" s="668"/>
      <c r="J92" s="668"/>
      <c r="K92" s="671"/>
      <c r="L92" s="675"/>
      <c r="M92" s="402"/>
      <c r="N92" s="521"/>
      <c r="O92" s="521"/>
      <c r="P92" s="521"/>
      <c r="Q92" s="521"/>
      <c r="R92" s="521"/>
      <c r="S92" s="521"/>
      <c r="T92" s="521"/>
      <c r="U92" s="521"/>
    </row>
    <row customHeight="1" ht="15">
      <c r="A93" s="586"/>
      <c r="B93" s="676" t="s">
        <v>140</v>
      </c>
      <c r="C93" s="677"/>
      <c r="D93" s="678"/>
      <c r="E93" s="679"/>
      <c r="F93" s="678"/>
      <c r="G93" s="678"/>
      <c r="H93" s="680"/>
      <c r="I93" s="678"/>
      <c r="J93" s="678"/>
      <c r="K93" s="681"/>
      <c r="L93" s="682"/>
      <c r="M93" s="402"/>
      <c r="N93" s="521"/>
      <c r="O93" s="521"/>
      <c r="P93" s="521"/>
      <c r="Q93" s="521"/>
      <c r="R93" s="521"/>
      <c r="S93" s="521"/>
      <c r="T93" s="521"/>
      <c r="U93" s="521"/>
    </row>
    <row customHeight="1" ht="14.25">
      <c r="A94" s="586"/>
      <c r="B94" s="683" t="s">
        <v>141</v>
      </c>
      <c r="C94" s="683" t="s">
        <v>142</v>
      </c>
      <c r="D94" s="683"/>
      <c r="E94" s="669"/>
      <c r="F94" s="683"/>
      <c r="G94" s="683" t="s">
        <v>143</v>
      </c>
      <c r="H94" s="669"/>
      <c r="I94" s="683"/>
      <c r="J94" s="683"/>
      <c r="K94" s="683" t="s">
        <v>144</v>
      </c>
      <c r="L94" s="683"/>
      <c r="M94" s="402"/>
      <c r="N94" s="521"/>
      <c r="O94" s="521"/>
      <c r="P94" s="521"/>
      <c r="Q94" s="521"/>
      <c r="R94" s="521"/>
      <c r="S94" s="521"/>
      <c r="T94" s="521"/>
      <c r="U94" s="521"/>
    </row>
    <row customHeight="1" ht="14.4525">
      <c r="A95" s="586"/>
      <c r="B95" s="586"/>
      <c r="C95" s="586"/>
      <c r="D95" s="586"/>
      <c r="E95" s="119"/>
      <c r="F95" s="586"/>
      <c r="G95" s="586"/>
      <c r="H95" s="586"/>
      <c r="I95" s="586"/>
      <c r="J95" s="586"/>
      <c r="K95" s="586"/>
      <c r="L95" s="586"/>
      <c r="M95" s="402"/>
      <c r="N95" s="521"/>
      <c r="O95" s="521"/>
      <c r="P95" s="521"/>
      <c r="Q95" s="521"/>
      <c r="R95" s="521"/>
      <c r="S95" s="521"/>
      <c r="T95" s="521"/>
      <c r="U95" s="521"/>
    </row>
    <row customHeight="1" ht="14.25">
      <c r="A96" s="586"/>
      <c r="B96" s="684"/>
      <c r="C96" s="586"/>
      <c r="D96" s="586"/>
      <c r="E96" s="376">
        <v>488629</v>
      </c>
      <c r="F96" s="586"/>
      <c r="G96" s="586"/>
      <c r="H96" s="376">
        <v>5829379</v>
      </c>
      <c r="I96" s="133"/>
      <c r="J96" s="376">
        <v>466526</v>
      </c>
      <c r="K96" s="376">
        <v>5775191</v>
      </c>
      <c r="L96" s="133"/>
      <c r="M96" s="134"/>
      <c r="N96" s="134"/>
      <c r="O96" s="134"/>
      <c r="P96" s="134"/>
      <c r="Q96" s="134"/>
      <c r="R96" s="134"/>
      <c r="S96" s="134"/>
      <c r="T96" s="134"/>
      <c r="U96" s="134"/>
    </row>
    <row customHeight="1" ht="14.25">
      <c r="A97" s="586"/>
      <c r="B97" s="684"/>
      <c r="C97" s="586"/>
      <c r="D97" s="586"/>
      <c r="E97" s="133"/>
      <c r="F97" s="586"/>
      <c r="G97" s="586"/>
      <c r="H97" s="133"/>
      <c r="I97" s="133"/>
      <c r="J97" s="133"/>
      <c r="K97" s="133"/>
      <c r="L97" s="133"/>
      <c r="M97" s="134"/>
      <c r="N97" s="134"/>
      <c r="O97" s="134"/>
      <c r="P97" s="134"/>
      <c r="Q97" s="134"/>
      <c r="R97" s="134"/>
      <c r="S97" s="134"/>
      <c r="T97" s="134"/>
      <c r="U97" s="134"/>
    </row>
    <row customHeight="1" ht="14.25">
      <c r="A98" s="586"/>
      <c r="B98" s="684"/>
      <c r="C98" s="586"/>
      <c r="D98" s="586"/>
      <c r="E98" s="376">
        <v>488629</v>
      </c>
      <c r="F98" s="586"/>
      <c r="G98" s="586"/>
      <c r="H98" s="376">
        <v>5829379</v>
      </c>
      <c r="I98" s="133"/>
      <c r="J98" s="376">
        <v>466526</v>
      </c>
      <c r="K98" s="376">
        <v>5775191</v>
      </c>
      <c r="L98" s="133"/>
      <c r="M98" s="134"/>
      <c r="N98" s="134"/>
      <c r="O98" s="134"/>
      <c r="P98" s="134"/>
      <c r="Q98" s="134"/>
      <c r="R98" s="134"/>
      <c r="S98" s="134"/>
      <c r="T98" s="134"/>
      <c r="U98" s="134"/>
    </row>
    <row customHeight="1" ht="14.25">
      <c r="A99" s="586"/>
      <c r="B99" s="684"/>
      <c r="C99" s="586"/>
      <c r="D99" s="586"/>
      <c r="E99" s="133"/>
      <c r="F99" s="586"/>
      <c r="G99" s="586"/>
      <c r="H99" s="133"/>
      <c r="I99" s="133"/>
      <c r="J99" s="133"/>
      <c r="K99" s="133"/>
      <c r="L99" s="133"/>
      <c r="M99" s="134"/>
      <c r="N99" s="134"/>
      <c r="O99" s="134"/>
      <c r="P99" s="134"/>
      <c r="Q99" s="134"/>
      <c r="R99" s="134"/>
      <c r="S99" s="134"/>
      <c r="T99" s="134"/>
      <c r="U99" s="134"/>
    </row>
    <row customHeight="1" ht="14.25">
      <c r="A100" s="586"/>
      <c r="B100" s="684"/>
      <c r="C100" s="586"/>
      <c r="D100" s="586"/>
      <c r="E100" s="376">
        <v>1492.96</v>
      </c>
      <c r="F100" s="586"/>
      <c r="G100" s="586"/>
      <c r="H100" s="376">
        <v>13575.24</v>
      </c>
      <c r="I100" s="133"/>
      <c r="J100" s="376">
        <v>1418.46</v>
      </c>
      <c r="K100" s="376">
        <v>14243.22</v>
      </c>
      <c r="L100" s="133"/>
      <c r="M100" s="134"/>
      <c r="N100" s="134"/>
      <c r="O100" s="134"/>
      <c r="P100" s="134"/>
      <c r="Q100" s="134"/>
      <c r="R100" s="134"/>
      <c r="S100" s="134"/>
      <c r="T100" s="134"/>
      <c r="U100" s="134"/>
    </row>
    <row customHeight="1" ht="14.25">
      <c r="A101" s="586"/>
      <c r="B101" s="377"/>
      <c r="C101" s="586"/>
      <c r="D101" s="586"/>
      <c r="E101" s="133"/>
      <c r="F101" s="586"/>
      <c r="G101" s="586"/>
      <c r="H101" s="133"/>
      <c r="I101" s="133"/>
      <c r="J101" s="133"/>
      <c r="K101" s="133"/>
      <c r="L101" s="133"/>
      <c r="M101" s="134"/>
      <c r="N101" s="134"/>
      <c r="O101" s="134"/>
      <c r="P101" s="134"/>
      <c r="Q101" s="134"/>
      <c r="R101" s="134"/>
      <c r="S101" s="134"/>
      <c r="T101" s="134"/>
      <c r="U101" s="134"/>
    </row>
    <row customHeight="1" ht="14.25">
      <c r="A102" s="586"/>
      <c r="B102" s="377"/>
      <c r="C102" s="586"/>
      <c r="D102" s="586"/>
      <c r="E102" s="376">
        <v>0</v>
      </c>
      <c r="F102" s="586"/>
      <c r="G102" s="586"/>
      <c r="H102" s="376">
        <v>9400.16</v>
      </c>
      <c r="I102" s="133"/>
      <c r="J102" s="376">
        <v>0</v>
      </c>
      <c r="K102" s="376">
        <v>0</v>
      </c>
      <c r="L102" s="133"/>
      <c r="M102" s="134"/>
      <c r="N102" s="134"/>
      <c r="O102" s="134"/>
      <c r="P102" s="134"/>
      <c r="Q102" s="134"/>
      <c r="R102" s="134"/>
      <c r="S102" s="134"/>
      <c r="T102" s="134"/>
      <c r="U102" s="134"/>
    </row>
    <row customHeight="1" ht="14.25">
      <c r="A103" s="586"/>
      <c r="B103" s="377"/>
      <c r="C103" s="586"/>
      <c r="D103" s="586"/>
      <c r="E103" s="133"/>
      <c r="F103" s="586"/>
      <c r="G103" s="586"/>
      <c r="H103" s="133"/>
      <c r="I103" s="133"/>
      <c r="J103" s="133"/>
      <c r="K103" s="133"/>
      <c r="L103" s="133"/>
      <c r="M103" s="134"/>
      <c r="N103" s="134"/>
      <c r="O103" s="134"/>
      <c r="P103" s="134"/>
      <c r="Q103" s="134"/>
      <c r="R103" s="134"/>
      <c r="S103" s="134"/>
      <c r="T103" s="134"/>
      <c r="U103" s="134"/>
    </row>
    <row customHeight="1" ht="14.25">
      <c r="A104" s="586"/>
      <c r="B104" s="377"/>
      <c r="C104" s="586"/>
      <c r="D104" s="586"/>
      <c r="E104" s="376">
        <v>0</v>
      </c>
      <c r="F104" s="586"/>
      <c r="G104" s="586"/>
      <c r="H104" s="376">
        <v>0</v>
      </c>
      <c r="I104" s="133"/>
      <c r="J104" s="376">
        <v>0</v>
      </c>
      <c r="K104" s="376">
        <v>0</v>
      </c>
      <c r="L104" s="133"/>
      <c r="M104" s="134"/>
      <c r="N104" s="134"/>
      <c r="O104" s="134"/>
      <c r="P104" s="134"/>
      <c r="Q104" s="134"/>
      <c r="R104" s="134"/>
      <c r="S104" s="134"/>
      <c r="T104" s="134"/>
      <c r="U104" s="134"/>
    </row>
    <row customHeight="1" ht="14.25">
      <c r="A105" s="586"/>
      <c r="B105" s="377"/>
      <c r="C105" s="586"/>
      <c r="D105" s="586"/>
      <c r="E105" s="133"/>
      <c r="F105" s="586"/>
      <c r="G105" s="586"/>
      <c r="H105" s="133"/>
      <c r="I105" s="133"/>
      <c r="J105" s="133"/>
      <c r="K105" s="133"/>
      <c r="L105" s="133"/>
      <c r="M105" s="134"/>
      <c r="N105" s="134"/>
      <c r="O105" s="134"/>
      <c r="P105" s="134"/>
      <c r="Q105" s="134"/>
      <c r="R105" s="134"/>
      <c r="S105" s="134"/>
      <c r="T105" s="134"/>
      <c r="U105" s="134"/>
    </row>
    <row customHeight="1" ht="14.25">
      <c r="A106" s="586"/>
      <c r="B106" s="684"/>
      <c r="C106" s="586"/>
      <c r="D106" s="586"/>
      <c r="E106" s="376">
        <v>2787</v>
      </c>
      <c r="F106" s="586"/>
      <c r="G106" s="586"/>
      <c r="H106" s="376">
        <v>25213</v>
      </c>
      <c r="I106" s="133"/>
      <c r="J106" s="376">
        <v>2897</v>
      </c>
      <c r="K106" s="376">
        <v>29727</v>
      </c>
      <c r="L106" s="133"/>
      <c r="M106" s="134"/>
      <c r="N106" s="134"/>
      <c r="O106" s="134"/>
      <c r="P106" s="134"/>
      <c r="Q106" s="134"/>
      <c r="R106" s="134"/>
      <c r="S106" s="134"/>
      <c r="T106" s="134"/>
      <c r="U106" s="134"/>
    </row>
    <row customHeight="1" ht="14.25">
      <c r="A107" s="586"/>
      <c r="B107" s="684"/>
      <c r="C107" s="586"/>
      <c r="D107" s="586"/>
      <c r="E107" s="133"/>
      <c r="F107" s="586"/>
      <c r="G107" s="586"/>
      <c r="H107" s="133"/>
      <c r="I107" s="133"/>
      <c r="J107" s="133"/>
      <c r="K107" s="133"/>
      <c r="L107" s="133"/>
      <c r="M107" s="134"/>
      <c r="N107" s="134"/>
      <c r="O107" s="134"/>
      <c r="P107" s="134"/>
      <c r="Q107" s="134"/>
      <c r="R107" s="134"/>
      <c r="S107" s="134"/>
      <c r="T107" s="134"/>
      <c r="U107" s="134"/>
    </row>
    <row customHeight="1" ht="14.25">
      <c r="A108" s="586"/>
      <c r="B108" s="684"/>
      <c r="C108" s="586"/>
      <c r="D108" s="586"/>
      <c r="E108" s="376">
        <v>252896</v>
      </c>
      <c r="F108" s="586"/>
      <c r="G108" s="586"/>
      <c r="H108" s="376">
        <v>2967443</v>
      </c>
      <c r="I108" s="133"/>
      <c r="J108" s="376">
        <v>261377</v>
      </c>
      <c r="K108" s="376">
        <v>2949656</v>
      </c>
      <c r="L108" s="133"/>
      <c r="M108" s="134"/>
      <c r="N108" s="134"/>
      <c r="O108" s="134"/>
      <c r="P108" s="134"/>
      <c r="Q108" s="134"/>
      <c r="R108" s="134"/>
      <c r="S108" s="134"/>
      <c r="T108" s="134"/>
      <c r="U108" s="134"/>
    </row>
    <row customHeight="1" ht="14.25">
      <c r="A109" s="586"/>
      <c r="B109" s="684"/>
      <c r="C109" s="586"/>
      <c r="D109" s="586"/>
      <c r="E109" s="133"/>
      <c r="F109" s="586"/>
      <c r="G109" s="586"/>
      <c r="H109" s="133"/>
      <c r="I109" s="133"/>
      <c r="J109" s="133"/>
      <c r="K109" s="133"/>
      <c r="L109" s="133"/>
      <c r="M109" s="134"/>
      <c r="N109" s="134"/>
      <c r="O109" s="134"/>
      <c r="P109" s="134"/>
      <c r="Q109" s="134"/>
      <c r="R109" s="134"/>
      <c r="S109" s="134"/>
      <c r="T109" s="134"/>
      <c r="U109" s="134"/>
    </row>
    <row customHeight="1" ht="14.25">
      <c r="A110" s="586"/>
      <c r="B110" s="684"/>
      <c r="C110" s="586"/>
      <c r="D110" s="586"/>
      <c r="E110" s="376">
        <v>251400</v>
      </c>
      <c r="F110" s="586"/>
      <c r="G110" s="586"/>
      <c r="H110" s="376">
        <v>2974069</v>
      </c>
      <c r="I110" s="133"/>
      <c r="J110" s="376">
        <v>260435</v>
      </c>
      <c r="K110" s="376">
        <v>2936284</v>
      </c>
      <c r="L110" s="133"/>
      <c r="M110" s="134"/>
      <c r="N110" s="134"/>
      <c r="O110" s="134"/>
      <c r="P110" s="134"/>
      <c r="Q110" s="134"/>
      <c r="R110" s="134"/>
      <c r="S110" s="134"/>
      <c r="T110" s="134"/>
      <c r="U110" s="134"/>
    </row>
    <row customHeight="1" ht="14.25">
      <c r="A111" s="586"/>
      <c r="B111" s="684"/>
      <c r="C111" s="586"/>
      <c r="D111" s="586"/>
      <c r="E111" s="376"/>
      <c r="F111" s="586"/>
      <c r="G111" s="586"/>
      <c r="H111" s="376"/>
      <c r="I111" s="133"/>
      <c r="J111" s="376"/>
      <c r="K111" s="376"/>
      <c r="L111" s="133"/>
      <c r="M111" s="134"/>
      <c r="N111" s="134"/>
      <c r="O111" s="134"/>
      <c r="P111" s="134"/>
      <c r="Q111" s="134"/>
      <c r="R111" s="134"/>
      <c r="S111" s="134"/>
      <c r="T111" s="134"/>
      <c r="U111" s="134"/>
    </row>
    <row customHeight="1" ht="14.25">
      <c r="A112" s="586"/>
      <c r="B112" s="684"/>
      <c r="C112" s="586"/>
      <c r="D112" s="586"/>
      <c r="E112" s="133"/>
      <c r="F112" s="586"/>
      <c r="G112" s="586"/>
      <c r="H112" s="133"/>
      <c r="I112" s="133"/>
      <c r="J112" s="133"/>
      <c r="K112" s="133"/>
      <c r="L112" s="133"/>
      <c r="M112" s="134"/>
      <c r="N112" s="134"/>
      <c r="O112" s="134"/>
      <c r="P112" s="134"/>
      <c r="Q112" s="134"/>
      <c r="R112" s="134"/>
      <c r="S112" s="134"/>
      <c r="T112" s="134"/>
      <c r="U112" s="134"/>
    </row>
    <row customHeight="1" ht="14.25">
      <c r="A113" s="586"/>
      <c r="B113" s="684"/>
      <c r="C113" s="586"/>
      <c r="D113" s="586"/>
      <c r="E113" s="133">
        <v>28307</v>
      </c>
      <c r="F113" s="586"/>
      <c r="G113" s="586"/>
      <c r="H113" s="133">
        <v>303202</v>
      </c>
      <c r="I113" s="133"/>
      <c r="J113" s="133">
        <v>29206</v>
      </c>
      <c r="K113" s="133">
        <v>311265</v>
      </c>
      <c r="L113" s="133"/>
      <c r="M113" s="134"/>
      <c r="N113" s="134"/>
      <c r="O113" s="134"/>
      <c r="P113" s="134"/>
      <c r="Q113" s="134"/>
      <c r="R113" s="134"/>
      <c r="S113" s="134"/>
      <c r="T113" s="134"/>
      <c r="U113" s="134"/>
    </row>
    <row customHeight="1" ht="14.25">
      <c r="A114" s="586"/>
      <c r="B114" s="684"/>
      <c r="C114" s="586"/>
      <c r="D114" s="586"/>
      <c r="E114" s="133"/>
      <c r="F114" s="586"/>
      <c r="G114" s="586"/>
      <c r="H114" s="133"/>
      <c r="I114" s="133"/>
      <c r="J114" s="133"/>
      <c r="K114" s="133"/>
      <c r="L114" s="133"/>
      <c r="M114" s="134"/>
      <c r="N114" s="134"/>
      <c r="O114" s="134"/>
      <c r="P114" s="134"/>
      <c r="Q114" s="134"/>
      <c r="R114" s="134"/>
      <c r="S114" s="134"/>
      <c r="T114" s="134"/>
      <c r="U114" s="134"/>
    </row>
    <row customHeight="1" ht="14.25">
      <c r="A115" s="586"/>
      <c r="B115" s="684"/>
      <c r="C115" s="586"/>
      <c r="D115" s="586"/>
      <c r="E115" s="133">
        <v>29036</v>
      </c>
      <c r="F115" s="586"/>
      <c r="G115" s="586"/>
      <c r="H115" s="133">
        <v>193268</v>
      </c>
      <c r="I115" s="133"/>
      <c r="J115" s="133">
        <v>8195</v>
      </c>
      <c r="K115" s="133">
        <v>238896</v>
      </c>
      <c r="L115" s="133"/>
      <c r="M115" s="134"/>
      <c r="N115" s="134"/>
      <c r="O115" s="134"/>
      <c r="P115" s="134"/>
      <c r="Q115" s="134"/>
      <c r="R115" s="134"/>
      <c r="S115" s="134"/>
      <c r="T115" s="134"/>
      <c r="U115" s="134"/>
    </row>
    <row customHeight="1" ht="14.25">
      <c r="A116" s="586"/>
      <c r="B116" s="684"/>
      <c r="C116" s="586"/>
      <c r="D116" s="586"/>
      <c r="E116" s="133"/>
      <c r="F116" s="586"/>
      <c r="G116" s="586"/>
      <c r="H116" s="133"/>
      <c r="I116" s="133"/>
      <c r="J116" s="133"/>
      <c r="K116" s="133"/>
      <c r="L116" s="133"/>
      <c r="M116" s="134"/>
      <c r="N116" s="134"/>
      <c r="O116" s="134"/>
      <c r="P116" s="134"/>
      <c r="Q116" s="134"/>
      <c r="R116" s="134"/>
      <c r="S116" s="134"/>
      <c r="T116" s="134"/>
      <c r="U116" s="134"/>
    </row>
    <row customHeight="1" ht="14.25">
      <c r="A117" s="586"/>
      <c r="B117" s="684"/>
      <c r="C117" s="586"/>
      <c r="D117" s="586"/>
      <c r="E117" s="133">
        <v>0</v>
      </c>
      <c r="F117" s="586"/>
      <c r="G117" s="586"/>
      <c r="H117" s="133">
        <v>22962</v>
      </c>
      <c r="I117" s="133"/>
      <c r="J117" s="133">
        <v>2223</v>
      </c>
      <c r="K117" s="133">
        <v>21062</v>
      </c>
      <c r="L117" s="133"/>
      <c r="M117" s="134"/>
      <c r="N117" s="134"/>
      <c r="O117" s="134"/>
      <c r="P117" s="134"/>
      <c r="Q117" s="134"/>
      <c r="R117" s="134"/>
      <c r="S117" s="134"/>
      <c r="T117" s="134"/>
      <c r="U117" s="134"/>
    </row>
    <row customHeight="1" ht="14.25">
      <c r="A118" s="586"/>
      <c r="B118" s="684"/>
      <c r="C118" s="586"/>
      <c r="D118" s="586"/>
      <c r="E118" s="376">
        <v>135789</v>
      </c>
      <c r="F118" s="586"/>
      <c r="G118" s="586"/>
      <c r="H118" s="376">
        <v>1660222</v>
      </c>
      <c r="I118" s="133"/>
      <c r="J118" s="376">
        <v>152029</v>
      </c>
      <c r="K118" s="376">
        <v>1766975</v>
      </c>
      <c r="L118" s="133"/>
      <c r="M118" s="134"/>
      <c r="N118" s="134"/>
      <c r="O118" s="134"/>
      <c r="P118" s="134"/>
      <c r="Q118" s="134"/>
      <c r="R118" s="134"/>
      <c r="S118" s="134"/>
      <c r="T118" s="134"/>
      <c r="U118" s="134"/>
    </row>
    <row customHeight="1" ht="14.25">
      <c r="A119" s="586"/>
      <c r="B119" s="684"/>
      <c r="C119" s="586"/>
      <c r="D119" s="586"/>
      <c r="E119" s="376">
        <v>104108</v>
      </c>
      <c r="F119" s="586"/>
      <c r="G119" s="586"/>
      <c r="H119" s="376">
        <v>1191274</v>
      </c>
      <c r="I119" s="133"/>
      <c r="J119" s="376">
        <v>98185</v>
      </c>
      <c r="K119" s="376">
        <v>1026709</v>
      </c>
      <c r="L119" s="133"/>
      <c r="M119" s="134"/>
      <c r="N119" s="134"/>
      <c r="O119" s="134"/>
      <c r="P119" s="134"/>
      <c r="Q119" s="134"/>
      <c r="R119" s="134"/>
      <c r="S119" s="134"/>
      <c r="T119" s="134"/>
      <c r="U119" s="134"/>
    </row>
    <row customHeight="1" ht="14.25">
      <c r="A120" s="586"/>
      <c r="B120" s="684"/>
      <c r="C120" s="586"/>
      <c r="D120" s="586"/>
      <c r="E120" s="133"/>
      <c r="F120" s="586"/>
      <c r="G120" s="586"/>
      <c r="H120" s="133"/>
      <c r="I120" s="133"/>
      <c r="J120" s="133"/>
      <c r="K120" s="133"/>
      <c r="L120" s="133"/>
      <c r="M120" s="134"/>
      <c r="N120" s="134"/>
      <c r="O120" s="134"/>
      <c r="P120" s="134"/>
      <c r="Q120" s="134"/>
      <c r="R120" s="134"/>
      <c r="S120" s="134"/>
      <c r="T120" s="134"/>
      <c r="U120" s="134"/>
    </row>
    <row customHeight="1" ht="14.25">
      <c r="A121" s="586"/>
      <c r="B121" s="684"/>
      <c r="C121" s="586"/>
      <c r="D121" s="586"/>
      <c r="E121" s="376">
        <v>194670</v>
      </c>
      <c r="F121" s="586"/>
      <c r="G121" s="586"/>
      <c r="H121" s="376">
        <v>2388739</v>
      </c>
      <c r="I121" s="133"/>
      <c r="J121" s="376">
        <v>158779</v>
      </c>
      <c r="K121" s="376">
        <v>2366904</v>
      </c>
      <c r="L121" s="133"/>
      <c r="M121" s="134"/>
      <c r="N121" s="134"/>
      <c r="O121" s="134"/>
      <c r="P121" s="134"/>
      <c r="Q121" s="134"/>
      <c r="R121" s="134"/>
      <c r="S121" s="134"/>
      <c r="T121" s="134"/>
      <c r="U121" s="134"/>
    </row>
    <row customHeight="1" ht="14.25">
      <c r="A122" s="586"/>
      <c r="B122" s="684"/>
      <c r="C122" s="586"/>
      <c r="D122" s="586"/>
      <c r="E122" s="376"/>
      <c r="F122" s="586"/>
      <c r="G122" s="586"/>
      <c r="H122" s="376"/>
      <c r="I122" s="133"/>
      <c r="J122" s="376"/>
      <c r="K122" s="376"/>
      <c r="L122" s="133"/>
      <c r="M122" s="134"/>
      <c r="N122" s="134"/>
      <c r="O122" s="134"/>
      <c r="P122" s="134"/>
      <c r="Q122" s="134"/>
      <c r="R122" s="134"/>
      <c r="S122" s="134"/>
      <c r="T122" s="134"/>
      <c r="U122" s="134"/>
    </row>
    <row customHeight="1" ht="14.25">
      <c r="A123" s="586"/>
      <c r="B123" s="684"/>
      <c r="C123" s="586"/>
      <c r="D123" s="586"/>
      <c r="E123" s="376">
        <v>0</v>
      </c>
      <c r="F123" s="586"/>
      <c r="G123" s="586"/>
      <c r="H123" s="376">
        <v>0</v>
      </c>
      <c r="I123" s="133"/>
      <c r="J123" s="376">
        <v>0</v>
      </c>
      <c r="K123" s="376">
        <v>0</v>
      </c>
      <c r="L123" s="133"/>
      <c r="M123" s="134"/>
      <c r="N123" s="134"/>
      <c r="O123" s="134"/>
      <c r="P123" s="134"/>
      <c r="Q123" s="134"/>
      <c r="R123" s="134"/>
      <c r="S123" s="134"/>
      <c r="T123" s="134"/>
      <c r="U123" s="134"/>
    </row>
    <row customHeight="1" ht="14.25">
      <c r="A124" s="586"/>
      <c r="B124" s="684"/>
      <c r="C124" s="586"/>
      <c r="D124" s="586"/>
      <c r="E124" s="133"/>
      <c r="F124" s="586"/>
      <c r="G124" s="586"/>
      <c r="H124" s="133"/>
      <c r="I124" s="133"/>
      <c r="J124" s="133"/>
      <c r="K124" s="133"/>
      <c r="L124" s="133"/>
      <c r="M124" s="134"/>
      <c r="N124" s="134"/>
      <c r="O124" s="134"/>
      <c r="P124" s="134"/>
      <c r="Q124" s="134"/>
      <c r="R124" s="134"/>
      <c r="S124" s="134"/>
      <c r="T124" s="134"/>
      <c r="U124" s="134"/>
    </row>
    <row customHeight="1" ht="14.25">
      <c r="A125" s="586"/>
      <c r="B125" s="684"/>
      <c r="C125" s="586"/>
      <c r="D125" s="586"/>
      <c r="E125" s="376">
        <v>10092</v>
      </c>
      <c r="F125" s="586"/>
      <c r="G125" s="586"/>
      <c r="H125" s="376">
        <v>102470</v>
      </c>
      <c r="I125" s="133"/>
      <c r="J125" s="376">
        <v>4948</v>
      </c>
      <c r="K125" s="376">
        <v>70434</v>
      </c>
      <c r="L125" s="133"/>
      <c r="M125" s="134"/>
      <c r="N125" s="134"/>
      <c r="O125" s="134"/>
      <c r="P125" s="134"/>
      <c r="Q125" s="134"/>
      <c r="R125" s="134"/>
      <c r="S125" s="134"/>
      <c r="T125" s="134"/>
      <c r="U125" s="134"/>
    </row>
    <row customHeight="1" ht="14.25">
      <c r="A126" s="586"/>
      <c r="B126" s="684"/>
      <c r="C126" s="586"/>
      <c r="D126" s="586"/>
      <c r="E126" s="133"/>
      <c r="F126" s="586"/>
      <c r="G126" s="586"/>
      <c r="H126" s="133"/>
      <c r="I126" s="133"/>
      <c r="J126" s="133"/>
      <c r="K126" s="133"/>
      <c r="L126" s="133"/>
      <c r="M126" s="134"/>
      <c r="N126" s="134"/>
      <c r="O126" s="134"/>
      <c r="P126" s="134"/>
      <c r="Q126" s="134"/>
      <c r="R126" s="134"/>
      <c r="S126" s="134"/>
      <c r="T126" s="134"/>
      <c r="U126" s="134"/>
    </row>
    <row customHeight="1" ht="14.25">
      <c r="A127" s="586"/>
      <c r="B127" s="684"/>
      <c r="C127" s="586"/>
      <c r="D127" s="586"/>
      <c r="E127" s="133">
        <v>2774.68</v>
      </c>
      <c r="F127" s="586"/>
      <c r="G127" s="586"/>
      <c r="H127" s="133">
        <v>24882.5</v>
      </c>
      <c r="I127" s="133"/>
      <c r="J127" s="133">
        <v>2189.14</v>
      </c>
      <c r="K127" s="133">
        <v>25635.58</v>
      </c>
      <c r="L127" s="133"/>
      <c r="M127" s="134"/>
      <c r="N127" s="134"/>
      <c r="O127" s="134"/>
      <c r="P127" s="134"/>
      <c r="Q127" s="134"/>
      <c r="R127" s="134"/>
      <c r="S127" s="134"/>
      <c r="T127" s="134"/>
      <c r="U127" s="134"/>
    </row>
    <row customHeight="1" ht="14.25">
      <c r="A128" s="586"/>
      <c r="B128" s="684"/>
      <c r="C128" s="586"/>
      <c r="D128" s="586"/>
      <c r="E128" s="133"/>
      <c r="F128" s="586"/>
      <c r="G128" s="586"/>
      <c r="H128" s="133"/>
      <c r="I128" s="133"/>
      <c r="J128" s="133"/>
      <c r="K128" s="133"/>
      <c r="L128" s="133"/>
      <c r="M128" s="134"/>
      <c r="N128" s="134"/>
      <c r="O128" s="134"/>
      <c r="P128" s="134"/>
      <c r="Q128" s="134"/>
      <c r="R128" s="134"/>
      <c r="S128" s="134"/>
      <c r="T128" s="134"/>
      <c r="U128" s="134"/>
    </row>
    <row customHeight="1" ht="14.25">
      <c r="A129" s="586"/>
      <c r="B129" s="684"/>
      <c r="C129" s="586"/>
      <c r="D129" s="586"/>
      <c r="E129" s="133">
        <v>5234.98</v>
      </c>
      <c r="F129" s="586"/>
      <c r="G129" s="586"/>
      <c r="H129" s="133">
        <v>89114.86</v>
      </c>
      <c r="I129" s="133"/>
      <c r="J129" s="133">
        <v>8826.36</v>
      </c>
      <c r="K129" s="133">
        <v>96150.36</v>
      </c>
      <c r="L129" s="133"/>
      <c r="M129" s="134"/>
      <c r="N129" s="134"/>
      <c r="O129" s="134"/>
      <c r="P129" s="134"/>
      <c r="Q129" s="134"/>
      <c r="R129" s="134"/>
      <c r="S129" s="134"/>
      <c r="T129" s="134"/>
      <c r="U129" s="134"/>
    </row>
    <row customHeight="1" ht="14.25">
      <c r="A130" s="586"/>
      <c r="B130" s="684"/>
      <c r="C130" s="586"/>
      <c r="D130" s="586"/>
      <c r="E130" s="133"/>
      <c r="F130" s="586"/>
      <c r="G130" s="586"/>
      <c r="H130" s="133"/>
      <c r="I130" s="133"/>
      <c r="J130" s="133"/>
      <c r="K130" s="133"/>
      <c r="L130" s="133"/>
      <c r="M130" s="134"/>
      <c r="N130" s="134"/>
      <c r="O130" s="134"/>
      <c r="P130" s="134"/>
      <c r="Q130" s="134"/>
      <c r="R130" s="134"/>
      <c r="S130" s="134"/>
      <c r="T130" s="134"/>
      <c r="U130" s="134"/>
    </row>
    <row customHeight="1" ht="14.25">
      <c r="A131" s="586"/>
      <c r="B131" s="586"/>
      <c r="C131" s="586"/>
      <c r="D131" s="586"/>
      <c r="E131" s="133">
        <v>15235.64</v>
      </c>
      <c r="F131" s="586"/>
      <c r="G131" s="586"/>
      <c r="H131" s="133">
        <v>172735.84</v>
      </c>
      <c r="I131" s="133"/>
      <c r="J131" s="133">
        <v>12652.82</v>
      </c>
      <c r="K131" s="133">
        <v>159864.48</v>
      </c>
      <c r="L131" s="133"/>
      <c r="M131" s="134"/>
      <c r="N131" s="134"/>
      <c r="O131" s="134"/>
      <c r="P131" s="134"/>
      <c r="Q131" s="134"/>
      <c r="R131" s="134"/>
      <c r="S131" s="134"/>
      <c r="T131" s="134"/>
      <c r="U131" s="134"/>
    </row>
    <row customHeight="1" ht="14.25">
      <c r="A132" s="586"/>
      <c r="B132" s="586"/>
      <c r="C132" s="586"/>
      <c r="D132" s="586"/>
      <c r="E132" s="133"/>
      <c r="F132" s="586"/>
      <c r="G132" s="586"/>
      <c r="H132" s="133"/>
      <c r="I132" s="133"/>
      <c r="J132" s="133"/>
      <c r="K132" s="133"/>
      <c r="L132" s="133"/>
      <c r="M132" s="134"/>
      <c r="N132" s="134"/>
      <c r="O132" s="134"/>
      <c r="P132" s="134"/>
      <c r="Q132" s="134"/>
      <c r="R132" s="134"/>
      <c r="S132" s="134"/>
      <c r="T132" s="134"/>
      <c r="U132" s="134"/>
    </row>
    <row customHeight="1" ht="14.25">
      <c r="A133" s="586"/>
      <c r="B133" s="684"/>
      <c r="C133" s="586"/>
      <c r="D133" s="586"/>
      <c r="E133" s="133">
        <v>0</v>
      </c>
      <c r="F133" s="586"/>
      <c r="G133" s="586"/>
      <c r="H133" s="133">
        <v>0</v>
      </c>
      <c r="I133" s="133"/>
      <c r="J133" s="133">
        <v>0</v>
      </c>
      <c r="K133" s="133">
        <v>0</v>
      </c>
      <c r="L133" s="133"/>
      <c r="M133" s="134"/>
      <c r="N133" s="134"/>
      <c r="O133" s="134"/>
      <c r="P133" s="134"/>
      <c r="Q133" s="134"/>
      <c r="R133" s="134"/>
      <c r="S133" s="134"/>
      <c r="T133" s="134"/>
      <c r="U133" s="134"/>
    </row>
    <row customHeight="1" ht="14.25">
      <c r="A134" s="586"/>
      <c r="B134" s="684"/>
      <c r="C134" s="586"/>
      <c r="D134" s="586"/>
      <c r="E134" s="133"/>
      <c r="F134" s="586"/>
      <c r="G134" s="586"/>
      <c r="H134" s="133"/>
      <c r="I134" s="133"/>
      <c r="J134" s="133"/>
      <c r="K134" s="133"/>
      <c r="L134" s="133"/>
      <c r="M134" s="134"/>
      <c r="N134" s="134"/>
      <c r="O134" s="134"/>
      <c r="P134" s="134"/>
      <c r="Q134" s="134"/>
      <c r="R134" s="134"/>
      <c r="S134" s="134"/>
      <c r="T134" s="134"/>
      <c r="U134" s="134"/>
    </row>
    <row customHeight="1" ht="14.25">
      <c r="A135" s="586"/>
      <c r="B135" s="684"/>
      <c r="C135" s="586"/>
      <c r="D135" s="586"/>
      <c r="E135" s="133"/>
      <c r="F135" s="586"/>
      <c r="G135" s="586"/>
      <c r="H135" s="133"/>
      <c r="I135" s="133"/>
      <c r="J135" s="133"/>
      <c r="K135" s="133"/>
      <c r="L135" s="133"/>
      <c r="M135" s="134"/>
      <c r="N135" s="134"/>
      <c r="O135" s="134"/>
      <c r="P135" s="134"/>
      <c r="Q135" s="134"/>
      <c r="R135" s="134"/>
      <c r="S135" s="134"/>
      <c r="T135" s="134"/>
      <c r="U135" s="134"/>
    </row>
    <row customHeight="1" ht="14.25">
      <c r="A136" s="586"/>
      <c r="B136" s="684"/>
      <c r="C136" s="586"/>
      <c r="D136" s="586"/>
      <c r="E136" s="133"/>
      <c r="F136" s="586"/>
      <c r="G136" s="586"/>
      <c r="H136" s="133"/>
      <c r="I136" s="133"/>
      <c r="J136" s="133"/>
      <c r="K136" s="133"/>
      <c r="L136" s="133"/>
      <c r="M136" s="134"/>
      <c r="N136" s="134"/>
      <c r="O136" s="134"/>
      <c r="P136" s="134"/>
      <c r="Q136" s="134"/>
      <c r="R136" s="134"/>
      <c r="S136" s="134"/>
      <c r="T136" s="134"/>
      <c r="U136" s="134"/>
    </row>
    <row customHeight="1" ht="14.25">
      <c r="A137" s="586"/>
      <c r="B137" s="684"/>
      <c r="C137" s="586"/>
      <c r="D137" s="586"/>
      <c r="E137" s="133">
        <v>1678</v>
      </c>
      <c r="F137" s="586"/>
      <c r="G137" s="586"/>
      <c r="H137" s="133">
        <v>21283.62</v>
      </c>
      <c r="I137" s="133"/>
      <c r="J137" s="133">
        <v>2583.04</v>
      </c>
      <c r="K137" s="133">
        <v>20716.9</v>
      </c>
      <c r="L137" s="133"/>
      <c r="M137" s="134"/>
      <c r="N137" s="134"/>
      <c r="O137" s="134"/>
      <c r="P137" s="134"/>
      <c r="Q137" s="134"/>
      <c r="R137" s="134"/>
      <c r="S137" s="134"/>
      <c r="T137" s="134"/>
      <c r="U137" s="134"/>
    </row>
    <row customHeight="1" ht="14.25">
      <c r="A138" s="586"/>
      <c r="B138" s="377"/>
      <c r="C138" s="586"/>
      <c r="D138" s="586"/>
      <c r="E138" s="133"/>
      <c r="F138" s="586"/>
      <c r="G138" s="586"/>
      <c r="H138" s="133"/>
      <c r="I138" s="133"/>
      <c r="J138" s="133"/>
      <c r="K138" s="133"/>
      <c r="L138" s="133"/>
      <c r="M138" s="134"/>
      <c r="N138" s="134"/>
      <c r="O138" s="134"/>
      <c r="P138" s="134"/>
      <c r="Q138" s="134"/>
      <c r="R138" s="134"/>
      <c r="S138" s="134"/>
      <c r="T138" s="134"/>
      <c r="U138" s="134"/>
    </row>
    <row customHeight="1" ht="14.25">
      <c r="A139" s="586"/>
      <c r="B139" s="684"/>
      <c r="C139" s="586"/>
      <c r="D139" s="586"/>
      <c r="E139" s="133">
        <v>9078</v>
      </c>
      <c r="F139" s="586"/>
      <c r="G139" s="586"/>
      <c r="H139" s="133">
        <v>94304</v>
      </c>
      <c r="I139" s="133"/>
      <c r="J139" s="133">
        <v>8765</v>
      </c>
      <c r="K139" s="133">
        <v>93538</v>
      </c>
      <c r="L139" s="133"/>
      <c r="M139" s="134"/>
      <c r="N139" s="134"/>
      <c r="O139" s="134"/>
      <c r="P139" s="134"/>
      <c r="Q139" s="134"/>
      <c r="R139" s="134"/>
      <c r="S139" s="134"/>
      <c r="T139" s="134"/>
      <c r="U139" s="134"/>
    </row>
    <row customHeight="1" ht="14.25">
      <c r="A140" s="586"/>
      <c r="B140" s="684"/>
      <c r="C140" s="586"/>
      <c r="D140" s="586"/>
      <c r="E140" s="133"/>
      <c r="F140" s="586"/>
      <c r="G140" s="586"/>
      <c r="H140" s="133"/>
      <c r="I140" s="133"/>
      <c r="J140" s="133"/>
      <c r="K140" s="133"/>
      <c r="L140" s="133"/>
      <c r="M140" s="134"/>
      <c r="N140" s="134"/>
      <c r="O140" s="134"/>
      <c r="P140" s="134"/>
      <c r="Q140" s="134"/>
      <c r="R140" s="134"/>
      <c r="S140" s="134"/>
      <c r="T140" s="134"/>
      <c r="U140" s="134"/>
    </row>
    <row customHeight="1" ht="14.25">
      <c r="A141" s="586"/>
      <c r="B141" s="377"/>
      <c r="C141" s="586"/>
      <c r="D141" s="586"/>
      <c r="E141" s="133">
        <v>4995</v>
      </c>
      <c r="F141" s="586"/>
      <c r="G141" s="586"/>
      <c r="H141" s="133">
        <v>54371</v>
      </c>
      <c r="I141" s="133"/>
      <c r="J141" s="133">
        <v>4669</v>
      </c>
      <c r="K141" s="133">
        <v>49862</v>
      </c>
      <c r="L141" s="133"/>
      <c r="M141" s="134"/>
      <c r="N141" s="134"/>
      <c r="O141" s="134"/>
      <c r="P141" s="134"/>
      <c r="Q141" s="134"/>
      <c r="R141" s="134"/>
      <c r="S141" s="134"/>
      <c r="T141" s="134"/>
      <c r="U141" s="134"/>
    </row>
    <row customHeight="1" ht="14.25">
      <c r="A142" s="586"/>
      <c r="B142" s="684"/>
      <c r="C142" s="586"/>
      <c r="D142" s="586"/>
      <c r="E142" s="133"/>
      <c r="F142" s="586"/>
      <c r="G142" s="586"/>
      <c r="H142" s="133"/>
      <c r="I142" s="133"/>
      <c r="J142" s="133"/>
      <c r="K142" s="133"/>
      <c r="L142" s="133"/>
      <c r="M142" s="134"/>
      <c r="N142" s="134"/>
      <c r="O142" s="134"/>
      <c r="P142" s="134"/>
      <c r="Q142" s="134"/>
      <c r="R142" s="134"/>
      <c r="S142" s="134"/>
      <c r="T142" s="134"/>
      <c r="U142" s="134"/>
    </row>
    <row customHeight="1" ht="14.25">
      <c r="A143" s="586"/>
      <c r="B143" s="684"/>
      <c r="C143" s="586"/>
      <c r="D143" s="586"/>
      <c r="E143" s="133">
        <v>1446.64</v>
      </c>
      <c r="F143" s="586"/>
      <c r="G143" s="586"/>
      <c r="H143" s="133">
        <v>7435.6</v>
      </c>
      <c r="I143" s="133"/>
      <c r="J143" s="133">
        <v>0</v>
      </c>
      <c r="K143" s="133">
        <v>2472.16</v>
      </c>
      <c r="L143" s="133"/>
      <c r="M143" s="134"/>
      <c r="N143" s="134"/>
      <c r="O143" s="134"/>
      <c r="P143" s="134"/>
      <c r="Q143" s="134"/>
      <c r="R143" s="134"/>
      <c r="S143" s="134"/>
      <c r="T143" s="134"/>
      <c r="U143" s="134"/>
    </row>
    <row customHeight="1" ht="14.25">
      <c r="A144" s="586"/>
      <c r="B144" s="684"/>
      <c r="C144" s="586"/>
      <c r="D144" s="586"/>
      <c r="E144" s="133"/>
      <c r="F144" s="586"/>
      <c r="G144" s="586"/>
      <c r="H144" s="133"/>
      <c r="I144" s="133"/>
      <c r="J144" s="133"/>
      <c r="K144" s="133"/>
      <c r="L144" s="133"/>
      <c r="M144" s="134"/>
      <c r="N144" s="134"/>
      <c r="O144" s="134"/>
      <c r="P144" s="134"/>
      <c r="Q144" s="134"/>
      <c r="R144" s="134"/>
      <c r="S144" s="134"/>
      <c r="T144" s="134"/>
      <c r="U144" s="134"/>
    </row>
    <row customHeight="1" ht="14.25">
      <c r="A145" s="586"/>
      <c r="B145" s="684"/>
      <c r="C145" s="586"/>
      <c r="D145" s="586"/>
      <c r="E145" s="133">
        <v>5307</v>
      </c>
      <c r="F145" s="586"/>
      <c r="G145" s="586"/>
      <c r="H145" s="133">
        <v>47549</v>
      </c>
      <c r="I145" s="133"/>
      <c r="J145" s="133">
        <v>5445</v>
      </c>
      <c r="K145" s="133">
        <v>56046</v>
      </c>
      <c r="L145" s="133"/>
      <c r="M145" s="134"/>
      <c r="N145" s="134"/>
      <c r="O145" s="134"/>
      <c r="P145" s="134"/>
      <c r="Q145" s="134"/>
      <c r="R145" s="134"/>
      <c r="S145" s="134"/>
      <c r="T145" s="134"/>
      <c r="U145" s="134"/>
    </row>
    <row customHeight="1" ht="14.25">
      <c r="A146" s="586"/>
      <c r="B146" s="684"/>
      <c r="C146" s="586"/>
      <c r="D146" s="586"/>
      <c r="E146" s="133"/>
      <c r="F146" s="586"/>
      <c r="G146" s="586"/>
      <c r="H146" s="133"/>
      <c r="I146" s="133"/>
      <c r="J146" s="133"/>
      <c r="K146" s="133"/>
      <c r="L146" s="133"/>
      <c r="M146" s="134"/>
      <c r="N146" s="134"/>
      <c r="O146" s="134"/>
      <c r="P146" s="134"/>
      <c r="Q146" s="134"/>
      <c r="R146" s="134"/>
      <c r="S146" s="134"/>
      <c r="T146" s="134"/>
      <c r="U146" s="134"/>
    </row>
    <row customHeight="1" ht="14.25">
      <c r="A147" s="586"/>
      <c r="B147" s="684"/>
      <c r="C147" s="586"/>
      <c r="D147" s="586"/>
      <c r="E147" s="133">
        <v>365</v>
      </c>
      <c r="F147" s="586"/>
      <c r="G147" s="586"/>
      <c r="H147" s="133">
        <v>4084</v>
      </c>
      <c r="I147" s="133"/>
      <c r="J147" s="133">
        <v>265</v>
      </c>
      <c r="K147" s="133">
        <v>3319</v>
      </c>
      <c r="L147" s="133"/>
      <c r="M147" s="134"/>
      <c r="N147" s="134"/>
      <c r="O147" s="134"/>
      <c r="P147" s="134"/>
      <c r="Q147" s="134"/>
      <c r="R147" s="134"/>
      <c r="S147" s="134"/>
      <c r="T147" s="134"/>
      <c r="U147" s="134"/>
    </row>
    <row customHeight="1" ht="14.25">
      <c r="A148" s="586"/>
      <c r="B148" s="684"/>
      <c r="C148" s="586"/>
      <c r="D148" s="586"/>
      <c r="E148" s="133"/>
      <c r="F148" s="586"/>
      <c r="G148" s="586"/>
      <c r="H148" s="133"/>
      <c r="I148" s="133"/>
      <c r="J148" s="133"/>
      <c r="K148" s="133"/>
      <c r="L148" s="133"/>
      <c r="M148" s="134"/>
      <c r="N148" s="134"/>
      <c r="O148" s="134"/>
      <c r="P148" s="134"/>
      <c r="Q148" s="134"/>
      <c r="R148" s="134"/>
      <c r="S148" s="134"/>
      <c r="T148" s="134"/>
      <c r="U148" s="134"/>
    </row>
    <row customHeight="1" ht="14.25">
      <c r="A149" s="586"/>
      <c r="B149" s="684"/>
      <c r="C149" s="586"/>
      <c r="D149" s="586"/>
      <c r="E149" s="133">
        <v>4425.8</v>
      </c>
      <c r="F149" s="586"/>
      <c r="G149" s="586"/>
      <c r="H149" s="133">
        <v>30850.34</v>
      </c>
      <c r="I149" s="133"/>
      <c r="J149" s="133">
        <v>3562.42</v>
      </c>
      <c r="K149" s="133">
        <v>45666.9</v>
      </c>
      <c r="L149" s="133"/>
      <c r="M149" s="134"/>
      <c r="N149" s="134"/>
      <c r="O149" s="134"/>
      <c r="P149" s="134"/>
      <c r="Q149" s="134"/>
      <c r="R149" s="134"/>
      <c r="S149" s="134"/>
      <c r="T149" s="134"/>
      <c r="U149" s="134"/>
    </row>
    <row customHeight="1" ht="14.25">
      <c r="A150" s="586"/>
      <c r="B150" s="684"/>
      <c r="C150" s="586"/>
      <c r="D150" s="586"/>
      <c r="E150" s="133"/>
      <c r="F150" s="586"/>
      <c r="G150" s="586"/>
      <c r="H150" s="133"/>
      <c r="I150" s="133"/>
      <c r="J150" s="133"/>
      <c r="K150" s="133"/>
      <c r="L150" s="133"/>
      <c r="M150" s="134"/>
      <c r="N150" s="134"/>
      <c r="O150" s="134"/>
      <c r="P150" s="134"/>
      <c r="Q150" s="134"/>
      <c r="R150" s="134"/>
      <c r="S150" s="134"/>
      <c r="T150" s="134"/>
      <c r="U150" s="134"/>
    </row>
    <row customHeight="1" ht="14.25">
      <c r="A151" s="586"/>
      <c r="B151" s="684"/>
      <c r="C151" s="586"/>
      <c r="D151" s="586"/>
      <c r="E151" s="133">
        <v>0</v>
      </c>
      <c r="F151" s="586"/>
      <c r="G151" s="586"/>
      <c r="H151" s="133">
        <v>177.14</v>
      </c>
      <c r="I151" s="133"/>
      <c r="J151" s="133">
        <v>0</v>
      </c>
      <c r="K151" s="133">
        <v>320.64</v>
      </c>
      <c r="L151" s="133"/>
      <c r="M151" s="134"/>
      <c r="N151" s="134"/>
      <c r="O151" s="134"/>
      <c r="P151" s="134"/>
      <c r="Q151" s="134"/>
      <c r="R151" s="134"/>
      <c r="S151" s="134"/>
      <c r="T151" s="134"/>
      <c r="U151" s="134"/>
    </row>
    <row customHeight="1" ht="14.25">
      <c r="A152" s="586"/>
      <c r="B152" s="684"/>
      <c r="C152" s="586"/>
      <c r="D152" s="586"/>
      <c r="E152" s="133"/>
      <c r="F152" s="586"/>
      <c r="G152" s="586"/>
      <c r="H152" s="133"/>
      <c r="I152" s="133"/>
      <c r="J152" s="133"/>
      <c r="K152" s="133"/>
      <c r="L152" s="133"/>
      <c r="M152" s="134"/>
      <c r="N152" s="134"/>
      <c r="O152" s="134"/>
      <c r="P152" s="134"/>
      <c r="Q152" s="134"/>
      <c r="R152" s="134"/>
      <c r="S152" s="134"/>
      <c r="T152" s="134"/>
      <c r="U152" s="134"/>
    </row>
    <row customHeight="1" ht="14.25">
      <c r="A153" s="586"/>
      <c r="B153" s="684"/>
      <c r="C153" s="586"/>
      <c r="D153" s="586"/>
      <c r="E153" s="133">
        <v>3313</v>
      </c>
      <c r="F153" s="586"/>
      <c r="G153" s="586"/>
      <c r="H153" s="133">
        <v>36964</v>
      </c>
      <c r="I153" s="133"/>
      <c r="J153" s="133">
        <v>3727</v>
      </c>
      <c r="K153" s="133">
        <v>37450</v>
      </c>
      <c r="L153" s="133"/>
      <c r="M153" s="134"/>
      <c r="N153" s="134"/>
      <c r="O153" s="134"/>
      <c r="P153" s="134"/>
      <c r="Q153" s="134"/>
      <c r="R153" s="134"/>
      <c r="S153" s="134"/>
      <c r="T153" s="134"/>
      <c r="U153" s="134"/>
    </row>
    <row customHeight="1" ht="14.25">
      <c r="A154" s="586"/>
      <c r="B154" s="684"/>
      <c r="C154" s="586"/>
      <c r="D154" s="586"/>
      <c r="E154" s="133"/>
      <c r="F154" s="586"/>
      <c r="G154" s="586"/>
      <c r="H154" s="133"/>
      <c r="I154" s="133"/>
      <c r="J154" s="133"/>
      <c r="K154" s="133"/>
      <c r="L154" s="133"/>
      <c r="M154" s="134"/>
      <c r="N154" s="134"/>
      <c r="O154" s="134"/>
      <c r="P154" s="134"/>
      <c r="Q154" s="134"/>
      <c r="R154" s="134"/>
      <c r="S154" s="134"/>
      <c r="T154" s="134"/>
      <c r="U154" s="134"/>
    </row>
    <row customHeight="1" ht="14.25">
      <c r="A155" s="586"/>
      <c r="B155" s="684"/>
      <c r="C155" s="586"/>
      <c r="D155" s="586"/>
      <c r="E155" s="133">
        <v>956886.3</v>
      </c>
      <c r="F155" s="586"/>
      <c r="G155" s="586"/>
      <c r="H155" s="133">
        <v>11089838.933</v>
      </c>
      <c r="I155" s="133"/>
      <c r="J155" s="133">
        <v>918733.84</v>
      </c>
      <c r="K155" s="133"/>
      <c r="L155" s="133"/>
      <c r="M155" s="134"/>
      <c r="N155" s="134"/>
      <c r="O155" s="134"/>
      <c r="P155" s="134"/>
      <c r="Q155" s="134"/>
      <c r="R155" s="134"/>
      <c r="S155" s="134"/>
      <c r="T155" s="134"/>
      <c r="U155" s="134"/>
    </row>
    <row customHeight="1" ht="14.25">
      <c r="A156" s="586"/>
      <c r="B156" s="377"/>
      <c r="C156" s="586"/>
      <c r="D156" s="586"/>
      <c r="E156" s="133">
        <v>989402</v>
      </c>
      <c r="F156" s="586"/>
      <c r="G156" s="586"/>
      <c r="H156" s="133">
        <v>11464025.737</v>
      </c>
      <c r="I156" s="133"/>
      <c r="J156" s="133">
        <v>951094.579</v>
      </c>
      <c r="K156" s="133"/>
      <c r="L156" s="133"/>
      <c r="M156" s="134"/>
      <c r="N156" s="134"/>
      <c r="O156" s="134"/>
      <c r="P156" s="134"/>
      <c r="Q156" s="134"/>
      <c r="R156" s="134"/>
      <c r="S156" s="134"/>
      <c r="T156" s="134"/>
      <c r="U156" s="134"/>
    </row>
    <row customHeight="1" ht="14.25">
      <c r="A157" s="586"/>
      <c r="B157" s="684"/>
      <c r="C157" s="586"/>
      <c r="D157" s="586"/>
      <c r="E157" s="133"/>
      <c r="F157" s="586"/>
      <c r="G157" s="586"/>
      <c r="H157" s="133"/>
      <c r="I157" s="133"/>
      <c r="J157" s="133"/>
      <c r="K157" s="133"/>
      <c r="L157" s="133"/>
      <c r="M157" s="134"/>
      <c r="N157" s="134"/>
      <c r="O157" s="134"/>
      <c r="P157" s="134"/>
      <c r="Q157" s="134"/>
      <c r="R157" s="134"/>
      <c r="S157" s="134"/>
      <c r="T157" s="134"/>
      <c r="U157" s="134"/>
    </row>
    <row customHeight="1" ht="14.25">
      <c r="A158" s="586"/>
      <c r="B158" s="684"/>
      <c r="C158" s="586"/>
      <c r="D158" s="586"/>
      <c r="E158" s="133">
        <v>24938</v>
      </c>
      <c r="F158" s="586"/>
      <c r="G158" s="586"/>
      <c r="H158" s="133">
        <v>287320</v>
      </c>
      <c r="I158" s="133"/>
      <c r="J158" s="133">
        <v>24530</v>
      </c>
      <c r="K158" s="133">
        <v>282764</v>
      </c>
      <c r="L158" s="133"/>
      <c r="M158" s="134"/>
      <c r="N158" s="134"/>
      <c r="O158" s="134"/>
      <c r="P158" s="134"/>
      <c r="Q158" s="134"/>
      <c r="R158" s="134"/>
      <c r="S158" s="134"/>
      <c r="T158" s="134"/>
      <c r="U158" s="134"/>
    </row>
    <row customHeight="1" ht="14.25">
      <c r="A159" s="586"/>
      <c r="B159" s="684"/>
      <c r="C159" s="586"/>
      <c r="D159" s="586"/>
      <c r="E159" s="133">
        <v>989402</v>
      </c>
      <c r="F159" s="586"/>
      <c r="G159" s="586"/>
      <c r="H159" s="133">
        <v>11464025.737</v>
      </c>
      <c r="I159" s="133"/>
      <c r="J159" s="133">
        <v>951094.579</v>
      </c>
      <c r="K159" s="133">
        <v>11139366.842</v>
      </c>
      <c r="L159" s="133"/>
      <c r="M159" s="134"/>
      <c r="N159" s="134"/>
      <c r="O159" s="134"/>
      <c r="P159" s="134"/>
      <c r="Q159" s="134"/>
      <c r="R159" s="134"/>
      <c r="S159" s="134"/>
      <c r="T159" s="134"/>
      <c r="U159" s="134"/>
    </row>
    <row customHeight="1" ht="14.25">
      <c r="A160" s="586"/>
      <c r="B160" s="684"/>
      <c r="C160" s="586"/>
      <c r="D160" s="586"/>
      <c r="E160" s="133"/>
      <c r="F160" s="586"/>
      <c r="G160" s="586"/>
      <c r="H160" s="133"/>
      <c r="I160" s="133"/>
      <c r="J160" s="133"/>
      <c r="K160" s="133"/>
      <c r="L160" s="133"/>
      <c r="M160" s="134"/>
      <c r="N160" s="134"/>
      <c r="O160" s="134"/>
      <c r="P160" s="134"/>
      <c r="Q160" s="134"/>
      <c r="R160" s="134"/>
      <c r="S160" s="134"/>
      <c r="T160" s="134"/>
      <c r="U160" s="134"/>
    </row>
    <row customHeight="1" ht="14.25">
      <c r="A161" s="586"/>
      <c r="B161" s="684"/>
      <c r="C161" s="586"/>
      <c r="D161" s="586"/>
      <c r="E161" s="133">
        <v>7578.36</v>
      </c>
      <c r="F161" s="586"/>
      <c r="G161" s="586"/>
      <c r="H161" s="133">
        <v>86866.61999999998</v>
      </c>
      <c r="I161" s="133"/>
      <c r="J161" s="133">
        <v>7830.6</v>
      </c>
      <c r="K161" s="133">
        <v>94228.78000000001</v>
      </c>
      <c r="L161" s="133"/>
      <c r="M161" s="134"/>
      <c r="N161" s="134"/>
      <c r="O161" s="134"/>
      <c r="P161" s="134"/>
      <c r="Q161" s="134"/>
      <c r="R161" s="134"/>
      <c r="S161" s="134"/>
      <c r="T161" s="134"/>
      <c r="U161" s="134"/>
    </row>
    <row customHeight="1" ht="14.25">
      <c r="A162" s="586"/>
      <c r="B162" s="684"/>
      <c r="C162" s="586"/>
      <c r="D162" s="586"/>
      <c r="E162" s="133">
        <v>989402</v>
      </c>
      <c r="F162" s="586"/>
      <c r="G162" s="586"/>
      <c r="H162" s="133">
        <v>11464025.737</v>
      </c>
      <c r="I162" s="133"/>
      <c r="J162" s="133">
        <v>951094.579</v>
      </c>
      <c r="K162" s="133">
        <v>11139366.842</v>
      </c>
      <c r="L162" s="133"/>
      <c r="M162" s="134"/>
      <c r="N162" s="134"/>
      <c r="O162" s="134"/>
      <c r="P162" s="134"/>
      <c r="Q162" s="134"/>
      <c r="R162" s="134"/>
      <c r="S162" s="134"/>
      <c r="T162" s="134"/>
      <c r="U162" s="134"/>
    </row>
    <row customHeight="1" ht="14.25">
      <c r="A163" s="586"/>
      <c r="B163" s="684"/>
      <c r="C163" s="586"/>
      <c r="D163" s="586"/>
      <c r="E163" s="133"/>
      <c r="F163" s="586"/>
      <c r="G163" s="586"/>
      <c r="H163" s="133"/>
      <c r="I163" s="133"/>
      <c r="J163" s="133"/>
      <c r="K163" s="133"/>
      <c r="L163" s="133"/>
      <c r="M163" s="134"/>
      <c r="N163" s="134"/>
      <c r="O163" s="134"/>
      <c r="P163" s="134"/>
      <c r="Q163" s="134"/>
      <c r="R163" s="134"/>
      <c r="S163" s="134"/>
      <c r="T163" s="134"/>
      <c r="U163" s="134"/>
    </row>
    <row customHeight="1" ht="14.25">
      <c r="A164" s="586"/>
      <c r="B164" s="688"/>
      <c r="C164" s="586"/>
      <c r="D164" s="586"/>
      <c r="E164" s="133">
        <v>24552.64</v>
      </c>
      <c r="F164" s="586"/>
      <c r="G164" s="586"/>
      <c r="H164" s="133">
        <v>271660.8</v>
      </c>
      <c r="I164" s="133"/>
      <c r="J164" s="133">
        <v>23195.67</v>
      </c>
      <c r="K164" s="133">
        <v>264731.18</v>
      </c>
      <c r="L164" s="133"/>
      <c r="M164" s="134"/>
      <c r="N164" s="134"/>
      <c r="O164" s="134"/>
      <c r="P164" s="134"/>
      <c r="Q164" s="134"/>
      <c r="R164" s="134"/>
      <c r="S164" s="134"/>
      <c r="T164" s="134"/>
      <c r="U164" s="134"/>
    </row>
    <row customHeight="1" ht="14.25">
      <c r="A165" s="586"/>
      <c r="B165" s="688"/>
      <c r="C165" s="586"/>
      <c r="D165" s="586"/>
      <c r="E165" s="133">
        <v>524629</v>
      </c>
      <c r="F165" s="586"/>
      <c r="G165" s="586"/>
      <c r="H165" s="133">
        <v>5905379</v>
      </c>
      <c r="I165" s="133"/>
      <c r="J165" s="133">
        <v>466526</v>
      </c>
      <c r="K165" s="133">
        <v>5739709</v>
      </c>
      <c r="L165" s="133"/>
      <c r="M165" s="134"/>
      <c r="N165" s="134"/>
      <c r="O165" s="134"/>
      <c r="P165" s="134"/>
      <c r="Q165" s="134"/>
      <c r="R165" s="134"/>
      <c r="S165" s="134"/>
      <c r="T165" s="134"/>
      <c r="U165" s="134"/>
    </row>
    <row customHeight="1" ht="14.25">
      <c r="A166" s="586"/>
      <c r="B166" s="688"/>
      <c r="C166" s="586"/>
      <c r="D166" s="586"/>
      <c r="E166" s="133"/>
      <c r="F166" s="586"/>
      <c r="G166" s="586"/>
      <c r="H166" s="133"/>
      <c r="I166" s="133"/>
      <c r="J166" s="133"/>
      <c r="K166" s="133"/>
      <c r="L166" s="133"/>
      <c r="M166" s="134"/>
      <c r="N166" s="134"/>
      <c r="O166" s="134"/>
      <c r="P166" s="134"/>
      <c r="Q166" s="134"/>
      <c r="R166" s="134"/>
      <c r="S166" s="134"/>
      <c r="T166" s="134"/>
      <c r="U166" s="134"/>
    </row>
    <row customHeight="1" ht="14.25">
      <c r="A167" s="586"/>
      <c r="B167" s="688"/>
      <c r="C167" s="586"/>
      <c r="D167" s="586"/>
      <c r="E167" s="133">
        <v>255588</v>
      </c>
      <c r="F167" s="586"/>
      <c r="G167" s="586"/>
      <c r="H167" s="133">
        <v>2868160</v>
      </c>
      <c r="I167" s="133"/>
      <c r="J167" s="133">
        <v>226755</v>
      </c>
      <c r="K167" s="133">
        <v>2780423</v>
      </c>
      <c r="L167" s="133"/>
      <c r="M167" s="134"/>
      <c r="N167" s="134"/>
      <c r="O167" s="134"/>
      <c r="P167" s="134"/>
      <c r="Q167" s="134"/>
      <c r="R167" s="134"/>
      <c r="S167" s="134"/>
      <c r="T167" s="134"/>
      <c r="U167" s="134"/>
    </row>
    <row customHeight="1" ht="14.25">
      <c r="A168" s="586"/>
      <c r="B168" s="688"/>
      <c r="C168" s="586"/>
      <c r="D168" s="586"/>
      <c r="E168" s="133">
        <v>524629</v>
      </c>
      <c r="F168" s="586"/>
      <c r="G168" s="586"/>
      <c r="H168" s="133">
        <v>5905379</v>
      </c>
      <c r="I168" s="133"/>
      <c r="J168" s="133">
        <v>466526</v>
      </c>
      <c r="K168" s="133">
        <v>5739709</v>
      </c>
      <c r="L168" s="133"/>
      <c r="M168" s="134"/>
      <c r="N168" s="134"/>
      <c r="O168" s="134"/>
      <c r="P168" s="134"/>
      <c r="Q168" s="134"/>
      <c r="R168" s="134"/>
      <c r="S168" s="134"/>
      <c r="T168" s="134"/>
      <c r="U168" s="134"/>
    </row>
    <row customHeight="1" ht="14.25">
      <c r="A169" s="586"/>
      <c r="B169" s="586"/>
      <c r="C169" s="586"/>
      <c r="D169" s="586"/>
      <c r="E169" s="133"/>
      <c r="F169" s="586"/>
      <c r="G169" s="586"/>
      <c r="H169" s="133"/>
      <c r="I169" s="133"/>
      <c r="J169" s="133"/>
      <c r="K169" s="133"/>
      <c r="L169" s="133"/>
      <c r="M169" s="134"/>
      <c r="N169" s="134"/>
      <c r="O169" s="134"/>
      <c r="P169" s="134"/>
      <c r="Q169" s="134"/>
      <c r="R169" s="134"/>
      <c r="S169" s="134"/>
      <c r="T169" s="134"/>
      <c r="U169" s="134"/>
    </row>
    <row customHeight="1" ht="14.25">
      <c r="A170" s="586"/>
      <c r="B170" s="586"/>
      <c r="C170" s="586"/>
      <c r="D170" s="586"/>
      <c r="E170" s="133">
        <v>239230</v>
      </c>
      <c r="F170" s="586"/>
      <c r="G170" s="586"/>
      <c r="H170" s="133">
        <v>2647043</v>
      </c>
      <c r="I170" s="133"/>
      <c r="J170" s="133">
        <v>230702</v>
      </c>
      <c r="K170" s="133">
        <v>2596427</v>
      </c>
      <c r="L170" s="133"/>
      <c r="M170" s="134"/>
      <c r="N170" s="134"/>
      <c r="O170" s="134"/>
      <c r="P170" s="134"/>
      <c r="Q170" s="134"/>
      <c r="R170" s="134"/>
      <c r="S170" s="134"/>
      <c r="T170" s="134"/>
      <c r="U170" s="134"/>
    </row>
    <row customHeight="1" ht="14.25">
      <c r="A171" s="586"/>
      <c r="B171" s="586"/>
      <c r="C171" s="586"/>
      <c r="D171" s="586"/>
      <c r="E171" s="133">
        <v>271148</v>
      </c>
      <c r="F171" s="586"/>
      <c r="G171" s="586"/>
      <c r="H171" s="133">
        <v>3006003</v>
      </c>
      <c r="I171" s="133"/>
      <c r="J171" s="133">
        <v>261377</v>
      </c>
      <c r="K171" s="133">
        <v>2949656</v>
      </c>
      <c r="L171" s="133"/>
      <c r="M171" s="134"/>
      <c r="N171" s="134"/>
      <c r="O171" s="134"/>
      <c r="P171" s="134"/>
      <c r="Q171" s="134"/>
      <c r="R171" s="134"/>
      <c r="S171" s="134"/>
      <c r="T171" s="134"/>
      <c r="U171" s="134"/>
    </row>
    <row customHeight="1" ht="14.25">
      <c r="A172" s="586"/>
      <c r="B172" s="586"/>
      <c r="C172" s="586"/>
      <c r="D172" s="586"/>
      <c r="E172" s="133"/>
      <c r="F172" s="586"/>
      <c r="G172" s="586"/>
      <c r="H172" s="133"/>
      <c r="I172" s="133"/>
      <c r="J172" s="133"/>
      <c r="K172" s="133"/>
      <c r="L172" s="133"/>
      <c r="M172" s="134"/>
      <c r="N172" s="134"/>
      <c r="O172" s="134"/>
      <c r="P172" s="134"/>
      <c r="Q172" s="134"/>
      <c r="R172" s="134"/>
      <c r="S172" s="134"/>
      <c r="T172" s="134"/>
      <c r="U172" s="134"/>
    </row>
    <row customHeight="1" ht="14.25">
      <c r="A173" s="586"/>
      <c r="B173" s="586"/>
      <c r="C173" s="586"/>
      <c r="D173" s="586"/>
      <c r="E173" s="133">
        <v>191356</v>
      </c>
      <c r="F173" s="586"/>
      <c r="G173" s="586"/>
      <c r="H173" s="133">
        <v>2129129</v>
      </c>
      <c r="I173" s="133"/>
      <c r="J173" s="133">
        <v>182772</v>
      </c>
      <c r="K173" s="133">
        <v>2047108</v>
      </c>
      <c r="L173" s="133"/>
      <c r="M173" s="134"/>
      <c r="N173" s="134"/>
      <c r="O173" s="134"/>
      <c r="P173" s="134"/>
      <c r="Q173" s="134"/>
      <c r="R173" s="134"/>
      <c r="S173" s="134"/>
      <c r="T173" s="134"/>
      <c r="U173" s="134"/>
    </row>
    <row customHeight="1" ht="14.25">
      <c r="A174" s="586"/>
      <c r="B174" s="586"/>
      <c r="C174" s="586"/>
      <c r="D174" s="586"/>
      <c r="E174" s="133">
        <v>271148</v>
      </c>
      <c r="F174" s="586"/>
      <c r="G174" s="586"/>
      <c r="H174" s="133">
        <v>3006003</v>
      </c>
      <c r="I174" s="133"/>
      <c r="J174" s="133">
        <v>261377</v>
      </c>
      <c r="K174" s="133">
        <v>2949656</v>
      </c>
      <c r="L174" s="133"/>
      <c r="M174" s="134"/>
      <c r="N174" s="134"/>
      <c r="O174" s="134"/>
      <c r="P174" s="134"/>
      <c r="Q174" s="134"/>
      <c r="R174" s="134"/>
      <c r="S174" s="134"/>
      <c r="T174" s="134"/>
      <c r="U174" s="134"/>
    </row>
    <row customHeight="1" ht="14.25">
      <c r="A175" s="586"/>
      <c r="B175" s="586"/>
      <c r="C175" s="586"/>
      <c r="D175" s="586"/>
      <c r="E175" s="133"/>
      <c r="F175" s="586"/>
      <c r="G175" s="586"/>
      <c r="H175" s="133"/>
      <c r="I175" s="133"/>
      <c r="J175" s="133"/>
      <c r="K175" s="133"/>
      <c r="L175" s="133"/>
      <c r="M175" s="134"/>
      <c r="N175" s="134"/>
      <c r="O175" s="134"/>
      <c r="P175" s="134"/>
      <c r="Q175" s="134"/>
      <c r="R175" s="134"/>
      <c r="S175" s="134"/>
      <c r="T175" s="134"/>
      <c r="U175" s="134"/>
    </row>
    <row customHeight="1" ht="14.25">
      <c r="A176" s="586"/>
      <c r="B176" s="586"/>
      <c r="C176" s="586"/>
      <c r="D176" s="586"/>
      <c r="E176" s="133">
        <f>SUM(E177:E180)</f>
        <v>271148</v>
      </c>
      <c r="F176" s="586"/>
      <c r="G176" s="586"/>
      <c r="H176" s="133">
        <f>SUM(H177:H180)</f>
        <v>3006003</v>
      </c>
      <c r="I176" s="133"/>
      <c r="J176" s="133">
        <f>SUM(J177:J180)</f>
        <v>261377</v>
      </c>
      <c r="K176" s="133">
        <f>SUM(K177:K180)</f>
        <v>2949656</v>
      </c>
      <c r="L176" s="133"/>
      <c r="M176" s="134"/>
      <c r="N176" s="134"/>
      <c r="O176" s="134"/>
      <c r="P176" s="134"/>
      <c r="Q176" s="134"/>
      <c r="R176" s="134"/>
      <c r="S176" s="134"/>
      <c r="T176" s="134"/>
      <c r="U176" s="134"/>
    </row>
    <row customHeight="1" ht="14.25">
      <c r="A177" s="586"/>
      <c r="B177" s="586"/>
      <c r="C177" s="586"/>
      <c r="D177" s="528" t="s">
        <v>145</v>
      </c>
      <c r="E177" s="133">
        <v>184712</v>
      </c>
      <c r="F177" s="586"/>
      <c r="G177" s="586"/>
      <c r="H177" s="133">
        <v>2065379</v>
      </c>
      <c r="I177" s="133"/>
      <c r="J177" s="133">
        <v>181500</v>
      </c>
      <c r="K177" s="133">
        <v>2045518</v>
      </c>
      <c r="L177" s="133"/>
      <c r="M177" s="134"/>
      <c r="N177" s="134"/>
      <c r="O177" s="134"/>
      <c r="P177" s="134"/>
      <c r="Q177" s="134"/>
      <c r="R177" s="134"/>
      <c r="S177" s="134"/>
      <c r="T177" s="134"/>
      <c r="U177" s="134"/>
    </row>
    <row customHeight="1" ht="14.25">
      <c r="A178" s="586"/>
      <c r="B178" s="586"/>
      <c r="C178" s="586"/>
      <c r="D178" s="586"/>
      <c r="E178" s="133">
        <v>84940</v>
      </c>
      <c r="F178" s="586"/>
      <c r="G178" s="586"/>
      <c r="H178" s="133">
        <v>926942</v>
      </c>
      <c r="I178" s="133"/>
      <c r="J178" s="133">
        <v>78935</v>
      </c>
      <c r="K178" s="133">
        <v>890766</v>
      </c>
      <c r="L178" s="133"/>
      <c r="M178" s="134"/>
      <c r="N178" s="134"/>
      <c r="O178" s="134"/>
      <c r="P178" s="134"/>
      <c r="Q178" s="134"/>
      <c r="R178" s="134"/>
      <c r="S178" s="134"/>
      <c r="T178" s="134"/>
      <c r="U178" s="134"/>
    </row>
    <row customHeight="1" ht="14.25">
      <c r="A179" s="586"/>
      <c r="B179" s="586"/>
      <c r="C179" s="586"/>
      <c r="D179" s="586"/>
      <c r="E179" s="133">
        <v>262</v>
      </c>
      <c r="F179" s="586"/>
      <c r="G179" s="586"/>
      <c r="H179" s="133">
        <v>3187</v>
      </c>
      <c r="I179" s="133"/>
      <c r="J179" s="133">
        <v>354</v>
      </c>
      <c r="K179" s="133">
        <v>2307</v>
      </c>
      <c r="L179" s="133"/>
      <c r="M179" s="134"/>
      <c r="N179" s="134"/>
      <c r="O179" s="134"/>
      <c r="P179" s="134"/>
      <c r="Q179" s="134"/>
      <c r="R179" s="134"/>
      <c r="S179" s="134"/>
      <c r="T179" s="134"/>
      <c r="U179" s="134"/>
    </row>
    <row customHeight="1" ht="14.25">
      <c r="A180" s="586"/>
      <c r="B180" s="586"/>
      <c r="C180" s="586"/>
      <c r="D180" s="586"/>
      <c r="E180" s="133">
        <v>1234</v>
      </c>
      <c r="F180" s="586"/>
      <c r="G180" s="586"/>
      <c r="H180" s="133">
        <v>10495</v>
      </c>
      <c r="I180" s="133"/>
      <c r="J180" s="133">
        <v>588</v>
      </c>
      <c r="K180" s="133">
        <v>11065</v>
      </c>
      <c r="L180" s="133"/>
      <c r="M180" s="134"/>
      <c r="N180" s="134"/>
      <c r="O180" s="134"/>
      <c r="P180" s="134"/>
      <c r="Q180" s="134"/>
      <c r="R180" s="134"/>
      <c r="S180" s="134"/>
      <c r="T180" s="134"/>
      <c r="U180" s="134"/>
    </row>
    <row customHeight="1" ht="14.25">
      <c r="A181" s="586"/>
      <c r="B181" s="586"/>
      <c r="C181" s="586"/>
      <c r="D181" s="586"/>
      <c r="E181" s="133">
        <f>E182/E176*100</f>
        <v>0.998716568073524</v>
      </c>
      <c r="F181" s="586"/>
      <c r="G181" s="586"/>
      <c r="H181" s="133">
        <f>H182/H176*100</f>
        <v>0.844011133721423</v>
      </c>
      <c r="I181" s="133"/>
      <c r="J181" s="133">
        <f>J182/J176*100</f>
        <v>0.829453241869024</v>
      </c>
      <c r="K181" s="133">
        <f>K182/K176*100</f>
        <v>0.856947386407093</v>
      </c>
      <c r="L181" s="133"/>
      <c r="M181" s="134"/>
      <c r="N181" s="134"/>
      <c r="O181" s="134"/>
      <c r="P181" s="134"/>
      <c r="Q181" s="134"/>
      <c r="R181" s="134"/>
      <c r="S181" s="134"/>
      <c r="T181" s="134"/>
      <c r="U181" s="134"/>
    </row>
    <row customHeight="1" ht="14.25">
      <c r="A182" s="586"/>
      <c r="B182" s="586"/>
      <c r="C182" s="586"/>
      <c r="D182" s="528" t="s">
        <v>146</v>
      </c>
      <c r="E182" s="133">
        <v>2708</v>
      </c>
      <c r="F182" s="586"/>
      <c r="G182" s="586"/>
      <c r="H182" s="133">
        <v>25371</v>
      </c>
      <c r="I182" s="133"/>
      <c r="J182" s="133">
        <v>2168</v>
      </c>
      <c r="K182" s="133">
        <v>25277</v>
      </c>
      <c r="L182" s="133"/>
      <c r="M182" s="134"/>
      <c r="N182" s="134"/>
      <c r="O182" s="134"/>
      <c r="P182" s="134"/>
      <c r="Q182" s="134"/>
      <c r="R182" s="134"/>
      <c r="S182" s="134"/>
      <c r="T182" s="134"/>
      <c r="U182" s="134"/>
    </row>
    <row customHeight="1" ht="14.25">
      <c r="A183" s="586"/>
      <c r="B183" s="586"/>
      <c r="C183" s="586"/>
      <c r="D183" s="586"/>
      <c r="E183" s="133">
        <f>SUM(E184:E185)/E176*100</f>
        <v>47.0388865121631</v>
      </c>
      <c r="F183" s="586"/>
      <c r="G183" s="586"/>
      <c r="H183" s="133">
        <f>SUM(H184:H185)/H176*100</f>
        <v>46.4618631451798</v>
      </c>
      <c r="I183" s="133"/>
      <c r="J183" s="133">
        <f>SUM(J184:J185)/J176*100</f>
        <v>46.9459822402124</v>
      </c>
      <c r="K183" s="133">
        <f>SUM(K184:K185)/K176*100</f>
        <v>46.95774693727</v>
      </c>
      <c r="L183" s="133"/>
      <c r="M183" s="134"/>
      <c r="N183" s="134"/>
      <c r="O183" s="134"/>
      <c r="P183" s="134"/>
      <c r="Q183" s="134"/>
      <c r="R183" s="134"/>
      <c r="S183" s="134"/>
      <c r="T183" s="134"/>
      <c r="U183" s="134"/>
    </row>
    <row customHeight="1" ht="14.25">
      <c r="A184" s="586"/>
      <c r="B184" s="586"/>
      <c r="C184" s="586"/>
      <c r="D184" s="528" t="s">
        <v>147</v>
      </c>
      <c r="E184" s="133">
        <v>40826</v>
      </c>
      <c r="F184" s="586"/>
      <c r="G184" s="586"/>
      <c r="H184" s="133">
        <v>449285</v>
      </c>
      <c r="I184" s="133"/>
      <c r="J184" s="133">
        <v>39054</v>
      </c>
      <c r="K184" s="133">
        <v>440249</v>
      </c>
      <c r="L184" s="133"/>
      <c r="M184" s="134"/>
      <c r="N184" s="134"/>
      <c r="O184" s="134"/>
      <c r="P184" s="134"/>
      <c r="Q184" s="134"/>
      <c r="R184" s="134"/>
      <c r="S184" s="134"/>
      <c r="T184" s="134"/>
      <c r="U184" s="134"/>
    </row>
    <row customHeight="1" ht="14.25">
      <c r="A185" s="586"/>
      <c r="B185" s="586"/>
      <c r="C185" s="586"/>
      <c r="D185" s="586"/>
      <c r="E185" s="133">
        <v>86719</v>
      </c>
      <c r="F185" s="586"/>
      <c r="G185" s="586"/>
      <c r="H185" s="133">
        <v>947360</v>
      </c>
      <c r="I185" s="133"/>
      <c r="J185" s="133">
        <v>83652</v>
      </c>
      <c r="K185" s="133">
        <v>944843</v>
      </c>
      <c r="L185" s="133"/>
      <c r="M185" s="134"/>
      <c r="N185" s="134"/>
      <c r="O185" s="134"/>
      <c r="P185" s="134"/>
      <c r="Q185" s="134"/>
      <c r="R185" s="134"/>
      <c r="S185" s="134"/>
      <c r="T185" s="134"/>
      <c r="U185" s="134"/>
    </row>
    <row customHeight="1" ht="14.25">
      <c r="A186" s="586"/>
      <c r="B186" s="586"/>
      <c r="C186" s="586"/>
      <c r="D186" s="586"/>
      <c r="E186" s="133">
        <f>SUM(E187:E188)/E176*100</f>
        <v>23.5336421437739</v>
      </c>
      <c r="F186" s="586"/>
      <c r="G186" s="586"/>
      <c r="H186" s="133">
        <f>SUM(H187:H188)/H176*100</f>
        <v>24.3673742175241</v>
      </c>
      <c r="I186" s="133"/>
      <c r="J186" s="133">
        <f>SUM(J187:J188)/J176*100</f>
        <v>22.9805989050299</v>
      </c>
      <c r="K186" s="133">
        <f>SUM(K187:K188)/K176*100</f>
        <v>22.4438375186801</v>
      </c>
      <c r="L186" s="133"/>
      <c r="M186" s="134"/>
      <c r="N186" s="134"/>
      <c r="O186" s="134"/>
      <c r="P186" s="134"/>
      <c r="Q186" s="134"/>
      <c r="R186" s="134"/>
      <c r="S186" s="134"/>
      <c r="T186" s="134"/>
      <c r="U186" s="134"/>
    </row>
    <row customHeight="1" ht="14.25">
      <c r="A187" s="586"/>
      <c r="B187" s="586"/>
      <c r="C187" s="586"/>
      <c r="D187" s="528" t="s">
        <v>148</v>
      </c>
      <c r="E187" s="133">
        <v>17884</v>
      </c>
      <c r="F187" s="586"/>
      <c r="G187" s="586"/>
      <c r="H187" s="133">
        <v>208297</v>
      </c>
      <c r="I187" s="133"/>
      <c r="J187" s="133">
        <v>15966</v>
      </c>
      <c r="K187" s="133">
        <v>182075</v>
      </c>
      <c r="L187" s="133"/>
      <c r="M187" s="134"/>
      <c r="N187" s="134"/>
      <c r="O187" s="134"/>
      <c r="P187" s="134"/>
      <c r="Q187" s="134"/>
      <c r="R187" s="134"/>
      <c r="S187" s="134"/>
      <c r="T187" s="134"/>
      <c r="U187" s="134"/>
    </row>
    <row customHeight="1" ht="14.25">
      <c r="A188" s="586"/>
      <c r="B188" s="586"/>
      <c r="C188" s="586"/>
      <c r="D188" s="586"/>
      <c r="E188" s="133">
        <v>45927</v>
      </c>
      <c r="F188" s="586"/>
      <c r="G188" s="586"/>
      <c r="H188" s="133">
        <v>524187</v>
      </c>
      <c r="I188" s="133"/>
      <c r="J188" s="133">
        <v>44100</v>
      </c>
      <c r="K188" s="133">
        <v>479941</v>
      </c>
      <c r="L188" s="133"/>
      <c r="M188" s="134"/>
      <c r="N188" s="134"/>
      <c r="O188" s="134"/>
      <c r="P188" s="134"/>
      <c r="Q188" s="134"/>
      <c r="R188" s="134"/>
      <c r="S188" s="134"/>
      <c r="T188" s="134"/>
      <c r="U188" s="134"/>
    </row>
    <row customHeight="1" ht="14.25">
      <c r="A189" s="586"/>
      <c r="B189" s="586"/>
      <c r="C189" s="586"/>
      <c r="D189" s="586"/>
      <c r="E189" s="133"/>
      <c r="F189" s="586"/>
      <c r="G189" s="586"/>
      <c r="H189" s="133"/>
      <c r="I189" s="133"/>
      <c r="J189" s="133"/>
      <c r="K189" s="133"/>
      <c r="L189" s="133"/>
      <c r="M189" s="134"/>
      <c r="N189" s="134"/>
      <c r="O189" s="134"/>
      <c r="P189" s="134"/>
      <c r="Q189" s="134"/>
      <c r="R189" s="134"/>
      <c r="S189" s="134"/>
      <c r="T189" s="134"/>
      <c r="U189" s="134"/>
    </row>
    <row customHeight="1" ht="14.25">
      <c r="A190" s="586"/>
      <c r="B190" s="586"/>
      <c r="C190" s="586"/>
      <c r="D190" s="586"/>
      <c r="E190" s="133">
        <v>45166</v>
      </c>
      <c r="F190" s="586"/>
      <c r="G190" s="586"/>
      <c r="H190" s="133">
        <v>492543</v>
      </c>
      <c r="I190" s="133"/>
      <c r="J190" s="133">
        <v>45762</v>
      </c>
      <c r="K190" s="133">
        <v>524042</v>
      </c>
      <c r="L190" s="133"/>
      <c r="M190" s="134"/>
      <c r="N190" s="134"/>
      <c r="O190" s="134"/>
      <c r="P190" s="134"/>
      <c r="Q190" s="134"/>
      <c r="R190" s="134"/>
      <c r="S190" s="134"/>
      <c r="T190" s="134"/>
      <c r="U190" s="134"/>
    </row>
    <row customHeight="1" ht="14.25">
      <c r="A191" s="586"/>
      <c r="B191" s="586"/>
      <c r="C191" s="586"/>
      <c r="D191" s="586"/>
      <c r="E191" s="133">
        <v>271148</v>
      </c>
      <c r="F191" s="586"/>
      <c r="G191" s="586"/>
      <c r="H191" s="133">
        <v>3006003</v>
      </c>
      <c r="I191" s="133"/>
      <c r="J191" s="133">
        <v>261377</v>
      </c>
      <c r="K191" s="133">
        <v>2949656</v>
      </c>
      <c r="L191" s="133"/>
      <c r="M191" s="134"/>
      <c r="N191" s="134"/>
      <c r="O191" s="134"/>
      <c r="P191" s="134"/>
      <c r="Q191" s="134"/>
      <c r="R191" s="134"/>
      <c r="S191" s="134"/>
      <c r="T191" s="134"/>
      <c r="U191" s="134"/>
    </row>
    <row customHeight="1" ht="14.25">
      <c r="A192" s="586"/>
      <c r="B192" s="586"/>
      <c r="C192" s="586"/>
      <c r="D192" s="586"/>
      <c r="E192" s="133"/>
      <c r="F192" s="586"/>
      <c r="G192" s="586"/>
      <c r="H192" s="133"/>
      <c r="I192" s="133"/>
      <c r="J192" s="133"/>
      <c r="K192" s="133"/>
      <c r="L192" s="133"/>
      <c r="M192" s="134"/>
      <c r="N192" s="134"/>
      <c r="O192" s="134"/>
      <c r="P192" s="134"/>
      <c r="Q192" s="134"/>
      <c r="R192" s="134"/>
      <c r="S192" s="134"/>
      <c r="T192" s="134"/>
      <c r="U192" s="134"/>
    </row>
    <row customHeight="1" ht="14.25">
      <c r="A193" s="586"/>
      <c r="B193" s="586"/>
      <c r="C193" s="586"/>
      <c r="D193" s="586"/>
      <c r="E193" s="133">
        <v>7662</v>
      </c>
      <c r="F193" s="586"/>
      <c r="G193" s="586"/>
      <c r="H193" s="133">
        <v>84250</v>
      </c>
      <c r="I193" s="133"/>
      <c r="J193" s="133">
        <v>8354</v>
      </c>
      <c r="K193" s="133">
        <v>83228</v>
      </c>
      <c r="L193" s="133"/>
      <c r="M193" s="134"/>
      <c r="N193" s="134"/>
      <c r="O193" s="134"/>
      <c r="P193" s="134"/>
      <c r="Q193" s="134"/>
      <c r="R193" s="134"/>
      <c r="S193" s="134"/>
      <c r="T193" s="134"/>
      <c r="U193" s="134"/>
    </row>
    <row customHeight="1" ht="14.25">
      <c r="A194" s="586"/>
      <c r="B194" s="586"/>
      <c r="C194" s="586"/>
      <c r="D194" s="586"/>
      <c r="E194" s="133">
        <v>28307</v>
      </c>
      <c r="F194" s="586"/>
      <c r="G194" s="586"/>
      <c r="H194" s="133">
        <v>303202</v>
      </c>
      <c r="I194" s="133"/>
      <c r="J194" s="133">
        <v>29206</v>
      </c>
      <c r="K194" s="133">
        <v>311265</v>
      </c>
      <c r="L194" s="133"/>
      <c r="M194" s="134"/>
      <c r="N194" s="134"/>
      <c r="O194" s="134"/>
      <c r="P194" s="134"/>
      <c r="Q194" s="134"/>
      <c r="R194" s="134"/>
      <c r="S194" s="134"/>
      <c r="T194" s="134"/>
      <c r="U194" s="134"/>
    </row>
    <row customHeight="1" ht="14.25">
      <c r="A195" s="586"/>
      <c r="B195" s="586"/>
      <c r="C195" s="586"/>
      <c r="D195" s="586"/>
      <c r="E195" s="133"/>
      <c r="F195" s="586"/>
      <c r="G195" s="586"/>
      <c r="H195" s="133"/>
      <c r="I195" s="133"/>
      <c r="J195" s="133"/>
      <c r="K195" s="133"/>
      <c r="L195" s="133"/>
      <c r="M195" s="134"/>
      <c r="N195" s="134"/>
      <c r="O195" s="134"/>
      <c r="P195" s="134"/>
      <c r="Q195" s="134"/>
      <c r="R195" s="134"/>
      <c r="S195" s="134"/>
      <c r="T195" s="134"/>
      <c r="U195" s="134"/>
    </row>
    <row customHeight="1" ht="14.25">
      <c r="A196" s="586"/>
      <c r="B196" s="586"/>
      <c r="C196" s="586"/>
      <c r="D196" s="586"/>
      <c r="E196" s="133">
        <v>3313</v>
      </c>
      <c r="F196" s="586"/>
      <c r="G196" s="586"/>
      <c r="H196" s="133">
        <v>36964</v>
      </c>
      <c r="I196" s="133"/>
      <c r="J196" s="133">
        <v>3727</v>
      </c>
      <c r="K196" s="133">
        <v>37450</v>
      </c>
      <c r="L196" s="133"/>
      <c r="M196" s="134"/>
      <c r="N196" s="134"/>
      <c r="O196" s="134"/>
      <c r="P196" s="134"/>
      <c r="Q196" s="134"/>
      <c r="R196" s="134"/>
      <c r="S196" s="134"/>
      <c r="T196" s="134"/>
      <c r="U196" s="134"/>
    </row>
    <row customHeight="1" ht="14.25">
      <c r="A197" s="586"/>
      <c r="B197" s="586"/>
      <c r="C197" s="586"/>
      <c r="D197" s="586"/>
      <c r="E197" s="133">
        <v>17072</v>
      </c>
      <c r="F197" s="586"/>
      <c r="G197" s="586"/>
      <c r="H197" s="133">
        <v>191738</v>
      </c>
      <c r="I197" s="133"/>
      <c r="J197" s="133">
        <v>18651</v>
      </c>
      <c r="K197" s="133">
        <v>189911</v>
      </c>
      <c r="L197" s="133"/>
      <c r="M197" s="134"/>
      <c r="N197" s="134"/>
      <c r="O197" s="134"/>
      <c r="P197" s="134"/>
      <c r="Q197" s="134"/>
      <c r="R197" s="134"/>
      <c r="S197" s="134"/>
      <c r="T197" s="134"/>
      <c r="U197" s="134"/>
    </row>
    <row customHeight="1" ht="14.25">
      <c r="A198" s="586"/>
      <c r="B198" s="586"/>
      <c r="C198" s="586"/>
      <c r="D198" s="586"/>
      <c r="E198" s="133"/>
      <c r="F198" s="586"/>
      <c r="G198" s="586"/>
      <c r="H198" s="133"/>
      <c r="I198" s="133"/>
      <c r="J198" s="133"/>
      <c r="K198" s="133"/>
      <c r="L198" s="133"/>
      <c r="M198" s="134"/>
      <c r="N198" s="134"/>
      <c r="O198" s="134"/>
      <c r="P198" s="134"/>
      <c r="Q198" s="134"/>
      <c r="R198" s="134"/>
      <c r="S198" s="134"/>
      <c r="T198" s="134"/>
      <c r="U198" s="134"/>
    </row>
    <row customHeight="1" ht="14.25">
      <c r="A199" s="586"/>
      <c r="B199" s="586"/>
      <c r="C199" s="586"/>
      <c r="D199" s="586"/>
      <c r="E199" s="133">
        <v>5307</v>
      </c>
      <c r="F199" s="586"/>
      <c r="G199" s="586"/>
      <c r="H199" s="133">
        <v>47549</v>
      </c>
      <c r="I199" s="133"/>
      <c r="J199" s="133">
        <v>5445</v>
      </c>
      <c r="K199" s="133">
        <v>56046</v>
      </c>
      <c r="L199" s="133"/>
      <c r="M199" s="134"/>
      <c r="N199" s="134"/>
      <c r="O199" s="134"/>
      <c r="P199" s="134"/>
      <c r="Q199" s="134"/>
      <c r="R199" s="134"/>
      <c r="S199" s="134"/>
      <c r="T199" s="134"/>
      <c r="U199" s="134"/>
    </row>
    <row customHeight="1" ht="14.25">
      <c r="A200" s="586"/>
      <c r="B200" s="586"/>
      <c r="C200" s="586"/>
      <c r="D200" s="586"/>
      <c r="E200" s="133">
        <v>13371</v>
      </c>
      <c r="F200" s="586"/>
      <c r="G200" s="586"/>
      <c r="H200" s="133">
        <v>128349</v>
      </c>
      <c r="I200" s="133"/>
      <c r="J200" s="133">
        <v>12997</v>
      </c>
      <c r="K200" s="133">
        <v>125567</v>
      </c>
      <c r="L200" s="133"/>
      <c r="M200" s="134"/>
      <c r="N200" s="134"/>
      <c r="O200" s="134"/>
      <c r="P200" s="134"/>
      <c r="Q200" s="134"/>
      <c r="R200" s="134"/>
      <c r="S200" s="134"/>
      <c r="T200" s="134"/>
      <c r="U200" s="134"/>
    </row>
    <row customHeight="1" ht="14.25">
      <c r="A201" s="586"/>
      <c r="B201" s="586"/>
      <c r="C201" s="586"/>
      <c r="D201" s="586"/>
      <c r="E201" s="133"/>
      <c r="F201" s="586"/>
      <c r="G201" s="586"/>
      <c r="H201" s="133"/>
      <c r="I201" s="133"/>
      <c r="J201" s="133"/>
      <c r="K201" s="133"/>
      <c r="L201" s="133"/>
      <c r="M201" s="134"/>
      <c r="N201" s="134"/>
      <c r="O201" s="134"/>
      <c r="P201" s="134"/>
      <c r="Q201" s="134"/>
      <c r="R201" s="134"/>
      <c r="S201" s="134"/>
      <c r="T201" s="134"/>
      <c r="U201" s="134"/>
    </row>
    <row customHeight="1" ht="14.25">
      <c r="A202" s="586"/>
      <c r="B202" s="586"/>
      <c r="C202" s="586"/>
      <c r="D202" s="586"/>
      <c r="E202" s="133">
        <v>9078</v>
      </c>
      <c r="F202" s="586"/>
      <c r="G202" s="586"/>
      <c r="H202" s="133">
        <v>94304.12</v>
      </c>
      <c r="I202" s="133"/>
      <c r="J202" s="133">
        <v>8765</v>
      </c>
      <c r="K202" s="133">
        <v>93538.22</v>
      </c>
      <c r="L202" s="133"/>
      <c r="M202" s="134"/>
      <c r="N202" s="134"/>
      <c r="O202" s="134"/>
      <c r="P202" s="134"/>
      <c r="Q202" s="134"/>
      <c r="R202" s="134"/>
      <c r="S202" s="134"/>
      <c r="T202" s="134"/>
      <c r="U202" s="134"/>
    </row>
    <row customHeight="1" ht="14.25">
      <c r="A203" s="586"/>
      <c r="B203" s="586"/>
      <c r="C203" s="586"/>
      <c r="D203" s="586"/>
      <c r="E203" s="133">
        <v>9423</v>
      </c>
      <c r="F203" s="586"/>
      <c r="G203" s="586"/>
      <c r="H203" s="133">
        <v>98288</v>
      </c>
      <c r="I203" s="133"/>
      <c r="J203" s="133">
        <v>9174</v>
      </c>
      <c r="K203" s="133">
        <v>97359</v>
      </c>
      <c r="L203" s="133"/>
      <c r="M203" s="134"/>
      <c r="N203" s="134"/>
      <c r="O203" s="134"/>
      <c r="P203" s="134"/>
      <c r="Q203" s="134"/>
      <c r="R203" s="134"/>
      <c r="S203" s="134"/>
      <c r="T203" s="134"/>
      <c r="U203" s="134"/>
    </row>
    <row customHeight="1" ht="14.25">
      <c r="A204" s="586"/>
      <c r="B204" s="586"/>
      <c r="C204" s="586"/>
      <c r="D204" s="586"/>
      <c r="E204" s="133"/>
      <c r="F204" s="586"/>
      <c r="G204" s="586"/>
      <c r="H204" s="133"/>
      <c r="I204" s="133"/>
      <c r="J204" s="133"/>
      <c r="K204" s="133"/>
      <c r="L204" s="133"/>
      <c r="M204" s="134"/>
      <c r="N204" s="134"/>
      <c r="O204" s="134"/>
      <c r="P204" s="134"/>
      <c r="Q204" s="134"/>
      <c r="R204" s="134"/>
      <c r="S204" s="134"/>
      <c r="T204" s="134"/>
      <c r="U204" s="134"/>
    </row>
    <row customHeight="1" ht="14.25">
      <c r="A205" s="586"/>
      <c r="B205" s="586"/>
      <c r="C205" s="586"/>
      <c r="D205" s="586"/>
      <c r="E205" s="133"/>
      <c r="F205" s="586"/>
      <c r="G205" s="586"/>
      <c r="H205" s="133"/>
      <c r="I205" s="133"/>
      <c r="J205" s="133"/>
      <c r="K205" s="133"/>
      <c r="L205" s="133"/>
      <c r="M205" s="134"/>
      <c r="N205" s="134"/>
      <c r="O205" s="134"/>
      <c r="P205" s="134"/>
      <c r="Q205" s="134"/>
      <c r="R205" s="134"/>
      <c r="S205" s="134"/>
      <c r="T205" s="134"/>
      <c r="U205" s="134"/>
    </row>
    <row customHeight="1" ht="14.25">
      <c r="A206" s="586"/>
      <c r="B206" s="586"/>
      <c r="C206" s="586"/>
      <c r="D206" s="586"/>
      <c r="E206" s="133">
        <v>4609.2</v>
      </c>
      <c r="F206" s="586"/>
      <c r="G206" s="586"/>
      <c r="H206" s="133">
        <v>46446.22</v>
      </c>
      <c r="I206" s="133"/>
      <c r="J206" s="133">
        <v>4772.18</v>
      </c>
      <c r="K206" s="133">
        <v>45814.26</v>
      </c>
      <c r="L206" s="133"/>
      <c r="M206" s="134"/>
      <c r="N206" s="134"/>
      <c r="O206" s="134"/>
      <c r="P206" s="134"/>
      <c r="Q206" s="134"/>
      <c r="R206" s="134"/>
      <c r="S206" s="134"/>
      <c r="T206" s="134"/>
      <c r="U206" s="134"/>
    </row>
    <row customHeight="1" ht="14.25">
      <c r="A207" s="586"/>
      <c r="B207" s="586"/>
      <c r="C207" s="586"/>
      <c r="D207" s="586"/>
      <c r="E207" s="133">
        <v>269761</v>
      </c>
      <c r="F207" s="586"/>
      <c r="G207" s="586"/>
      <c r="H207" s="133">
        <v>3037162</v>
      </c>
      <c r="I207" s="133"/>
      <c r="J207" s="133">
        <v>241443</v>
      </c>
      <c r="K207" s="133">
        <v>2961422</v>
      </c>
      <c r="L207" s="133"/>
      <c r="M207" s="134"/>
      <c r="N207" s="134"/>
      <c r="O207" s="134"/>
      <c r="P207" s="134"/>
      <c r="Q207" s="134"/>
      <c r="R207" s="134"/>
      <c r="S207" s="134"/>
      <c r="T207" s="134"/>
      <c r="U207" s="134"/>
    </row>
    <row customHeight="1" ht="14.25">
      <c r="A208" s="586"/>
      <c r="B208" s="586"/>
      <c r="C208" s="586"/>
      <c r="D208" s="586"/>
      <c r="E208" s="133"/>
      <c r="F208" s="586"/>
      <c r="G208" s="586"/>
      <c r="H208" s="133"/>
      <c r="I208" s="133"/>
      <c r="J208" s="133"/>
      <c r="K208" s="133"/>
      <c r="L208" s="133"/>
      <c r="M208" s="134"/>
      <c r="N208" s="134"/>
      <c r="O208" s="134"/>
      <c r="P208" s="134"/>
      <c r="Q208" s="134"/>
      <c r="R208" s="134"/>
      <c r="S208" s="134"/>
      <c r="T208" s="134"/>
      <c r="U208" s="134"/>
    </row>
    <row customHeight="1" ht="14.25">
      <c r="A209" s="586"/>
      <c r="B209" s="586"/>
      <c r="C209" s="586"/>
      <c r="D209" s="586"/>
      <c r="E209" s="133">
        <v>9423</v>
      </c>
      <c r="F209" s="586"/>
      <c r="G209" s="586"/>
      <c r="H209" s="133">
        <v>98288</v>
      </c>
      <c r="I209" s="133"/>
      <c r="J209" s="133">
        <v>9174</v>
      </c>
      <c r="K209" s="133">
        <v>97359</v>
      </c>
      <c r="L209" s="133"/>
      <c r="M209" s="134"/>
      <c r="N209" s="134"/>
      <c r="O209" s="134"/>
      <c r="P209" s="134"/>
      <c r="Q209" s="134"/>
      <c r="R209" s="134"/>
      <c r="S209" s="134"/>
      <c r="T209" s="134"/>
      <c r="U209" s="134"/>
    </row>
    <row customHeight="1" ht="14.25">
      <c r="A210" s="586"/>
      <c r="B210" s="586"/>
      <c r="C210" s="586"/>
      <c r="D210" s="586"/>
      <c r="E210" s="133"/>
      <c r="F210" s="586"/>
      <c r="G210" s="586"/>
      <c r="H210" s="133"/>
      <c r="I210" s="133"/>
      <c r="J210" s="133"/>
      <c r="K210" s="133"/>
      <c r="L210" s="133"/>
      <c r="M210" s="134"/>
      <c r="N210" s="134"/>
      <c r="O210" s="134"/>
      <c r="P210" s="134"/>
      <c r="Q210" s="134"/>
      <c r="R210" s="134"/>
      <c r="S210" s="134"/>
      <c r="T210" s="134"/>
      <c r="U210" s="134"/>
    </row>
    <row customHeight="1" ht="14.25">
      <c r="A211" s="586"/>
      <c r="B211" s="586"/>
      <c r="C211" s="586"/>
      <c r="D211" s="586"/>
      <c r="E211" s="133">
        <v>9078</v>
      </c>
      <c r="F211" s="586"/>
      <c r="G211" s="586"/>
      <c r="H211" s="133">
        <v>94227</v>
      </c>
      <c r="I211" s="133"/>
      <c r="J211" s="133">
        <v>8747</v>
      </c>
      <c r="K211" s="133">
        <v>93390</v>
      </c>
      <c r="L211" s="133"/>
      <c r="M211" s="134"/>
      <c r="N211" s="134"/>
      <c r="O211" s="134"/>
      <c r="P211" s="134"/>
      <c r="Q211" s="134"/>
      <c r="R211" s="134"/>
      <c r="S211" s="134"/>
      <c r="T211" s="134"/>
      <c r="U211" s="134"/>
    </row>
    <row customHeight="1" ht="14.25">
      <c r="A212" s="586"/>
      <c r="B212" s="586"/>
      <c r="C212" s="586"/>
      <c r="D212" s="586"/>
      <c r="E212" s="133">
        <v>0</v>
      </c>
      <c r="F212" s="586"/>
      <c r="G212" s="586"/>
      <c r="H212" s="133">
        <v>0</v>
      </c>
      <c r="I212" s="133"/>
      <c r="J212" s="133">
        <v>0</v>
      </c>
      <c r="K212" s="133">
        <v>0</v>
      </c>
      <c r="L212" s="133"/>
      <c r="M212" s="134"/>
      <c r="N212" s="134"/>
      <c r="O212" s="134"/>
      <c r="P212" s="134"/>
      <c r="Q212" s="134"/>
      <c r="R212" s="134"/>
      <c r="S212" s="134"/>
      <c r="T212" s="134"/>
      <c r="U212" s="134"/>
    </row>
    <row customHeight="1" ht="14.25">
      <c r="A213" s="586"/>
      <c r="B213" s="586"/>
      <c r="C213" s="586"/>
      <c r="D213" s="586"/>
      <c r="E213" s="133"/>
      <c r="F213" s="586"/>
      <c r="G213" s="586"/>
      <c r="H213" s="133"/>
      <c r="I213" s="133"/>
      <c r="J213" s="133"/>
      <c r="K213" s="133"/>
      <c r="L213" s="133"/>
      <c r="M213" s="134"/>
      <c r="N213" s="134"/>
      <c r="O213" s="134"/>
      <c r="P213" s="134"/>
      <c r="Q213" s="134"/>
      <c r="R213" s="134"/>
      <c r="S213" s="134"/>
      <c r="T213" s="134"/>
      <c r="U213" s="134"/>
    </row>
    <row customHeight="1" ht="14.25">
      <c r="A214" s="586"/>
      <c r="B214" s="586"/>
      <c r="C214" s="586"/>
      <c r="D214" s="586"/>
      <c r="E214" s="133">
        <v>0</v>
      </c>
      <c r="F214" s="586"/>
      <c r="G214" s="586"/>
      <c r="H214" s="133">
        <v>48.78</v>
      </c>
      <c r="I214" s="133"/>
      <c r="J214" s="133">
        <v>18</v>
      </c>
      <c r="K214" s="133">
        <v>87.32</v>
      </c>
      <c r="L214" s="133"/>
      <c r="M214" s="134"/>
      <c r="N214" s="134"/>
      <c r="O214" s="134"/>
      <c r="P214" s="134"/>
      <c r="Q214" s="134"/>
      <c r="R214" s="134"/>
      <c r="S214" s="134"/>
      <c r="T214" s="134"/>
      <c r="U214" s="134"/>
    </row>
    <row customHeight="1" ht="14.25">
      <c r="A215" s="586"/>
      <c r="B215" s="586"/>
      <c r="C215" s="586"/>
      <c r="D215" s="586"/>
      <c r="E215" s="133">
        <v>0</v>
      </c>
      <c r="F215" s="586"/>
      <c r="G215" s="586"/>
      <c r="H215" s="133">
        <v>28.34</v>
      </c>
      <c r="I215" s="133"/>
      <c r="J215" s="133">
        <v>0</v>
      </c>
      <c r="K215" s="133">
        <v>60.9</v>
      </c>
      <c r="L215" s="133"/>
      <c r="M215" s="134"/>
      <c r="N215" s="134"/>
      <c r="O215" s="134"/>
      <c r="P215" s="134"/>
      <c r="Q215" s="134"/>
      <c r="R215" s="134"/>
      <c r="S215" s="134"/>
      <c r="T215" s="134"/>
      <c r="U215" s="134"/>
    </row>
    <row customHeight="1" ht="14.25">
      <c r="A216" s="586"/>
      <c r="B216" s="586"/>
      <c r="C216" s="586"/>
      <c r="D216" s="586"/>
      <c r="E216" s="133">
        <v>0</v>
      </c>
      <c r="F216" s="586"/>
      <c r="G216" s="586"/>
      <c r="H216" s="133">
        <v>0</v>
      </c>
      <c r="I216" s="133"/>
      <c r="J216" s="133">
        <v>0</v>
      </c>
      <c r="K216" s="133">
        <v>0</v>
      </c>
      <c r="L216" s="133"/>
      <c r="M216" s="134"/>
      <c r="N216" s="134"/>
      <c r="O216" s="134"/>
      <c r="P216" s="134"/>
      <c r="Q216" s="134"/>
      <c r="R216" s="134"/>
      <c r="S216" s="134"/>
      <c r="T216" s="134"/>
      <c r="U216" s="134"/>
    </row>
    <row customHeight="1" ht="14.25">
      <c r="A217" s="586"/>
      <c r="B217" s="586"/>
      <c r="C217" s="586"/>
      <c r="D217" s="586"/>
      <c r="E217" s="133">
        <v>0</v>
      </c>
      <c r="F217" s="586"/>
      <c r="G217" s="586"/>
      <c r="H217" s="133">
        <v>0</v>
      </c>
      <c r="I217" s="133"/>
      <c r="J217" s="133">
        <v>0</v>
      </c>
      <c r="K217" s="133">
        <v>0</v>
      </c>
      <c r="L217" s="133"/>
      <c r="M217" s="134"/>
      <c r="N217" s="134"/>
      <c r="O217" s="134"/>
      <c r="P217" s="134"/>
      <c r="Q217" s="134"/>
      <c r="R217" s="134"/>
      <c r="S217" s="134"/>
      <c r="T217" s="134"/>
      <c r="U217" s="134"/>
    </row>
    <row customHeight="1" ht="14.25">
      <c r="A218" s="586"/>
      <c r="B218" s="586"/>
      <c r="C218" s="586"/>
      <c r="D218" s="586"/>
      <c r="E218" s="133"/>
      <c r="F218" s="586"/>
      <c r="G218" s="528" t="s">
        <v>149</v>
      </c>
      <c r="H218" s="133"/>
      <c r="I218" s="133"/>
      <c r="J218" s="133"/>
      <c r="K218" s="133"/>
      <c r="L218" s="133"/>
      <c r="M218" s="134"/>
      <c r="N218" s="134"/>
      <c r="O218" s="134"/>
      <c r="P218" s="134"/>
      <c r="Q218" s="134"/>
      <c r="R218" s="134"/>
      <c r="S218" s="134"/>
      <c r="T218" s="134"/>
      <c r="U218" s="134"/>
    </row>
    <row customHeight="1" ht="14.25">
      <c r="A219" s="586"/>
      <c r="B219" s="586"/>
      <c r="C219" s="586"/>
      <c r="D219" s="586"/>
      <c r="E219" s="133">
        <v>495148.38</v>
      </c>
      <c r="F219" s="586"/>
      <c r="G219" s="586"/>
      <c r="H219" s="133">
        <v>5912403.293</v>
      </c>
      <c r="I219" s="133"/>
      <c r="J219" s="133">
        <v>465120.78</v>
      </c>
      <c r="K219" s="133">
        <v>5805675.36</v>
      </c>
      <c r="L219" s="133"/>
      <c r="M219" s="134"/>
      <c r="N219" s="134"/>
      <c r="O219" s="134"/>
      <c r="P219" s="134"/>
      <c r="Q219" s="134"/>
      <c r="R219" s="134"/>
      <c r="S219" s="134"/>
      <c r="T219" s="134"/>
      <c r="U219" s="134"/>
    </row>
    <row customHeight="1" ht="14.25">
      <c r="A220" s="586"/>
      <c r="B220" s="586"/>
      <c r="C220" s="586"/>
      <c r="D220" s="586"/>
      <c r="E220" s="133"/>
      <c r="F220" s="586"/>
      <c r="G220" s="586"/>
      <c r="H220" s="133"/>
      <c r="I220" s="133"/>
      <c r="J220" s="133"/>
      <c r="K220" s="133"/>
      <c r="L220" s="133"/>
      <c r="M220" s="134"/>
      <c r="N220" s="134"/>
      <c r="O220" s="134"/>
      <c r="P220" s="134"/>
      <c r="Q220" s="134"/>
      <c r="R220" s="134"/>
      <c r="S220" s="134"/>
      <c r="T220" s="134"/>
      <c r="U220" s="134"/>
    </row>
    <row customHeight="1" ht="14.25">
      <c r="A221" s="586"/>
      <c r="B221" s="586"/>
      <c r="C221" s="586"/>
      <c r="D221" s="586"/>
      <c r="E221" s="133">
        <v>287</v>
      </c>
      <c r="F221" s="586"/>
      <c r="G221" s="586"/>
      <c r="H221" s="133">
        <v>3135</v>
      </c>
      <c r="I221" s="133"/>
      <c r="J221" s="133">
        <v>265</v>
      </c>
      <c r="K221" s="133">
        <v>2953</v>
      </c>
      <c r="L221" s="133"/>
      <c r="M221" s="134"/>
      <c r="N221" s="134"/>
      <c r="O221" s="134"/>
      <c r="P221" s="134"/>
      <c r="Q221" s="134"/>
      <c r="R221" s="134"/>
      <c r="S221" s="134"/>
      <c r="T221" s="134"/>
      <c r="U221" s="134"/>
    </row>
    <row customHeight="1" ht="14.25">
      <c r="A222" s="586"/>
      <c r="B222" s="586"/>
      <c r="C222" s="586"/>
      <c r="D222" s="586"/>
      <c r="E222" s="133">
        <v>287</v>
      </c>
      <c r="F222" s="586"/>
      <c r="G222" s="586"/>
      <c r="H222" s="133">
        <v>3135</v>
      </c>
      <c r="I222" s="133"/>
      <c r="J222" s="133">
        <v>265</v>
      </c>
      <c r="K222" s="133">
        <v>2953</v>
      </c>
      <c r="L222" s="133"/>
      <c r="M222" s="134"/>
      <c r="N222" s="134"/>
      <c r="O222" s="134"/>
      <c r="P222" s="134"/>
      <c r="Q222" s="134"/>
      <c r="R222" s="134"/>
      <c r="S222" s="134"/>
      <c r="T222" s="134"/>
      <c r="U222" s="134"/>
    </row>
    <row customHeight="1" ht="14.25">
      <c r="A223" s="586"/>
      <c r="B223" s="586"/>
      <c r="C223" s="586"/>
      <c r="D223" s="586"/>
      <c r="E223" s="119"/>
      <c r="F223" s="586"/>
      <c r="G223" s="586"/>
      <c r="H223" s="295">
        <v>0</v>
      </c>
      <c r="I223" s="382"/>
      <c r="J223" s="295"/>
      <c r="K223" s="295"/>
      <c r="L223" s="382"/>
      <c r="M223" s="383" t="s">
        <v>150</v>
      </c>
      <c r="N223" s="134"/>
      <c r="O223" s="134"/>
      <c r="P223" s="134"/>
      <c r="Q223" s="134"/>
      <c r="R223" s="134"/>
      <c r="S223" s="134"/>
      <c r="T223" s="134"/>
      <c r="U223" s="134"/>
    </row>
    <row customHeight="1" ht="14.25">
      <c r="A224" s="586"/>
      <c r="B224" s="586"/>
      <c r="C224" s="586"/>
      <c r="D224" s="586"/>
      <c r="E224" s="119"/>
      <c r="F224" s="586"/>
      <c r="G224" s="586"/>
      <c r="H224" s="133"/>
      <c r="I224" s="133"/>
      <c r="J224" s="133"/>
      <c r="K224" s="133"/>
      <c r="L224" s="133"/>
      <c r="M224" s="134"/>
      <c r="N224" s="134"/>
      <c r="O224" s="134"/>
      <c r="P224" s="134"/>
      <c r="Q224" s="134"/>
      <c r="R224" s="134"/>
      <c r="S224" s="134"/>
      <c r="T224" s="134"/>
      <c r="U224" s="134"/>
    </row>
    <row customHeight="1" ht="14.25">
      <c r="A225" s="586"/>
      <c r="B225" s="586"/>
      <c r="C225" s="586"/>
      <c r="D225" s="586"/>
      <c r="E225" s="376">
        <v>488629</v>
      </c>
      <c r="F225" s="586"/>
      <c r="G225" s="586"/>
      <c r="H225" s="376">
        <v>5829379</v>
      </c>
      <c r="I225" s="133"/>
      <c r="J225" s="133"/>
      <c r="K225" s="133"/>
      <c r="L225" s="133"/>
      <c r="M225" s="134"/>
      <c r="N225" s="134"/>
      <c r="O225" s="134"/>
      <c r="P225" s="134"/>
      <c r="Q225" s="134"/>
      <c r="R225" s="134"/>
      <c r="S225" s="134"/>
      <c r="T225" s="134"/>
      <c r="U225" s="134"/>
    </row>
    <row customHeight="1" ht="14.25">
      <c r="A226" s="586"/>
      <c r="B226" s="586"/>
      <c r="C226" s="586"/>
      <c r="D226" s="586"/>
      <c r="E226" s="119"/>
      <c r="F226" s="586"/>
      <c r="G226" s="586"/>
      <c r="H226" s="133"/>
      <c r="I226" s="133"/>
      <c r="J226" s="133"/>
      <c r="K226" s="133"/>
      <c r="L226" s="133"/>
      <c r="M226" s="134"/>
      <c r="N226" s="134"/>
      <c r="O226" s="134"/>
      <c r="P226" s="134"/>
      <c r="Q226" s="134"/>
      <c r="R226" s="134"/>
      <c r="S226" s="134"/>
      <c r="T226" s="134"/>
      <c r="U226" s="134"/>
    </row>
    <row customHeight="1" ht="14.25">
      <c r="A227" s="586"/>
      <c r="B227" s="586"/>
      <c r="C227" s="586"/>
      <c r="D227" s="586"/>
      <c r="E227" s="119"/>
      <c r="F227" s="586"/>
      <c r="G227" s="586"/>
      <c r="H227" s="133"/>
      <c r="I227" s="133"/>
      <c r="J227" s="133"/>
      <c r="K227" s="133"/>
      <c r="L227" s="133"/>
      <c r="M227" s="134"/>
      <c r="N227" s="134"/>
      <c r="O227" s="134"/>
      <c r="P227" s="134"/>
      <c r="Q227" s="134"/>
      <c r="R227" s="134"/>
      <c r="S227" s="134"/>
      <c r="T227" s="134"/>
      <c r="U227" s="134"/>
    </row>
    <row customHeight="1" ht="14.25">
      <c r="A228" s="586"/>
      <c r="B228" s="586"/>
      <c r="C228" s="586"/>
      <c r="D228" s="586"/>
      <c r="E228" s="88">
        <v>4995</v>
      </c>
      <c r="F228" s="586"/>
      <c r="G228" s="586"/>
      <c r="H228" s="88">
        <v>54371</v>
      </c>
      <c r="I228" s="586"/>
      <c r="J228" s="295"/>
      <c r="K228" s="295"/>
      <c r="L228" s="586"/>
      <c r="M228" s="402"/>
      <c r="N228" s="521"/>
      <c r="O228" s="521"/>
      <c r="P228" s="521"/>
      <c r="Q228" s="521"/>
      <c r="R228" s="521"/>
      <c r="S228" s="521"/>
      <c r="T228" s="521"/>
      <c r="U228" s="521"/>
    </row>
    <row customHeight="1" ht="14.25">
      <c r="A229" s="586"/>
      <c r="B229" s="586"/>
      <c r="C229" s="586"/>
      <c r="D229" s="586"/>
      <c r="E229" s="88">
        <v>5273</v>
      </c>
      <c r="F229" s="586"/>
      <c r="G229" s="586"/>
      <c r="H229" s="88">
        <v>57351</v>
      </c>
      <c r="I229" s="586"/>
      <c r="J229" s="295"/>
      <c r="K229" s="295"/>
      <c r="L229" s="586"/>
      <c r="M229" s="402"/>
      <c r="N229" s="521"/>
      <c r="O229" s="521"/>
      <c r="P229" s="521"/>
      <c r="Q229" s="521"/>
      <c r="R229" s="521"/>
      <c r="S229" s="521"/>
      <c r="T229" s="521"/>
      <c r="U229" s="521"/>
    </row>
    <row customHeight="1" ht="14.25">
      <c r="A230" s="586"/>
      <c r="B230" s="586"/>
      <c r="C230" s="586"/>
      <c r="D230" s="586"/>
      <c r="E230" s="119"/>
      <c r="F230" s="586"/>
      <c r="G230" s="586"/>
      <c r="H230" s="586"/>
      <c r="I230" s="586"/>
      <c r="J230" s="586"/>
      <c r="K230" s="586"/>
      <c r="L230" s="586"/>
      <c r="M230" s="402"/>
      <c r="N230" s="521"/>
      <c r="O230" s="521"/>
      <c r="P230" s="521"/>
      <c r="Q230" s="521"/>
      <c r="R230" s="521"/>
      <c r="S230" s="521"/>
      <c r="T230" s="521"/>
      <c r="U230" s="521"/>
    </row>
    <row customHeight="1" ht="14.25">
      <c r="A231" s="586"/>
      <c r="B231" s="586"/>
      <c r="C231" s="586"/>
      <c r="D231" s="586"/>
      <c r="E231" s="119"/>
      <c r="F231" s="586"/>
      <c r="G231" s="586"/>
      <c r="H231" s="586"/>
      <c r="I231" s="586"/>
      <c r="J231" s="586"/>
      <c r="K231" s="586"/>
      <c r="L231" s="586"/>
      <c r="M231" s="402"/>
      <c r="N231" s="521"/>
      <c r="O231" s="521"/>
      <c r="P231" s="521"/>
      <c r="Q231" s="521"/>
      <c r="R231" s="521"/>
      <c r="S231" s="521"/>
      <c r="T231" s="521"/>
      <c r="U231" s="521"/>
    </row>
    <row customHeight="1" ht="14.25">
      <c r="A232" s="586"/>
      <c r="B232" s="586"/>
      <c r="C232" s="586"/>
      <c r="D232" s="586"/>
      <c r="E232" s="119"/>
      <c r="F232" s="586"/>
      <c r="G232" s="586"/>
      <c r="H232" s="586"/>
      <c r="I232" s="586"/>
      <c r="J232" s="586"/>
      <c r="K232" s="586"/>
      <c r="L232" s="586"/>
      <c r="M232" s="402"/>
      <c r="N232" s="521"/>
      <c r="O232" s="521"/>
      <c r="P232" s="521"/>
      <c r="Q232" s="521"/>
      <c r="R232" s="521"/>
      <c r="S232" s="521"/>
      <c r="T232" s="521"/>
      <c r="U232" s="521"/>
    </row>
    <row customHeight="1" ht="14.25">
      <c r="A233" s="586"/>
      <c r="B233" s="586"/>
      <c r="C233" s="586"/>
      <c r="D233" s="586"/>
      <c r="E233" s="119"/>
      <c r="F233" s="586"/>
      <c r="G233" s="586"/>
      <c r="H233" s="586"/>
      <c r="I233" s="586"/>
      <c r="J233" s="586"/>
      <c r="K233" s="586"/>
      <c r="L233" s="586"/>
      <c r="M233" s="402"/>
      <c r="N233" s="521"/>
      <c r="O233" s="521"/>
      <c r="P233" s="521"/>
      <c r="Q233" s="521"/>
      <c r="R233" s="521"/>
      <c r="S233" s="521"/>
      <c r="T233" s="521"/>
      <c r="U233" s="521"/>
    </row>
    <row customHeight="1" ht="14.25">
      <c r="A234" s="586"/>
      <c r="B234" s="586"/>
      <c r="C234" s="586"/>
      <c r="D234" s="586"/>
      <c r="E234" s="119"/>
      <c r="F234" s="586"/>
      <c r="G234" s="586"/>
      <c r="H234" s="586"/>
      <c r="I234" s="586"/>
      <c r="J234" s="586"/>
      <c r="K234" s="586"/>
      <c r="L234" s="586"/>
      <c r="M234" s="402"/>
      <c r="N234" s="521"/>
      <c r="O234" s="521"/>
      <c r="P234" s="521"/>
      <c r="Q234" s="521"/>
      <c r="R234" s="521"/>
      <c r="S234" s="521"/>
      <c r="T234" s="521"/>
      <c r="U234" s="521"/>
    </row>
    <row customHeight="1" ht="14.25">
      <c r="A235" s="586"/>
      <c r="B235" s="586"/>
      <c r="C235" s="586"/>
      <c r="D235" s="586"/>
      <c r="E235" s="119"/>
      <c r="F235" s="586"/>
      <c r="G235" s="586"/>
      <c r="H235" s="586"/>
      <c r="I235" s="586"/>
      <c r="J235" s="586"/>
      <c r="K235" s="586"/>
      <c r="L235" s="586"/>
      <c r="M235" s="402"/>
      <c r="N235" s="521"/>
      <c r="O235" s="521"/>
      <c r="P235" s="521"/>
      <c r="Q235" s="521"/>
      <c r="R235" s="521"/>
      <c r="S235" s="521"/>
      <c r="T235" s="521"/>
      <c r="U235" s="521"/>
    </row>
    <row customHeight="1" ht="14.25">
      <c r="A236" s="586"/>
      <c r="B236" s="586"/>
      <c r="C236" s="586"/>
      <c r="D236" s="586"/>
      <c r="E236" s="119"/>
      <c r="F236" s="586"/>
      <c r="G236" s="586"/>
      <c r="H236" s="586"/>
      <c r="I236" s="586"/>
      <c r="J236" s="586"/>
      <c r="K236" s="586"/>
      <c r="L236" s="586"/>
      <c r="M236" s="402"/>
      <c r="N236" s="521"/>
      <c r="O236" s="521"/>
      <c r="P236" s="521"/>
      <c r="Q236" s="521"/>
      <c r="R236" s="521"/>
      <c r="S236" s="521"/>
      <c r="T236" s="521"/>
      <c r="U236" s="521"/>
    </row>
    <row customHeight="1" ht="14.25">
      <c r="A237" s="586"/>
      <c r="B237" s="586"/>
      <c r="C237" s="586"/>
      <c r="D237" s="586"/>
      <c r="E237" s="119"/>
      <c r="F237" s="586"/>
      <c r="G237" s="586"/>
      <c r="H237" s="586"/>
      <c r="I237" s="586"/>
      <c r="J237" s="586"/>
      <c r="K237" s="586"/>
      <c r="L237" s="586"/>
      <c r="M237" s="402"/>
      <c r="N237" s="521"/>
      <c r="O237" s="521"/>
      <c r="P237" s="521"/>
      <c r="Q237" s="521"/>
      <c r="R237" s="521"/>
      <c r="S237" s="521"/>
      <c r="T237" s="521"/>
      <c r="U237" s="521"/>
    </row>
    <row customHeight="1" ht="14.25">
      <c r="A238" s="586"/>
      <c r="B238" s="586"/>
      <c r="C238" s="586"/>
      <c r="D238" s="586"/>
      <c r="E238" s="119"/>
      <c r="F238" s="586"/>
      <c r="G238" s="586"/>
      <c r="H238" s="692"/>
      <c r="I238" s="586"/>
      <c r="J238" s="586"/>
      <c r="K238" s="586"/>
      <c r="L238" s="586"/>
      <c r="M238" s="402"/>
      <c r="N238" s="521"/>
      <c r="O238" s="521"/>
      <c r="P238" s="521"/>
      <c r="Q238" s="521"/>
      <c r="R238" s="521"/>
      <c r="S238" s="521"/>
      <c r="T238" s="521"/>
      <c r="U238" s="521"/>
    </row>
    <row customHeight="1" ht="14.25">
      <c r="A239" s="586"/>
      <c r="B239" s="586"/>
      <c r="C239" s="586"/>
      <c r="D239" s="586"/>
      <c r="E239" s="119"/>
      <c r="F239" s="586"/>
      <c r="G239" s="586"/>
      <c r="H239" s="692"/>
      <c r="I239" s="586"/>
      <c r="J239" s="586"/>
      <c r="K239" s="586"/>
      <c r="L239" s="586"/>
      <c r="M239" s="402"/>
      <c r="N239" s="521"/>
      <c r="O239" s="521"/>
      <c r="P239" s="521"/>
      <c r="Q239" s="521"/>
      <c r="R239" s="521"/>
      <c r="S239" s="521"/>
      <c r="T239" s="521"/>
      <c r="U239" s="521"/>
    </row>
    <row customHeight="1" ht="14.25">
      <c r="A240" s="586"/>
      <c r="B240" s="586"/>
      <c r="C240" s="586"/>
      <c r="D240" s="586"/>
      <c r="E240" s="119"/>
      <c r="F240" s="586"/>
      <c r="G240" s="586"/>
      <c r="H240" s="692"/>
      <c r="I240" s="586"/>
      <c r="J240" s="586"/>
      <c r="K240" s="586"/>
      <c r="L240" s="586"/>
      <c r="M240" s="402"/>
      <c r="N240" s="521"/>
      <c r="O240" s="521"/>
      <c r="P240" s="521"/>
      <c r="Q240" s="521"/>
      <c r="R240" s="521"/>
      <c r="S240" s="521"/>
      <c r="T240" s="521"/>
      <c r="U240" s="521"/>
    </row>
  </sheetData>
  <mergeCells count="12">
    <mergeCell ref="B1:L1"/>
    <mergeCell ref="C2:I2"/>
    <mergeCell ref="J2:L2"/>
    <mergeCell ref="D3:F3"/>
    <mergeCell ref="G3:I3"/>
    <mergeCell ref="J3:K3"/>
    <mergeCell ref="C94:F94"/>
    <mergeCell ref="G94:I94"/>
    <mergeCell ref="K94:L94"/>
    <mergeCell ref="B3:B4"/>
    <mergeCell ref="C3:C4"/>
    <mergeCell ref="L3:L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3FD7B59-9B68-7978-8058-F178266AFD5F}" mc:Ignorable="x14ac xr xr2 xr3">
  <dimension ref="A1:N147"/>
  <sheetViews>
    <sheetView showGridLines="0"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defaultColWidth="9.00390625" customHeight="1" defaultRowHeight="14.4525"/>
  <cols>
    <col min="1" max="1" style="179" width="2.7109375" customWidth="1"/>
    <col min="2" max="2" style="179" width="31.00390625" customWidth="1"/>
    <col min="3" max="3" style="179" width="8.28125" customWidth="1"/>
    <col min="4" max="4" style="179" width="10.7109375" customWidth="1"/>
    <col min="5" max="5" style="342" width="10.7109375" customWidth="1"/>
    <col min="6" max="12" style="179" width="10.7109375" customWidth="1"/>
    <col min="13" max="14" style="52" width="9.00390625" hidden="1"/>
  </cols>
  <sheetData>
    <row customHeight="1" ht="25.5">
      <c r="A1" s="384"/>
      <c r="B1" s="432" t="s">
        <v>151</v>
      </c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4"/>
      <c r="N1" s="434"/>
    </row>
    <row s="178" customFormat="1" customHeight="1" ht="18.75">
      <c r="A2" s="435"/>
      <c r="B2" s="546" t="s">
        <v>1</v>
      </c>
      <c r="C2" s="547" t="s">
        <v>2</v>
      </c>
      <c r="D2" s="547"/>
      <c r="E2" s="547"/>
      <c r="F2" s="547"/>
      <c r="G2" s="547"/>
      <c r="H2" s="547"/>
      <c r="I2" s="547"/>
      <c r="J2" s="550" t="s">
        <v>3</v>
      </c>
      <c r="K2" s="550"/>
      <c r="L2" s="550"/>
      <c r="M2" s="439"/>
      <c r="N2" s="439"/>
    </row>
    <row customHeight="1" ht="14.25">
      <c r="A3" s="384"/>
      <c r="B3" s="343" t="s">
        <v>4</v>
      </c>
      <c r="C3" s="186" t="s">
        <v>5</v>
      </c>
      <c r="D3" s="186" t="s">
        <v>6</v>
      </c>
      <c r="E3" s="186"/>
      <c r="F3" s="186"/>
      <c r="G3" s="186" t="s">
        <v>7</v>
      </c>
      <c r="H3" s="186"/>
      <c r="I3" s="186"/>
      <c r="J3" s="693" t="s">
        <v>8</v>
      </c>
      <c r="K3" s="693"/>
      <c r="L3" s="215" t="s">
        <v>9</v>
      </c>
      <c r="M3" s="434"/>
      <c r="N3" s="434"/>
    </row>
    <row customHeight="1" ht="14.25">
      <c r="A4" s="384"/>
      <c r="B4" s="188"/>
      <c r="C4" s="189"/>
      <c r="D4" s="189" t="s">
        <v>10</v>
      </c>
      <c r="E4" s="344" t="s">
        <v>11</v>
      </c>
      <c r="F4" s="189" t="s">
        <v>12</v>
      </c>
      <c r="G4" s="189" t="s">
        <v>13</v>
      </c>
      <c r="H4" s="189" t="s">
        <v>14</v>
      </c>
      <c r="I4" s="189" t="s">
        <v>12</v>
      </c>
      <c r="J4" s="451" t="s">
        <v>15</v>
      </c>
      <c r="K4" s="451" t="s">
        <v>16</v>
      </c>
      <c r="L4" s="452"/>
      <c r="M4" s="434"/>
      <c r="N4" s="434"/>
    </row>
    <row customHeight="1" ht="14.25">
      <c r="A5" s="384"/>
      <c r="B5" s="453" t="s">
        <v>17</v>
      </c>
      <c r="C5" s="500"/>
      <c r="D5" s="695"/>
      <c r="E5" s="451"/>
      <c r="F5" s="501"/>
      <c r="G5" s="695"/>
      <c r="H5" s="459"/>
      <c r="I5" s="501"/>
      <c r="J5" s="459"/>
      <c r="K5" s="459"/>
      <c r="L5" s="460"/>
      <c r="M5" s="434"/>
      <c r="N5" s="434"/>
    </row>
    <row customHeight="1" ht="14.25">
      <c r="A6" s="384"/>
      <c r="B6" s="461" t="s">
        <v>18</v>
      </c>
      <c r="C6" s="454" t="s">
        <v>19</v>
      </c>
      <c r="D6" s="462" t="str">
        <f>_xlfn.IFERROR(IF(永炼取值!D6=0,"",永炼取值!D6),"")</f>
        <v/>
      </c>
      <c r="E6" s="481">
        <f>_xlfn.IFERROR(SUM(E7:E15),"")</f>
        <v>252702</v>
      </c>
      <c r="F6" s="463"/>
      <c r="G6" s="462" t="str">
        <f>_xlfn.IFERROR(IF(永炼取值!G6=0,"",永炼取值!G6),"")</f>
        <v/>
      </c>
      <c r="H6" s="456">
        <f>_xlfn.IFERROR(SUM(H7:H15),"")</f>
        <v>3509085</v>
      </c>
      <c r="I6" s="501"/>
      <c r="J6" s="464">
        <v>330770</v>
      </c>
      <c r="K6" s="464">
        <v>2978885</v>
      </c>
      <c r="L6" s="460">
        <f>_xlfn.IFERROR(H6-K6,"")</f>
        <v>530200</v>
      </c>
      <c r="M6" s="434"/>
      <c r="N6" s="434"/>
    </row>
    <row customHeight="1" ht="14.25">
      <c r="A7" s="384"/>
      <c r="B7" s="461" t="s">
        <v>20</v>
      </c>
      <c r="C7" s="454" t="s">
        <v>19</v>
      </c>
      <c r="D7" s="558">
        <v>240000</v>
      </c>
      <c r="E7" s="202">
        <f>_xlfn.IFERROR(永炼取值!E7,"")</f>
        <v>252343</v>
      </c>
      <c r="F7" s="463">
        <f>_xlfn.IFERROR(E7/永炼取值!D7*100,"")</f>
        <v>105.142916666667</v>
      </c>
      <c r="G7" s="558">
        <v>3700000</v>
      </c>
      <c r="H7" s="200">
        <f>_xlfn.IFERROR(永炼取值!H7,"")</f>
        <v>3486701</v>
      </c>
      <c r="I7" s="501">
        <f>_xlfn.IFERROR(H7/永炼取值!G7*100,"")</f>
        <v>94.2351621621622</v>
      </c>
      <c r="J7" s="696">
        <v>330378</v>
      </c>
      <c r="K7" s="696">
        <v>2974894</v>
      </c>
      <c r="L7" s="460">
        <f>_xlfn.IFERROR(H7-K7,"")</f>
        <v>511807</v>
      </c>
      <c r="M7" s="434"/>
      <c r="N7" s="434"/>
    </row>
    <row customHeight="1" ht="14.25">
      <c r="A8" s="384"/>
      <c r="B8" s="461" t="s">
        <v>21</v>
      </c>
      <c r="C8" s="454" t="s">
        <v>19</v>
      </c>
      <c r="D8" s="558" t="str">
        <f>_xlfn.IFERROR(IF(永炼取值!D8=0,"",永炼取值!D8),"")</f>
        <v/>
      </c>
      <c r="E8" s="202"/>
      <c r="F8" s="463" t="str">
        <f>_xlfn.IFERROR(E8/永炼取值!D8*100,"")</f>
        <v/>
      </c>
      <c r="G8" s="558" t="str">
        <f>_xlfn.IFERROR(IF(永炼取值!G8=0,"",永炼取值!G8),"")</f>
        <v/>
      </c>
      <c r="H8" s="200"/>
      <c r="I8" s="501" t="str">
        <f>_xlfn.IFERROR(H8/永炼取值!G8*100,"")</f>
        <v/>
      </c>
      <c r="J8" s="696"/>
      <c r="K8" s="696"/>
      <c r="L8" s="460">
        <f>_xlfn.IFERROR(H8-K8,"")</f>
        <v>0</v>
      </c>
      <c r="M8" s="434"/>
      <c r="N8" s="434"/>
    </row>
    <row customHeight="1" ht="14.25">
      <c r="A9" s="384"/>
      <c r="B9" s="461" t="s">
        <v>22</v>
      </c>
      <c r="C9" s="454" t="s">
        <v>19</v>
      </c>
      <c r="D9" s="558" t="str">
        <f>_xlfn.IFERROR(IF(永炼取值!D9=0,"",永炼取值!D9),"")</f>
        <v/>
      </c>
      <c r="E9" s="202">
        <f>_xlfn.IFERROR(永炼取值!E9,"")</f>
        <v>359</v>
      </c>
      <c r="F9" s="463" t="str">
        <f>_xlfn.IFERROR(E9/永炼取值!D9*100,"")</f>
        <v/>
      </c>
      <c r="G9" s="558">
        <v>20000</v>
      </c>
      <c r="H9" s="200">
        <f>_xlfn.IFERROR(永炼取值!H9,"")</f>
        <v>22384</v>
      </c>
      <c r="I9" s="501">
        <f>_xlfn.IFERROR(H9/永炼取值!G9*100,"")</f>
        <v>111.92</v>
      </c>
      <c r="J9" s="696">
        <v>392</v>
      </c>
      <c r="K9" s="696">
        <v>3991</v>
      </c>
      <c r="L9" s="460">
        <f>_xlfn.IFERROR(H9-K9,"")</f>
        <v>18393</v>
      </c>
      <c r="M9" s="434"/>
      <c r="N9" s="434"/>
    </row>
    <row customHeight="1" ht="14.25">
      <c r="A10" s="384"/>
      <c r="B10" s="461" t="s">
        <v>23</v>
      </c>
      <c r="C10" s="454" t="s">
        <v>19</v>
      </c>
      <c r="D10" s="558" t="str">
        <f>_xlfn.IFERROR(IF(永炼取值!D10=0,"",永炼取值!D10),"")</f>
        <v/>
      </c>
      <c r="E10" s="202"/>
      <c r="F10" s="463" t="str">
        <f>_xlfn.IFERROR(E10/永炼取值!D10*100,"")</f>
        <v/>
      </c>
      <c r="G10" s="558" t="str">
        <f>_xlfn.IFERROR(IF(永炼取值!G10=0,"",永炼取值!G10),"")</f>
        <v/>
      </c>
      <c r="H10" s="200"/>
      <c r="I10" s="501" t="str">
        <f>_xlfn.IFERROR(H10/永炼取值!G10*100,"")</f>
        <v/>
      </c>
      <c r="J10" s="696"/>
      <c r="K10" s="696"/>
      <c r="L10" s="460">
        <f>_xlfn.IFERROR(H10-K10,"")</f>
        <v>0</v>
      </c>
      <c r="M10" s="434"/>
      <c r="N10" s="434"/>
    </row>
    <row customHeight="1" ht="14.25">
      <c r="A11" s="384"/>
      <c r="B11" s="461" t="s">
        <v>24</v>
      </c>
      <c r="C11" s="454" t="s">
        <v>19</v>
      </c>
      <c r="D11" s="558" t="str">
        <f>_xlfn.IFERROR(IF(永炼取值!D11=0,"",永炼取值!D11),"")</f>
        <v/>
      </c>
      <c r="E11" s="202"/>
      <c r="F11" s="463" t="str">
        <f>_xlfn.IFERROR(E11/永炼取值!D11*100,"")</f>
        <v/>
      </c>
      <c r="G11" s="558" t="str">
        <f>_xlfn.IFERROR(IF(永炼取值!G11=0,"",永炼取值!G11),"")</f>
        <v/>
      </c>
      <c r="H11" s="200"/>
      <c r="I11" s="501" t="str">
        <f>_xlfn.IFERROR(H11/永炼取值!G11*100,"")</f>
        <v/>
      </c>
      <c r="J11" s="696"/>
      <c r="K11" s="696"/>
      <c r="L11" s="460">
        <f>_xlfn.IFERROR(H11-K11,"")</f>
        <v>0</v>
      </c>
      <c r="M11" s="434"/>
      <c r="N11" s="434"/>
    </row>
    <row customHeight="1" ht="14.25">
      <c r="A12" s="384"/>
      <c r="B12" s="461" t="s">
        <v>25</v>
      </c>
      <c r="C12" s="454" t="s">
        <v>19</v>
      </c>
      <c r="D12" s="558" t="str">
        <f>_xlfn.IFERROR(IF(永炼取值!D12=0,"",永炼取值!D12),"")</f>
        <v/>
      </c>
      <c r="E12" s="202">
        <f>_xlfn.IFERROR(永炼取值!E12,"")</f>
        <v>0</v>
      </c>
      <c r="F12" s="463" t="str">
        <f>_xlfn.IFERROR(E12/永炼取值!D12*100,"")</f>
        <v/>
      </c>
      <c r="G12" s="558" t="str">
        <f>_xlfn.IFERROR(IF(永炼取值!G12=0,"",永炼取值!G12),"")</f>
        <v/>
      </c>
      <c r="H12" s="200">
        <f>_xlfn.IFERROR(永炼取值!H12,"")</f>
        <v>0</v>
      </c>
      <c r="I12" s="501" t="str">
        <f>_xlfn.IFERROR(H12/永炼取值!G12*100,"")</f>
        <v/>
      </c>
      <c r="J12" s="696">
        <v>0</v>
      </c>
      <c r="K12" s="696">
        <v>0</v>
      </c>
      <c r="L12" s="460">
        <f>_xlfn.IFERROR(H12-K12,"")</f>
        <v>0</v>
      </c>
      <c r="M12" s="434"/>
      <c r="N12" s="434"/>
    </row>
    <row customHeight="1" ht="14.25">
      <c r="A13" s="384"/>
      <c r="B13" s="461" t="s">
        <v>26</v>
      </c>
      <c r="C13" s="454" t="s">
        <v>19</v>
      </c>
      <c r="D13" s="558" t="str">
        <f>_xlfn.IFERROR(IF(永炼取值!D13=0,"",永炼取值!D13),"")</f>
        <v/>
      </c>
      <c r="E13" s="202">
        <f>_xlfn.IFERROR(永炼取值!E13,"")</f>
        <v>0</v>
      </c>
      <c r="F13" s="463" t="str">
        <f>_xlfn.IFERROR(E13/永炼取值!D13*100,"")</f>
        <v/>
      </c>
      <c r="G13" s="558" t="str">
        <f>_xlfn.IFERROR(IF(永炼取值!G13=0,"",永炼取值!G13),"")</f>
        <v/>
      </c>
      <c r="H13" s="200"/>
      <c r="I13" s="501" t="str">
        <f>_xlfn.IFERROR(H13/永炼取值!G13*100,"")</f>
        <v/>
      </c>
      <c r="J13" s="696">
        <v>0</v>
      </c>
      <c r="K13" s="696"/>
      <c r="L13" s="460">
        <f>_xlfn.IFERROR(H13-K13,"")</f>
        <v>0</v>
      </c>
      <c r="M13" s="434"/>
      <c r="N13" s="434"/>
    </row>
    <row customHeight="1" ht="14.25">
      <c r="A14" s="384"/>
      <c r="B14" s="461" t="s">
        <v>27</v>
      </c>
      <c r="C14" s="454" t="s">
        <v>19</v>
      </c>
      <c r="D14" s="558" t="str">
        <f>_xlfn.IFERROR(IF(永炼取值!D14=0,"",永炼取值!D14),"")</f>
        <v/>
      </c>
      <c r="E14" s="202">
        <f>_xlfn.IFERROR(永炼取值!E14,"")</f>
        <v>0</v>
      </c>
      <c r="F14" s="463" t="str">
        <f>_xlfn.IFERROR(E14/永炼取值!D14*100,"")</f>
        <v/>
      </c>
      <c r="G14" s="558" t="str">
        <f>_xlfn.IFERROR(IF(永炼取值!G14=0,"",永炼取值!G14),"")</f>
        <v/>
      </c>
      <c r="H14" s="202">
        <f>_xlfn.IFERROR(永炼取值!H14,"")</f>
        <v>0</v>
      </c>
      <c r="I14" s="501" t="str">
        <f>_xlfn.IFERROR(H14/永炼取值!G14*100,"")</f>
        <v/>
      </c>
      <c r="J14" s="696">
        <v>0</v>
      </c>
      <c r="K14" s="696">
        <v>0</v>
      </c>
      <c r="L14" s="460">
        <f>_xlfn.IFERROR(H14-K14,"")</f>
        <v>0</v>
      </c>
      <c r="M14" s="434"/>
      <c r="N14" s="434"/>
    </row>
    <row customHeight="1" ht="14.25">
      <c r="A15" s="384"/>
      <c r="B15" s="461" t="s">
        <v>28</v>
      </c>
      <c r="C15" s="454" t="s">
        <v>19</v>
      </c>
      <c r="D15" s="558" t="str">
        <f>_xlfn.IFERROR(IF(永炼取值!D15=0,"",永炼取值!D15),"")</f>
        <v/>
      </c>
      <c r="E15" s="202"/>
      <c r="F15" s="463" t="str">
        <f>_xlfn.IFERROR(E15/永炼取值!D15*100,"")</f>
        <v/>
      </c>
      <c r="G15" s="558" t="str">
        <f>_xlfn.IFERROR(IF(永炼取值!G15=0,"",永炼取值!G15),"")</f>
        <v/>
      </c>
      <c r="H15" s="200"/>
      <c r="I15" s="501" t="str">
        <f>_xlfn.IFERROR(H15/永炼取值!G15*100,"")</f>
        <v/>
      </c>
      <c r="J15" s="696"/>
      <c r="K15" s="696"/>
      <c r="L15" s="460">
        <f>_xlfn.IFERROR(H15-K15,"")</f>
        <v>0</v>
      </c>
      <c r="M15" s="434"/>
      <c r="N15" s="434"/>
    </row>
    <row customHeight="1" ht="14.25">
      <c r="A16" s="384"/>
      <c r="B16" s="461" t="s">
        <v>29</v>
      </c>
      <c r="C16" s="454" t="s">
        <v>19</v>
      </c>
      <c r="D16" s="558" t="str">
        <f>_xlfn.IFERROR(IF(永炼取值!D16=0,"",永炼取值!D16),"")</f>
        <v/>
      </c>
      <c r="E16" s="202">
        <f>_xlfn.IFERROR(永炼取值!E16,"")</f>
        <v>252343</v>
      </c>
      <c r="F16" s="463" t="str">
        <f>_xlfn.IFERROR(E16/永炼取值!D16*100,"")</f>
        <v/>
      </c>
      <c r="G16" s="558" t="str">
        <f>_xlfn.IFERROR(IF(永炼取值!G16=0,"",永炼取值!G16),"")</f>
        <v/>
      </c>
      <c r="H16" s="200">
        <f>_xlfn.IFERROR(永炼取值!H16,"")</f>
        <v>3486701</v>
      </c>
      <c r="I16" s="501" t="str">
        <f>_xlfn.IFERROR(H16/永炼取值!G16*100,"")</f>
        <v/>
      </c>
      <c r="J16" s="696">
        <v>330378</v>
      </c>
      <c r="K16" s="696">
        <v>2974894</v>
      </c>
      <c r="L16" s="460">
        <f>_xlfn.IFERROR(H16-K16,"")</f>
        <v>511807</v>
      </c>
      <c r="M16" s="434" t="s">
        <v>152</v>
      </c>
      <c r="N16" s="434"/>
    </row>
    <row customHeight="1" ht="14.25">
      <c r="A17" s="384"/>
      <c r="B17" s="461" t="s">
        <v>30</v>
      </c>
      <c r="C17" s="454" t="s">
        <v>19</v>
      </c>
      <c r="D17" s="558">
        <v>240000</v>
      </c>
      <c r="E17" s="202">
        <f>_xlfn.IFERROR(永炼取值!E17,"")</f>
        <v>252343</v>
      </c>
      <c r="F17" s="463">
        <f>_xlfn.IFERROR(E17/永炼取值!D17*100,"")</f>
        <v>105.142916666667</v>
      </c>
      <c r="G17" s="558">
        <v>3700000</v>
      </c>
      <c r="H17" s="200">
        <f>_xlfn.IFERROR(永炼取值!H17,"")</f>
        <v>3486701</v>
      </c>
      <c r="I17" s="501">
        <f>_xlfn.IFERROR(H17/永炼取值!G17*100,"")</f>
        <v>94.2351621621622</v>
      </c>
      <c r="J17" s="696">
        <v>330378</v>
      </c>
      <c r="K17" s="696">
        <v>2974894</v>
      </c>
      <c r="L17" s="460">
        <f>_xlfn.IFERROR(H17-K17,"")</f>
        <v>511807</v>
      </c>
      <c r="M17" s="567">
        <f>E17</f>
        <v>252343</v>
      </c>
      <c r="N17" s="567">
        <f>H17</f>
        <v>3486701</v>
      </c>
    </row>
    <row customHeight="1" ht="14.25">
      <c r="A18" s="384"/>
      <c r="B18" s="465" t="s">
        <v>31</v>
      </c>
      <c r="C18" s="466" t="s">
        <v>19</v>
      </c>
      <c r="D18" s="558" t="str">
        <f>_xlfn.IFERROR(IF(永炼取值!D18=0,"",永炼取值!D18),"")</f>
        <v/>
      </c>
      <c r="E18" s="205">
        <f>_xlfn.IFERROR(永炼取值!E18,"")</f>
        <v>0</v>
      </c>
      <c r="F18" s="468" t="str">
        <f>_xlfn.IFERROR(E18/永炼取值!D18*100,"")</f>
        <v/>
      </c>
      <c r="G18" s="558" t="str">
        <f>_xlfn.IFERROR(IF(永炼取值!G18=0,"",永炼取值!G18),"")</f>
        <v/>
      </c>
      <c r="H18" s="207">
        <f>_xlfn.IFERROR(永炼取值!H18,"")</f>
        <v>0</v>
      </c>
      <c r="I18" s="565" t="str">
        <f>_xlfn.IFERROR(H18/永炼取值!G18*100,"")</f>
        <v/>
      </c>
      <c r="J18" s="699">
        <v>0</v>
      </c>
      <c r="K18" s="699">
        <v>0</v>
      </c>
      <c r="L18" s="471">
        <f>_xlfn.IFERROR(H18-K18,"")</f>
        <v>0</v>
      </c>
      <c r="M18" s="434"/>
      <c r="N18" s="434"/>
    </row>
    <row customHeight="1" ht="14.25">
      <c r="A19" s="384"/>
      <c r="B19" s="461" t="s">
        <v>32</v>
      </c>
      <c r="C19" s="454" t="s">
        <v>19</v>
      </c>
      <c r="D19" s="558" t="str">
        <f>_xlfn.IFERROR(IF(永炼取值!D19=0,"",永炼取值!D19),"")</f>
        <v/>
      </c>
      <c r="E19" s="202">
        <f>_xlfn.IFERROR(永炼取值!E19,"")</f>
        <v>103741</v>
      </c>
      <c r="F19" s="463" t="str">
        <f>_xlfn.IFERROR(E19/永炼取值!D19*100,"")</f>
        <v/>
      </c>
      <c r="G19" s="558" t="str">
        <f>_xlfn.IFERROR(IF(永炼取值!G19=0,"",永炼取值!G19),"")</f>
        <v/>
      </c>
      <c r="H19" s="200">
        <f>_xlfn.IFERROR(永炼取值!H19,"")</f>
        <v>1239613</v>
      </c>
      <c r="I19" s="501" t="str">
        <f>_xlfn.IFERROR(H19/永炼取值!G19*100,"")</f>
        <v/>
      </c>
      <c r="J19" s="696">
        <v>115149</v>
      </c>
      <c r="K19" s="696">
        <v>953245</v>
      </c>
      <c r="L19" s="460">
        <f>_xlfn.IFERROR(H19-K19,"")</f>
        <v>286368</v>
      </c>
      <c r="M19" s="434"/>
      <c r="N19" s="434"/>
    </row>
    <row customHeight="1" ht="14.25">
      <c r="A20" s="384"/>
      <c r="B20" s="461" t="s">
        <v>33</v>
      </c>
      <c r="C20" s="454" t="s">
        <v>19</v>
      </c>
      <c r="D20" s="558">
        <v>96000</v>
      </c>
      <c r="E20" s="202">
        <f>_xlfn.IFERROR(永炼取值!E20,"")</f>
        <v>96093</v>
      </c>
      <c r="F20" s="463">
        <f>_xlfn.IFERROR(E20/永炼取值!D20*100,"")</f>
        <v>100.096875</v>
      </c>
      <c r="G20" s="558">
        <v>1120000</v>
      </c>
      <c r="H20" s="200">
        <f>_xlfn.IFERROR(永炼取值!H20,"")</f>
        <v>1140974</v>
      </c>
      <c r="I20" s="501">
        <f>_xlfn.IFERROR(H20/永炼取值!G20*100,"")</f>
        <v>101.872678571429</v>
      </c>
      <c r="J20" s="696">
        <v>109008</v>
      </c>
      <c r="K20" s="696">
        <v>899933</v>
      </c>
      <c r="L20" s="460">
        <f>_xlfn.IFERROR(H20-K20,"")</f>
        <v>241041</v>
      </c>
      <c r="M20" s="567">
        <f>E20</f>
        <v>96093</v>
      </c>
      <c r="N20" s="567">
        <f>H20</f>
        <v>1140974</v>
      </c>
    </row>
    <row customHeight="1" ht="14.25">
      <c r="A21" s="384"/>
      <c r="B21" s="461" t="s">
        <v>34</v>
      </c>
      <c r="C21" s="454" t="s">
        <v>19</v>
      </c>
      <c r="D21" s="558">
        <v>16500</v>
      </c>
      <c r="E21" s="202">
        <f>_xlfn.IFERROR(永炼取值!E21,"")</f>
        <v>18360</v>
      </c>
      <c r="F21" s="463">
        <f>_xlfn.IFERROR(E21/永炼取值!D21*100,"")</f>
        <v>111.272727272727</v>
      </c>
      <c r="G21" s="558">
        <v>190000</v>
      </c>
      <c r="H21" s="200">
        <f>_xlfn.IFERROR(永炼取值!H21,"")</f>
        <v>208122</v>
      </c>
      <c r="I21" s="501">
        <f>_xlfn.IFERROR(H21/永炼取值!G21*100,"")</f>
        <v>109.537894736842</v>
      </c>
      <c r="J21" s="696">
        <v>18222</v>
      </c>
      <c r="K21" s="696">
        <v>168339</v>
      </c>
      <c r="L21" s="460">
        <f>_xlfn.IFERROR(H21-K21,"")</f>
        <v>39783</v>
      </c>
      <c r="M21" s="434"/>
      <c r="N21" s="434"/>
    </row>
    <row customHeight="1" ht="14.25">
      <c r="A22" s="384"/>
      <c r="B22" s="461" t="s">
        <v>35</v>
      </c>
      <c r="C22" s="454" t="s">
        <v>19</v>
      </c>
      <c r="D22" s="558" t="str">
        <f>_xlfn.IFERROR(IF(永炼取值!D22=0,"",永炼取值!D22),"")</f>
        <v/>
      </c>
      <c r="E22" s="202">
        <f>_xlfn.IFERROR(永炼取值!E22,"")</f>
        <v>0</v>
      </c>
      <c r="F22" s="463" t="str">
        <f>_xlfn.IFERROR(E22/永炼取值!D22*100,"")</f>
        <v/>
      </c>
      <c r="G22" s="558" t="str">
        <f>_xlfn.IFERROR(IF(永炼取值!G22=0,"",永炼取值!G22),"")</f>
        <v/>
      </c>
      <c r="H22" s="200">
        <f>_xlfn.IFERROR(永炼取值!H22,"")</f>
        <v>0</v>
      </c>
      <c r="I22" s="501" t="str">
        <f>_xlfn.IFERROR(H22/永炼取值!G22*100,"")</f>
        <v/>
      </c>
      <c r="J22" s="696">
        <v>0</v>
      </c>
      <c r="K22" s="696">
        <v>0</v>
      </c>
      <c r="L22" s="460">
        <f>_xlfn.IFERROR(H22-K22,"")</f>
        <v>0</v>
      </c>
      <c r="M22" s="434"/>
      <c r="N22" s="434"/>
    </row>
    <row customHeight="1" ht="14.25">
      <c r="A23" s="384"/>
      <c r="B23" s="461" t="s">
        <v>36</v>
      </c>
      <c r="C23" s="454" t="s">
        <v>19</v>
      </c>
      <c r="D23" s="558" t="str">
        <f>_xlfn.IFERROR(IF(永炼取值!D23=0,"",永炼取值!D23),"")</f>
        <v/>
      </c>
      <c r="E23" s="202">
        <f>_xlfn.IFERROR(永炼取值!E23,"")</f>
        <v>0</v>
      </c>
      <c r="F23" s="463" t="str">
        <f>_xlfn.IFERROR(E23/永炼取值!D23*100,"")</f>
        <v/>
      </c>
      <c r="G23" s="558" t="str">
        <f>_xlfn.IFERROR(IF(永炼取值!G23=0,"",永炼取值!G23),"")</f>
        <v/>
      </c>
      <c r="H23" s="200">
        <f>_xlfn.IFERROR(永炼取值!H23,"")</f>
        <v>0</v>
      </c>
      <c r="I23" s="501" t="str">
        <f>_xlfn.IFERROR(H23/永炼取值!G23*100,"")</f>
        <v/>
      </c>
      <c r="J23" s="696">
        <v>0</v>
      </c>
      <c r="K23" s="696">
        <v>0</v>
      </c>
      <c r="L23" s="460">
        <f>_xlfn.IFERROR(H23-K23,"")</f>
        <v>0</v>
      </c>
      <c r="M23" s="434"/>
      <c r="N23" s="434"/>
    </row>
    <row customHeight="1" ht="14.25">
      <c r="A24" s="384"/>
      <c r="B24" s="461" t="s">
        <v>37</v>
      </c>
      <c r="C24" s="454" t="s">
        <v>19</v>
      </c>
      <c r="D24" s="558">
        <v>47000</v>
      </c>
      <c r="E24" s="202">
        <f>_xlfn.IFERROR(永炼取值!E24,"")</f>
        <v>50846</v>
      </c>
      <c r="F24" s="463">
        <f>_xlfn.IFERROR(E24/永炼取值!D24*100,"")</f>
        <v>108.182978723404</v>
      </c>
      <c r="G24" s="558">
        <v>550000</v>
      </c>
      <c r="H24" s="200">
        <f>_xlfn.IFERROR(永炼取值!H24,"")</f>
        <v>610823</v>
      </c>
      <c r="I24" s="501">
        <f>_xlfn.IFERROR(H24/永炼取值!G24*100,"")</f>
        <v>111.058727272727</v>
      </c>
      <c r="J24" s="696">
        <v>55968</v>
      </c>
      <c r="K24" s="696">
        <v>478921</v>
      </c>
      <c r="L24" s="460">
        <f>_xlfn.IFERROR(H24-K24,"")</f>
        <v>131902</v>
      </c>
      <c r="M24" s="434"/>
      <c r="N24" s="434"/>
    </row>
    <row customHeight="1" ht="14.25">
      <c r="A25" s="384"/>
      <c r="B25" s="461" t="s">
        <v>38</v>
      </c>
      <c r="C25" s="454" t="s">
        <v>19</v>
      </c>
      <c r="D25" s="558">
        <v>90000</v>
      </c>
      <c r="E25" s="202">
        <f>_xlfn.IFERROR(永炼取值!E25,"")</f>
        <v>101000</v>
      </c>
      <c r="F25" s="463">
        <f>_xlfn.IFERROR(E25/永炼取值!D25*100,"")</f>
        <v>112.222222222222</v>
      </c>
      <c r="G25" s="558">
        <v>1330000</v>
      </c>
      <c r="H25" s="200">
        <f>_xlfn.IFERROR(永炼取值!H25,"")</f>
        <v>1302390</v>
      </c>
      <c r="I25" s="501">
        <f>_xlfn.IFERROR(H25/永炼取值!G25*100,"")</f>
        <v>97.9240601503759</v>
      </c>
      <c r="J25" s="696">
        <v>123978</v>
      </c>
      <c r="K25" s="696">
        <v>1079507</v>
      </c>
      <c r="L25" s="460">
        <f>_xlfn.IFERROR(H25-K25,"")</f>
        <v>222883</v>
      </c>
      <c r="M25" s="434"/>
      <c r="N25" s="434"/>
    </row>
    <row customHeight="1" ht="14.25">
      <c r="A26" s="384"/>
      <c r="B26" s="461" t="s">
        <v>39</v>
      </c>
      <c r="C26" s="454" t="s">
        <v>19</v>
      </c>
      <c r="D26" s="558" t="str">
        <f>_xlfn.IFERROR(IF(永炼取值!D26=0,"",永炼取值!D26),"")</f>
        <v/>
      </c>
      <c r="E26" s="202">
        <f>_xlfn.IFERROR(永炼取值!E26,"")</f>
        <v>0</v>
      </c>
      <c r="F26" s="463" t="str">
        <f>_xlfn.IFERROR(E26/永炼取值!D26*100,"")</f>
        <v/>
      </c>
      <c r="G26" s="558" t="str">
        <f>_xlfn.IFERROR(IF(永炼取值!G26=0,"",永炼取值!G26),"")</f>
        <v/>
      </c>
      <c r="H26" s="200">
        <f>_xlfn.IFERROR(永炼取值!H26,"")</f>
        <v>0</v>
      </c>
      <c r="I26" s="501" t="str">
        <f>_xlfn.IFERROR(H26/永炼取值!G26*100,"")</f>
        <v/>
      </c>
      <c r="J26" s="696">
        <v>0</v>
      </c>
      <c r="K26" s="696">
        <v>0</v>
      </c>
      <c r="L26" s="460">
        <f>_xlfn.IFERROR(H26-K26,"")</f>
        <v>0</v>
      </c>
      <c r="M26" s="434"/>
      <c r="N26" s="434"/>
    </row>
    <row customHeight="1" ht="14.25">
      <c r="A27" s="384"/>
      <c r="B27" s="461" t="s">
        <v>40</v>
      </c>
      <c r="C27" s="454" t="s">
        <v>19</v>
      </c>
      <c r="D27" s="558" t="str">
        <f>_xlfn.IFERROR(IF(永炼取值!D27=0,"",永炼取值!D27),"")</f>
        <v/>
      </c>
      <c r="E27" s="202">
        <f>_xlfn.IFERROR(永炼取值!E27,"")</f>
        <v>13271</v>
      </c>
      <c r="F27" s="463" t="str">
        <f>_xlfn.IFERROR(E27/永炼取值!D27*100,"")</f>
        <v/>
      </c>
      <c r="G27" s="558">
        <v>105263</v>
      </c>
      <c r="H27" s="200">
        <f>_xlfn.IFERROR(永炼取值!H27,"")</f>
        <v>166965</v>
      </c>
      <c r="I27" s="501">
        <f>_xlfn.IFERROR(H27/永炼取值!G27*100,"")</f>
        <v>158.616987925482</v>
      </c>
      <c r="J27" s="696">
        <v>12597</v>
      </c>
      <c r="K27" s="696">
        <v>127693</v>
      </c>
      <c r="L27" s="460">
        <f>_xlfn.IFERROR(H27-K27,"")</f>
        <v>39272</v>
      </c>
      <c r="M27" s="434"/>
      <c r="N27" s="434"/>
    </row>
    <row customHeight="1" ht="14.25">
      <c r="A28" s="384"/>
      <c r="B28" s="461" t="s">
        <v>41</v>
      </c>
      <c r="C28" s="454" t="s">
        <v>19</v>
      </c>
      <c r="D28" s="558" t="str">
        <f>_xlfn.IFERROR(IF(永炼取值!D28=0,"",永炼取值!D28),"")</f>
        <v/>
      </c>
      <c r="E28" s="202">
        <f>_xlfn.IFERROR(永炼取值!E28,"")</f>
        <v>0</v>
      </c>
      <c r="F28" s="463" t="str">
        <f>_xlfn.IFERROR(E28/永炼取值!D28*100,"")</f>
        <v/>
      </c>
      <c r="G28" s="558" t="str">
        <f>_xlfn.IFERROR(IF(永炼取值!G28=0,"",永炼取值!G28),"")</f>
        <v/>
      </c>
      <c r="H28" s="200">
        <f>_xlfn.IFERROR(永炼取值!H28,"")</f>
        <v>0</v>
      </c>
      <c r="I28" s="501" t="str">
        <f>_xlfn.IFERROR(H28/永炼取值!G28*100,"")</f>
        <v/>
      </c>
      <c r="J28" s="696">
        <v>0</v>
      </c>
      <c r="K28" s="696">
        <v>0</v>
      </c>
      <c r="L28" s="460">
        <f>_xlfn.IFERROR(H28-K28,"")</f>
        <v>0</v>
      </c>
      <c r="M28" s="434"/>
      <c r="N28" s="434"/>
    </row>
    <row customHeight="1" ht="14.25">
      <c r="A29" s="384"/>
      <c r="B29" s="461" t="s">
        <v>42</v>
      </c>
      <c r="C29" s="454" t="s">
        <v>19</v>
      </c>
      <c r="D29" s="558" t="str">
        <f>_xlfn.IFERROR(IF(永炼取值!D29=0,"",永炼取值!D29),"")</f>
        <v/>
      </c>
      <c r="E29" s="202">
        <f>_xlfn.IFERROR(永炼取值!E29,"")</f>
        <v>0</v>
      </c>
      <c r="F29" s="463" t="str">
        <f>_xlfn.IFERROR(E29/永炼取值!D29*100,"")</f>
        <v/>
      </c>
      <c r="G29" s="558" t="str">
        <f>_xlfn.IFERROR(IF(永炼取值!G29=0,"",永炼取值!G29),"")</f>
        <v/>
      </c>
      <c r="H29" s="200">
        <f>_xlfn.IFERROR(永炼取值!H29,"")</f>
        <v>0</v>
      </c>
      <c r="I29" s="501" t="str">
        <f>_xlfn.IFERROR(H29/永炼取值!G29*100,"")</f>
        <v/>
      </c>
      <c r="J29" s="696">
        <v>0</v>
      </c>
      <c r="K29" s="696">
        <v>0</v>
      </c>
      <c r="L29" s="460">
        <f>_xlfn.IFERROR(H29-K29,"")</f>
        <v>0</v>
      </c>
      <c r="M29" s="434"/>
      <c r="N29" s="434"/>
    </row>
    <row customHeight="1" ht="14.25">
      <c r="A30" s="384"/>
      <c r="B30" s="453" t="s">
        <v>43</v>
      </c>
      <c r="C30" s="454"/>
      <c r="D30" s="201"/>
      <c r="E30" s="202"/>
      <c r="F30" s="463"/>
      <c r="G30" s="201"/>
      <c r="H30" s="200"/>
      <c r="I30" s="501"/>
      <c r="J30" s="218"/>
      <c r="K30" s="218"/>
      <c r="L30" s="460"/>
      <c r="M30" s="434" t="s">
        <v>128</v>
      </c>
      <c r="N30" s="434"/>
    </row>
    <row customHeight="1" ht="14.25">
      <c r="A31" s="384"/>
      <c r="B31" s="473" t="s">
        <v>44</v>
      </c>
      <c r="C31" s="454" t="s">
        <v>19</v>
      </c>
      <c r="D31" s="558">
        <v>76000</v>
      </c>
      <c r="E31" s="202">
        <f>_xlfn.IFERROR(永炼取值!E31,"")</f>
        <v>76027</v>
      </c>
      <c r="F31" s="463">
        <f>_xlfn.IFERROR(E31/永炼取值!D31*100,"")</f>
        <v>100.035526315789</v>
      </c>
      <c r="G31" s="558">
        <v>660810</v>
      </c>
      <c r="H31" s="200">
        <f>_xlfn.IFERROR(永炼取值!H31,"")</f>
        <v>889792</v>
      </c>
      <c r="I31" s="501">
        <f>_xlfn.IFERROR(H31/永炼取值!G31*100,"")</f>
        <v>134.651715319078</v>
      </c>
      <c r="J31" s="696">
        <v>79776</v>
      </c>
      <c r="K31" s="696">
        <v>695518</v>
      </c>
      <c r="L31" s="460">
        <f>_xlfn.IFERROR(H31-K31,"")</f>
        <v>194274</v>
      </c>
      <c r="M31" s="567">
        <f>E31</f>
        <v>76027</v>
      </c>
      <c r="N31" s="567">
        <f>H31</f>
        <v>889792</v>
      </c>
    </row>
    <row customHeight="1" ht="14.25">
      <c r="A32" s="384"/>
      <c r="B32" s="461" t="s">
        <v>45</v>
      </c>
      <c r="C32" s="454" t="s">
        <v>19</v>
      </c>
      <c r="D32" s="558" t="str">
        <f>_xlfn.IFERROR(IF(永炼取值!D32=0,"",永炼取值!D32),"")</f>
        <v/>
      </c>
      <c r="E32" s="202">
        <f>_xlfn.IFERROR(永炼取值!E32,"")</f>
        <v>76027</v>
      </c>
      <c r="F32" s="463" t="str">
        <f>_xlfn.IFERROR(E32/永炼取值!D32*100,"")</f>
        <v/>
      </c>
      <c r="G32" s="558">
        <v>660810</v>
      </c>
      <c r="H32" s="200">
        <f>_xlfn.IFERROR(永炼取值!H32,"")</f>
        <v>889792</v>
      </c>
      <c r="I32" s="501">
        <f>_xlfn.IFERROR(H32/永炼取值!G32*100,"")</f>
        <v>134.651715319078</v>
      </c>
      <c r="J32" s="696">
        <v>79776</v>
      </c>
      <c r="K32" s="696">
        <v>695518</v>
      </c>
      <c r="L32" s="460">
        <f>_xlfn.IFERROR(H32-K32,"")</f>
        <v>194274</v>
      </c>
      <c r="M32" s="434"/>
      <c r="N32" s="434"/>
    </row>
    <row customHeight="1" ht="14.25">
      <c r="A33" s="384"/>
      <c r="B33" s="473" t="s">
        <v>46</v>
      </c>
      <c r="C33" s="454" t="s">
        <v>19</v>
      </c>
      <c r="D33" s="558" t="str">
        <f>_xlfn.IFERROR(IF(永炼取值!D33=0,"",永炼取值!D33),"")</f>
        <v/>
      </c>
      <c r="E33" s="202">
        <f>_xlfn.IFERROR(永炼取值!E33,"")</f>
        <v>0</v>
      </c>
      <c r="F33" s="463" t="str">
        <f>_xlfn.IFERROR(E33/永炼取值!D33*100,"")</f>
        <v/>
      </c>
      <c r="G33" s="558" t="str">
        <f>_xlfn.IFERROR(IF(永炼取值!G33=0,"",永炼取值!G33),"")</f>
        <v/>
      </c>
      <c r="H33" s="200">
        <f>_xlfn.IFERROR(永炼取值!H33,"")</f>
        <v>0</v>
      </c>
      <c r="I33" s="501" t="str">
        <f>_xlfn.IFERROR(H33/永炼取值!G33*100,"")</f>
        <v/>
      </c>
      <c r="J33" s="696">
        <v>0</v>
      </c>
      <c r="K33" s="696">
        <v>0</v>
      </c>
      <c r="L33" s="460">
        <f>_xlfn.IFERROR(H33-K33,"")</f>
        <v>0</v>
      </c>
      <c r="M33" s="434"/>
      <c r="N33" s="434"/>
    </row>
    <row customHeight="1" ht="14.25">
      <c r="A34" s="384"/>
      <c r="B34" s="473" t="s">
        <v>47</v>
      </c>
      <c r="C34" s="454" t="s">
        <v>19</v>
      </c>
      <c r="D34" s="558" t="str">
        <f>_xlfn.IFERROR(IF(永炼取值!D34=0,"",永炼取值!D34),"")</f>
        <v/>
      </c>
      <c r="E34" s="202">
        <f>_xlfn.IFERROR(永炼取值!E34,"")</f>
        <v>0</v>
      </c>
      <c r="F34" s="463" t="str">
        <f>_xlfn.IFERROR(E34/永炼取值!D34*100,"")</f>
        <v/>
      </c>
      <c r="G34" s="558" t="str">
        <f>_xlfn.IFERROR(IF(永炼取值!G34=0,"",永炼取值!G34),"")</f>
        <v/>
      </c>
      <c r="H34" s="200">
        <f>_xlfn.IFERROR(永炼取值!H34,"")</f>
        <v>0</v>
      </c>
      <c r="I34" s="501" t="str">
        <f>_xlfn.IFERROR(H34/永炼取值!G34*100,"")</f>
        <v/>
      </c>
      <c r="J34" s="696">
        <v>0</v>
      </c>
      <c r="K34" s="696">
        <v>0</v>
      </c>
      <c r="L34" s="460">
        <f>_xlfn.IFERROR(H34-K34,"")</f>
        <v>0</v>
      </c>
      <c r="M34" s="434" t="s">
        <v>129</v>
      </c>
      <c r="N34" s="434"/>
    </row>
    <row customHeight="1" ht="14.25">
      <c r="A35" s="384"/>
      <c r="B35" s="461" t="s">
        <v>48</v>
      </c>
      <c r="C35" s="454" t="s">
        <v>19</v>
      </c>
      <c r="D35" s="558">
        <v>81000</v>
      </c>
      <c r="E35" s="202">
        <f>_xlfn.IFERROR(永炼取值!E35,"")</f>
        <v>94831</v>
      </c>
      <c r="F35" s="463">
        <f>_xlfn.IFERROR(E35/永炼取值!D35*100,"")</f>
        <v>117.075308641975</v>
      </c>
      <c r="G35" s="558">
        <v>1270429</v>
      </c>
      <c r="H35" s="200">
        <f>_xlfn.IFERROR(永炼取值!H35,"")</f>
        <v>1242223</v>
      </c>
      <c r="I35" s="501">
        <f>_xlfn.IFERROR(H35/永炼取值!G35*100,"")</f>
        <v>97.7798050894619</v>
      </c>
      <c r="J35" s="696">
        <v>112486</v>
      </c>
      <c r="K35" s="696">
        <v>999335</v>
      </c>
      <c r="L35" s="460">
        <f>_xlfn.IFERROR(H35-K35,"")</f>
        <v>242888</v>
      </c>
      <c r="M35" s="567">
        <f>E35</f>
        <v>94831</v>
      </c>
      <c r="N35" s="567">
        <f>H35</f>
        <v>1242223</v>
      </c>
    </row>
    <row customHeight="1" ht="14.25">
      <c r="A36" s="384"/>
      <c r="B36" s="474" t="s">
        <v>49</v>
      </c>
      <c r="C36" s="454" t="s">
        <v>19</v>
      </c>
      <c r="D36" s="558" t="str">
        <f>_xlfn.IFERROR(IF(永炼取值!D36=0,"",永炼取值!D36),"")</f>
        <v/>
      </c>
      <c r="E36" s="202">
        <f>_xlfn.IFERROR(永炼取值!E36,"")</f>
        <v>0</v>
      </c>
      <c r="F36" s="463" t="str">
        <f>_xlfn.IFERROR(E36/永炼取值!D36*100,"")</f>
        <v/>
      </c>
      <c r="G36" s="558" t="str">
        <f>_xlfn.IFERROR(IF(永炼取值!G36=0,"",永炼取值!G36),"")</f>
        <v/>
      </c>
      <c r="H36" s="200">
        <f>_xlfn.IFERROR(永炼取值!H36,"")</f>
        <v>0</v>
      </c>
      <c r="I36" s="501" t="str">
        <f>_xlfn.IFERROR(H36/永炼取值!G36*100,"")</f>
        <v/>
      </c>
      <c r="J36" s="696">
        <v>0</v>
      </c>
      <c r="K36" s="696">
        <v>0</v>
      </c>
      <c r="L36" s="460">
        <f>_xlfn.IFERROR(H36-K36,"")</f>
        <v>0</v>
      </c>
      <c r="M36" s="434"/>
      <c r="N36" s="434"/>
    </row>
    <row customHeight="1" ht="14.25">
      <c r="A37" s="384"/>
      <c r="B37" s="461" t="s">
        <v>50</v>
      </c>
      <c r="C37" s="454" t="s">
        <v>19</v>
      </c>
      <c r="D37" s="558" t="str">
        <f>_xlfn.IFERROR(IF(永炼取值!D37=0,"",永炼取值!D37),"")</f>
        <v/>
      </c>
      <c r="E37" s="202">
        <f>_xlfn.IFERROR(永炼取值!E37,"")</f>
        <v>69912</v>
      </c>
      <c r="F37" s="463" t="str">
        <f>_xlfn.IFERROR(E37/永炼取值!D37*100,"")</f>
        <v/>
      </c>
      <c r="G37" s="558" t="str">
        <f>_xlfn.IFERROR(IF(永炼取值!G37=0,"",永炼取值!G37),"")</f>
        <v/>
      </c>
      <c r="H37" s="200">
        <f>_xlfn.IFERROR(永炼取值!H37,"")</f>
        <v>1179895</v>
      </c>
      <c r="I37" s="501" t="str">
        <f>_xlfn.IFERROR(H37/永炼取值!G37*100,"")</f>
        <v/>
      </c>
      <c r="J37" s="696">
        <v>92630</v>
      </c>
      <c r="K37" s="696">
        <v>946077</v>
      </c>
      <c r="L37" s="460">
        <f>_xlfn.IFERROR(H37-K37,"")</f>
        <v>233818</v>
      </c>
      <c r="M37" s="434"/>
      <c r="N37" s="434"/>
    </row>
    <row customHeight="1" ht="14.25">
      <c r="A38" s="384"/>
      <c r="B38" s="461" t="s">
        <v>51</v>
      </c>
      <c r="C38" s="454" t="s">
        <v>19</v>
      </c>
      <c r="D38" s="558" t="str">
        <f>_xlfn.IFERROR(IF(永炼取值!D38=0,"",永炼取值!D38),"")</f>
        <v/>
      </c>
      <c r="E38" s="202">
        <f>_xlfn.IFERROR(永炼取值!E38,"")</f>
        <v>0</v>
      </c>
      <c r="F38" s="463" t="str">
        <f>_xlfn.IFERROR(E38/永炼取值!D38*100,"")</f>
        <v/>
      </c>
      <c r="G38" s="558" t="str">
        <f>_xlfn.IFERROR(IF(永炼取值!G38=0,"",永炼取值!G38),"")</f>
        <v/>
      </c>
      <c r="H38" s="200">
        <f>_xlfn.IFERROR(永炼取值!H38,"")</f>
        <v>0</v>
      </c>
      <c r="I38" s="501" t="str">
        <f>_xlfn.IFERROR(H38/永炼取值!G38*100,"")</f>
        <v/>
      </c>
      <c r="J38" s="696">
        <v>0</v>
      </c>
      <c r="K38" s="696">
        <v>0</v>
      </c>
      <c r="L38" s="460">
        <f>_xlfn.IFERROR(H38-K38,"")</f>
        <v>0</v>
      </c>
      <c r="M38" s="434"/>
      <c r="N38" s="434"/>
    </row>
    <row customHeight="1" ht="14.25">
      <c r="A39" s="384"/>
      <c r="B39" s="461" t="s">
        <v>52</v>
      </c>
      <c r="C39" s="454" t="s">
        <v>19</v>
      </c>
      <c r="D39" s="558">
        <v>20000</v>
      </c>
      <c r="E39" s="202">
        <f>_xlfn.IFERROR(永炼取值!E39,"")</f>
        <v>24919</v>
      </c>
      <c r="F39" s="463">
        <f>_xlfn.IFERROR(E39/永炼取值!D39*100,"")</f>
        <v>124.595</v>
      </c>
      <c r="G39" s="558" t="str">
        <f>_xlfn.IFERROR(IF(永炼取值!G39=0,"",永炼取值!G39),"")</f>
        <v/>
      </c>
      <c r="H39" s="200">
        <f>_xlfn.IFERROR(永炼取值!H39,"")</f>
        <v>62328</v>
      </c>
      <c r="I39" s="501" t="str">
        <f>_xlfn.IFERROR(H39/永炼取值!G39*100,"")</f>
        <v/>
      </c>
      <c r="J39" s="696">
        <v>19856</v>
      </c>
      <c r="K39" s="696">
        <v>53258</v>
      </c>
      <c r="L39" s="460">
        <f>_xlfn.IFERROR(H39-K39,"")</f>
        <v>9070</v>
      </c>
      <c r="M39" s="434"/>
      <c r="N39" s="434"/>
    </row>
    <row customHeight="1" ht="14.25">
      <c r="A40" s="384"/>
      <c r="B40" s="461" t="s">
        <v>53</v>
      </c>
      <c r="C40" s="454" t="s">
        <v>19</v>
      </c>
      <c r="D40" s="558" t="str">
        <f>_xlfn.IFERROR(IF(永炼取值!D40=0,"",永炼取值!D40),"")</f>
        <v/>
      </c>
      <c r="E40" s="202">
        <f>_xlfn.IFERROR(永炼取值!E40,"")</f>
        <v>0</v>
      </c>
      <c r="F40" s="463" t="str">
        <f>_xlfn.IFERROR(E40/永炼取值!D40*100,"")</f>
        <v/>
      </c>
      <c r="G40" s="558" t="str">
        <f>_xlfn.IFERROR(IF(永炼取值!G40=0,"",永炼取值!G40),"")</f>
        <v/>
      </c>
      <c r="H40" s="200">
        <f>_xlfn.IFERROR(永炼取值!H40,"")</f>
        <v>0</v>
      </c>
      <c r="I40" s="501" t="str">
        <f>_xlfn.IFERROR(H40/永炼取值!G40*100,"")</f>
        <v/>
      </c>
      <c r="J40" s="696">
        <v>0</v>
      </c>
      <c r="K40" s="696">
        <v>0</v>
      </c>
      <c r="L40" s="460">
        <f>_xlfn.IFERROR(H40-K40,"")</f>
        <v>0</v>
      </c>
      <c r="M40" s="434"/>
      <c r="N40" s="434"/>
    </row>
    <row customHeight="1" ht="14.25">
      <c r="A41" s="384"/>
      <c r="B41" s="461" t="s">
        <v>54</v>
      </c>
      <c r="C41" s="454" t="s">
        <v>19</v>
      </c>
      <c r="D41" s="558" t="str">
        <f>_xlfn.IFERROR(IF(永炼取值!D41=0,"",永炼取值!D41),"")</f>
        <v/>
      </c>
      <c r="E41" s="202">
        <f>_xlfn.IFERROR(永炼取值!E41,"")</f>
        <v>3449</v>
      </c>
      <c r="F41" s="463" t="str">
        <f>_xlfn.IFERROR(E41/永炼取值!D41*100,"")</f>
        <v/>
      </c>
      <c r="G41" s="558">
        <v>100000</v>
      </c>
      <c r="H41" s="200">
        <f>_xlfn.IFERROR(永炼取值!H41,"")</f>
        <v>92927.94</v>
      </c>
      <c r="I41" s="501">
        <f>_xlfn.IFERROR(H41/永炼取值!G41*100,"")</f>
        <v>92.92794</v>
      </c>
      <c r="J41" s="696">
        <v>7049</v>
      </c>
      <c r="K41" s="696">
        <v>80926.26</v>
      </c>
      <c r="L41" s="460">
        <f>_xlfn.IFERROR(H41-K41,"")</f>
        <v>12001.68</v>
      </c>
      <c r="M41" s="434"/>
      <c r="N41" s="434"/>
    </row>
    <row customHeight="1" ht="14.25">
      <c r="A42" s="384"/>
      <c r="B42" s="461" t="s">
        <v>55</v>
      </c>
      <c r="C42" s="454" t="s">
        <v>19</v>
      </c>
      <c r="D42" s="558">
        <v>5500</v>
      </c>
      <c r="E42" s="202">
        <f>_xlfn.IFERROR(永炼取值!E42,"")</f>
        <v>9136</v>
      </c>
      <c r="F42" s="463">
        <f>_xlfn.IFERROR(E42/永炼取值!D42*100,"")</f>
        <v>166.109090909091</v>
      </c>
      <c r="G42" s="558" t="str">
        <f>_xlfn.IFERROR(IF(永炼取值!G42=0,"",永炼取值!G42),"")</f>
        <v/>
      </c>
      <c r="H42" s="200">
        <f>_xlfn.IFERROR(永炼取值!H42,"")</f>
        <v>81679.14</v>
      </c>
      <c r="I42" s="501" t="str">
        <f>_xlfn.IFERROR(H42/永炼取值!G42*100,"")</f>
        <v/>
      </c>
      <c r="J42" s="696">
        <v>6972</v>
      </c>
      <c r="K42" s="696">
        <v>65902</v>
      </c>
      <c r="L42" s="460">
        <f>_xlfn.IFERROR(H42-K42,"")</f>
        <v>15777.14</v>
      </c>
      <c r="M42" s="434"/>
      <c r="N42" s="434"/>
    </row>
    <row customHeight="1" ht="14.25">
      <c r="A43" s="384"/>
      <c r="B43" s="461" t="s">
        <v>56</v>
      </c>
      <c r="C43" s="454" t="s">
        <v>19</v>
      </c>
      <c r="D43" s="558" t="str">
        <f>_xlfn.IFERROR(IF(永炼取值!D43=0,"",永炼取值!D43),"")</f>
        <v/>
      </c>
      <c r="E43" s="202">
        <f>_xlfn.IFERROR(永炼取值!E43,"")</f>
        <v>2428</v>
      </c>
      <c r="F43" s="463" t="str">
        <f>_xlfn.IFERROR(E43/永炼取值!D43*100,"")</f>
        <v/>
      </c>
      <c r="G43" s="558">
        <v>17918</v>
      </c>
      <c r="H43" s="200">
        <f>_xlfn.IFERROR(永炼取值!H43,"")</f>
        <v>12811.74</v>
      </c>
      <c r="I43" s="501" t="str">
        <f>_xlfn.IFERROR(H43/永炼取值!#REF!*100,"")</f>
        <v/>
      </c>
      <c r="J43" s="696">
        <v>0</v>
      </c>
      <c r="K43" s="696">
        <v>0</v>
      </c>
      <c r="L43" s="460">
        <f>_xlfn.IFERROR(H43-K43,"")</f>
        <v>12811.74</v>
      </c>
      <c r="M43" s="434"/>
      <c r="N43" s="434"/>
    </row>
    <row customHeight="1" ht="14.25">
      <c r="A44" s="384"/>
      <c r="B44" s="461" t="s">
        <v>57</v>
      </c>
      <c r="C44" s="454" t="s">
        <v>19</v>
      </c>
      <c r="D44" s="558">
        <v>5500</v>
      </c>
      <c r="E44" s="202">
        <f>_xlfn.IFERROR(永炼取值!E44,"")</f>
        <v>6708</v>
      </c>
      <c r="F44" s="463">
        <f>_xlfn.IFERROR(E44/永炼取值!D44*100,"")</f>
        <v>121.963636363636</v>
      </c>
      <c r="G44" s="558">
        <v>70300</v>
      </c>
      <c r="H44" s="200">
        <f>_xlfn.IFERROR(永炼取值!H44,"")</f>
        <v>68867.4</v>
      </c>
      <c r="I44" s="501" t="str">
        <f>_xlfn.IFERROR(H44/永炼取值!#REF!*100,"")</f>
        <v/>
      </c>
      <c r="J44" s="696">
        <v>6972</v>
      </c>
      <c r="K44" s="696">
        <v>65902</v>
      </c>
      <c r="L44" s="460">
        <f>_xlfn.IFERROR(H44-K44,"")</f>
        <v>2965.39999999999</v>
      </c>
      <c r="M44" s="434"/>
      <c r="N44" s="434"/>
    </row>
    <row customHeight="1" ht="14.25">
      <c r="A45" s="384"/>
      <c r="B45" s="461" t="s">
        <v>58</v>
      </c>
      <c r="C45" s="454" t="s">
        <v>19</v>
      </c>
      <c r="D45" s="558" t="str">
        <f>_xlfn.IFERROR(IF(永炼取值!D45=0,"",永炼取值!D45),"")</f>
        <v/>
      </c>
      <c r="E45" s="202">
        <f>_xlfn.IFERROR(永炼取值!E45,"")</f>
        <v>0</v>
      </c>
      <c r="F45" s="463" t="str">
        <f>_xlfn.IFERROR(E45/永炼取值!D45*100,"")</f>
        <v/>
      </c>
      <c r="G45" s="558" t="str">
        <f>_xlfn.IFERROR(IF(永炼取值!G45=0,"",永炼取值!G45),"")</f>
        <v/>
      </c>
      <c r="H45" s="200">
        <f>_xlfn.IFERROR(永炼取值!H45,"")</f>
        <v>0</v>
      </c>
      <c r="I45" s="501" t="str">
        <f>_xlfn.IFERROR(H45/永炼取值!#REF!*100,"")</f>
        <v/>
      </c>
      <c r="J45" s="696">
        <v>0</v>
      </c>
      <c r="K45" s="696">
        <v>0</v>
      </c>
      <c r="L45" s="460">
        <f>_xlfn.IFERROR(H45-K45,"")</f>
        <v>0</v>
      </c>
      <c r="M45" s="434"/>
      <c r="N45" s="434"/>
    </row>
    <row customHeight="1" ht="14.25">
      <c r="A46" s="384"/>
      <c r="B46" s="461" t="s">
        <v>59</v>
      </c>
      <c r="C46" s="454" t="s">
        <v>19</v>
      </c>
      <c r="D46" s="558" t="str">
        <f>_xlfn.IFERROR(IF(永炼取值!D46=0,"",永炼取值!D46),"")</f>
        <v/>
      </c>
      <c r="E46" s="202">
        <f>_xlfn.IFERROR(永炼取值!E46,"")</f>
        <v>0</v>
      </c>
      <c r="F46" s="463" t="str">
        <f>_xlfn.IFERROR(E46/永炼取值!D46*100,"")</f>
        <v/>
      </c>
      <c r="G46" s="558">
        <v>2750</v>
      </c>
      <c r="H46" s="200">
        <f>_xlfn.IFERROR(永炼取值!H46,"")</f>
        <v>0</v>
      </c>
      <c r="I46" s="501" t="str">
        <f>_xlfn.IFERROR(H46/#REF!*100,"")</f>
        <v/>
      </c>
      <c r="J46" s="696">
        <v>0</v>
      </c>
      <c r="K46" s="696">
        <v>0</v>
      </c>
      <c r="L46" s="460">
        <f>_xlfn.IFERROR(H46-K46,"")</f>
        <v>0</v>
      </c>
      <c r="M46" s="434"/>
      <c r="N46" s="434"/>
    </row>
    <row customHeight="1" ht="14.25">
      <c r="A47" s="384"/>
      <c r="B47" s="461" t="s">
        <v>60</v>
      </c>
      <c r="C47" s="454" t="s">
        <v>19</v>
      </c>
      <c r="D47" s="558" t="str">
        <f>_xlfn.IFERROR(IF(永炼取值!D47=0,"",永炼取值!D47),"")</f>
        <v/>
      </c>
      <c r="E47" s="202">
        <f>_xlfn.IFERROR(永炼取值!E47,"")</f>
        <v>0</v>
      </c>
      <c r="F47" s="463" t="str">
        <f>_xlfn.IFERROR(E47/永炼取值!D47*100,"")</f>
        <v/>
      </c>
      <c r="G47" s="558" t="str">
        <f>_xlfn.IFERROR(IF(永炼取值!G47=0,"",永炼取值!G47),"")</f>
        <v/>
      </c>
      <c r="H47" s="200">
        <f>_xlfn.IFERROR(永炼取值!H47,"")</f>
        <v>0</v>
      </c>
      <c r="I47" s="501" t="str">
        <f>_xlfn.IFERROR(H47/永炼取值!G47*100,"")</f>
        <v/>
      </c>
      <c r="J47" s="696">
        <v>0</v>
      </c>
      <c r="K47" s="696">
        <v>0</v>
      </c>
      <c r="L47" s="460">
        <f>_xlfn.IFERROR(H47-K47,"")</f>
        <v>0</v>
      </c>
      <c r="M47" s="434"/>
      <c r="N47" s="434"/>
    </row>
    <row customHeight="1" ht="14.25">
      <c r="A48" s="384"/>
      <c r="B48" s="461" t="s">
        <v>61</v>
      </c>
      <c r="C48" s="454" t="s">
        <v>19</v>
      </c>
      <c r="D48" s="558" t="str">
        <f>_xlfn.IFERROR(IF(永炼取值!D48=0,"",永炼取值!D48),"")</f>
        <v/>
      </c>
      <c r="E48" s="202">
        <f>_xlfn.IFERROR(永炼取值!E48,"")</f>
        <v>0</v>
      </c>
      <c r="F48" s="463" t="str">
        <f>_xlfn.IFERROR(E48/永炼取值!D48*100,"")</f>
        <v/>
      </c>
      <c r="G48" s="558" t="str">
        <f>_xlfn.IFERROR(IF(永炼取值!G48=0,"",永炼取值!G48),"")</f>
        <v/>
      </c>
      <c r="H48" s="200">
        <f>_xlfn.IFERROR(永炼取值!H48,"")</f>
        <v>0</v>
      </c>
      <c r="I48" s="501" t="str">
        <f>_xlfn.IFERROR(H48/永炼取值!G48*100,"")</f>
        <v/>
      </c>
      <c r="J48" s="696">
        <v>0</v>
      </c>
      <c r="K48" s="696">
        <v>0</v>
      </c>
      <c r="L48" s="460">
        <f>_xlfn.IFERROR(H48-K48,"")</f>
        <v>0</v>
      </c>
      <c r="M48" s="434"/>
      <c r="N48" s="434"/>
    </row>
    <row customHeight="1" ht="14.25">
      <c r="A49" s="384"/>
      <c r="B49" s="461" t="s">
        <v>62</v>
      </c>
      <c r="C49" s="454" t="s">
        <v>19</v>
      </c>
      <c r="D49" s="558" t="str">
        <f>_xlfn.IFERROR(IF(永炼取值!D49=0,"",永炼取值!D49),"")</f>
        <v/>
      </c>
      <c r="E49" s="202">
        <f>_xlfn.IFERROR(永炼取值!E49,"")</f>
        <v>0</v>
      </c>
      <c r="F49" s="463" t="str">
        <f>_xlfn.IFERROR(E49/永炼取值!D49*100,"")</f>
        <v/>
      </c>
      <c r="G49" s="558" t="str">
        <f>_xlfn.IFERROR(IF(永炼取值!G49=0,"",永炼取值!G49),"")</f>
        <v/>
      </c>
      <c r="H49" s="200">
        <f>_xlfn.IFERROR(永炼取值!H49,"")</f>
        <v>0</v>
      </c>
      <c r="I49" s="501">
        <f>_xlfn.IFERROR(H49/永炼取值!G46*100,"")</f>
        <v>0</v>
      </c>
      <c r="J49" s="696">
        <v>0</v>
      </c>
      <c r="K49" s="696">
        <v>0</v>
      </c>
      <c r="L49" s="460">
        <f>_xlfn.IFERROR(H49-K49,"")</f>
        <v>0</v>
      </c>
      <c r="M49" s="434"/>
      <c r="N49" s="434"/>
    </row>
    <row customHeight="1" ht="14.25">
      <c r="A50" s="384"/>
      <c r="B50" s="461" t="s">
        <v>63</v>
      </c>
      <c r="C50" s="454" t="s">
        <v>19</v>
      </c>
      <c r="D50" s="558" t="str">
        <f>_xlfn.IFERROR(IF(永炼取值!D50=0,"",永炼取值!D50),"")</f>
        <v/>
      </c>
      <c r="E50" s="202">
        <f>_xlfn.IFERROR(永炼取值!E50,"")</f>
        <v>0</v>
      </c>
      <c r="F50" s="463" t="str">
        <f>_xlfn.IFERROR(E50/永炼取值!D50*100,"")</f>
        <v/>
      </c>
      <c r="G50" s="558" t="str">
        <f>_xlfn.IFERROR(IF(永炼取值!G50=0,"",永炼取值!G50),"")</f>
        <v/>
      </c>
      <c r="H50" s="200">
        <f>_xlfn.IFERROR(永炼取值!H50,"")</f>
        <v>0</v>
      </c>
      <c r="I50" s="501" t="str">
        <f>_xlfn.IFERROR(H50/永炼取值!G50*100,"")</f>
        <v/>
      </c>
      <c r="J50" s="696">
        <v>0</v>
      </c>
      <c r="K50" s="696">
        <v>0</v>
      </c>
      <c r="L50" s="460">
        <f>_xlfn.IFERROR(H50-K50,"")</f>
        <v>0</v>
      </c>
      <c r="M50" s="434"/>
      <c r="N50" s="434"/>
    </row>
    <row customHeight="1" ht="14.25">
      <c r="A51" s="384"/>
      <c r="B51" s="461" t="s">
        <v>64</v>
      </c>
      <c r="C51" s="454" t="s">
        <v>19</v>
      </c>
      <c r="D51" s="558">
        <v>30000</v>
      </c>
      <c r="E51" s="202">
        <f>_xlfn.IFERROR(永炼取值!E51,"")</f>
        <v>35524</v>
      </c>
      <c r="F51" s="463">
        <f>_xlfn.IFERROR(E51/永炼取值!D51*100,"")</f>
        <v>118.413333333333</v>
      </c>
      <c r="G51" s="558" t="str">
        <f>_xlfn.IFERROR(IF(永炼取值!G51=0,"",永炼取值!G51),"")</f>
        <v/>
      </c>
      <c r="H51" s="200">
        <f>_xlfn.IFERROR(永炼取值!H51,"")</f>
        <v>475773</v>
      </c>
      <c r="I51" s="501" t="str">
        <f>_xlfn.IFERROR(H51/永炼取值!G51*100,"")</f>
        <v/>
      </c>
      <c r="J51" s="696">
        <v>59234</v>
      </c>
      <c r="K51" s="696">
        <v>585397</v>
      </c>
      <c r="L51" s="460">
        <f>_xlfn.IFERROR(H51-K51,"")</f>
        <v>-109624</v>
      </c>
      <c r="M51" s="434"/>
      <c r="N51" s="434"/>
    </row>
    <row customHeight="1" ht="14.25">
      <c r="A52" s="384"/>
      <c r="B52" s="461" t="s">
        <v>65</v>
      </c>
      <c r="C52" s="454" t="s">
        <v>19</v>
      </c>
      <c r="D52" s="558">
        <v>2300</v>
      </c>
      <c r="E52" s="202">
        <f>_xlfn.IFERROR(永炼取值!E52,"")</f>
        <v>1282</v>
      </c>
      <c r="F52" s="463">
        <f>_xlfn.IFERROR(E52/永炼取值!D52*100,"")</f>
        <v>55.7391304347826</v>
      </c>
      <c r="G52" s="558">
        <v>15680</v>
      </c>
      <c r="H52" s="200">
        <f>_xlfn.IFERROR(永炼取值!H52,"")</f>
        <v>6464</v>
      </c>
      <c r="I52" s="501">
        <f>_xlfn.IFERROR(H52/永炼取值!G52*100,"")</f>
        <v>41.2244897959184</v>
      </c>
      <c r="J52" s="696">
        <v>2032</v>
      </c>
      <c r="K52" s="696">
        <v>13396</v>
      </c>
      <c r="L52" s="460">
        <f>_xlfn.IFERROR(H52-K52,"")</f>
        <v>-6932</v>
      </c>
      <c r="M52" s="434"/>
      <c r="N52" s="434"/>
    </row>
    <row customHeight="1" ht="14.25">
      <c r="A53" s="384"/>
      <c r="B53" s="461" t="s">
        <v>66</v>
      </c>
      <c r="C53" s="454" t="s">
        <v>19</v>
      </c>
      <c r="D53" s="558" t="str">
        <f>_xlfn.IFERROR(IF(永炼取值!D53=0,"",永炼取值!D53),"")</f>
        <v/>
      </c>
      <c r="E53" s="202">
        <f>_xlfn.IFERROR(永炼取值!E53,"")</f>
        <v>0</v>
      </c>
      <c r="F53" s="463" t="str">
        <f>_xlfn.IFERROR(E53/永炼取值!D53*100,"")</f>
        <v/>
      </c>
      <c r="G53" s="558" t="str">
        <f>_xlfn.IFERROR(IF(永炼取值!G53=0,"",永炼取值!G53),"")</f>
        <v/>
      </c>
      <c r="H53" s="200">
        <f>_xlfn.IFERROR(永炼取值!H53,"")</f>
        <v>0</v>
      </c>
      <c r="I53" s="501" t="str">
        <f>_xlfn.IFERROR(H53/永炼取值!G53*100,"")</f>
        <v/>
      </c>
      <c r="J53" s="696">
        <v>0</v>
      </c>
      <c r="K53" s="696">
        <v>0</v>
      </c>
      <c r="L53" s="460">
        <f>_xlfn.IFERROR(H53-K53,"")</f>
        <v>0</v>
      </c>
      <c r="M53" s="434"/>
      <c r="N53" s="434"/>
    </row>
    <row customHeight="1" ht="14.25">
      <c r="A54" s="384"/>
      <c r="B54" s="461" t="s">
        <v>67</v>
      </c>
      <c r="C54" s="454" t="s">
        <v>19</v>
      </c>
      <c r="D54" s="558" t="str">
        <f>_xlfn.IFERROR(IF(永炼取值!D54=0,"",永炼取值!D54),"")</f>
        <v/>
      </c>
      <c r="E54" s="202">
        <f>_xlfn.IFERROR(永炼取值!E54,"")</f>
        <v>0</v>
      </c>
      <c r="F54" s="463" t="str">
        <f>_xlfn.IFERROR(E54/永炼取值!D54*100,"")</f>
        <v/>
      </c>
      <c r="G54" s="558" t="str">
        <f>_xlfn.IFERROR(IF(永炼取值!G54=0,"",永炼取值!G54),"")</f>
        <v/>
      </c>
      <c r="H54" s="200">
        <f>_xlfn.IFERROR(永炼取值!H54,"")</f>
        <v>0</v>
      </c>
      <c r="I54" s="501" t="str">
        <f>_xlfn.IFERROR(H54/永炼取值!G54*100,"")</f>
        <v/>
      </c>
      <c r="J54" s="696">
        <v>0</v>
      </c>
      <c r="K54" s="696">
        <v>0</v>
      </c>
      <c r="L54" s="460">
        <f>_xlfn.IFERROR(H54-K54,"")</f>
        <v>0</v>
      </c>
      <c r="M54" s="434"/>
      <c r="N54" s="434"/>
    </row>
    <row customHeight="1" ht="14.25">
      <c r="A55" s="384"/>
      <c r="B55" s="461" t="s">
        <v>68</v>
      </c>
      <c r="C55" s="454" t="s">
        <v>19</v>
      </c>
      <c r="D55" s="558" t="str">
        <f>_xlfn.IFERROR(IF(永炼取值!D55=0,"",永炼取值!D55),"")</f>
        <v/>
      </c>
      <c r="E55" s="202">
        <f>_xlfn.IFERROR(永炼取值!E55,"")</f>
        <v>0</v>
      </c>
      <c r="F55" s="463" t="str">
        <f>_xlfn.IFERROR(E55/永炼取值!D55*100,"")</f>
        <v/>
      </c>
      <c r="G55" s="558" t="str">
        <f>_xlfn.IFERROR(IF(永炼取值!G55=0,"",永炼取值!G55),"")</f>
        <v/>
      </c>
      <c r="H55" s="200">
        <f>_xlfn.IFERROR(永炼取值!H55,"")</f>
        <v>0</v>
      </c>
      <c r="I55" s="501" t="str">
        <f>_xlfn.IFERROR(H55/永炼取值!G55*100,"")</f>
        <v/>
      </c>
      <c r="J55" s="696">
        <v>0</v>
      </c>
      <c r="K55" s="696">
        <v>0</v>
      </c>
      <c r="L55" s="460">
        <f>_xlfn.IFERROR(H55-K55,"")</f>
        <v>0</v>
      </c>
      <c r="M55" s="434"/>
      <c r="N55" s="434"/>
    </row>
    <row customHeight="1" ht="14.25">
      <c r="A56" s="384"/>
      <c r="B56" s="461" t="s">
        <v>69</v>
      </c>
      <c r="C56" s="454" t="s">
        <v>19</v>
      </c>
      <c r="D56" s="558" t="str">
        <f>_xlfn.IFERROR(IF(永炼取值!D56=0,"",永炼取值!D56),"")</f>
        <v/>
      </c>
      <c r="E56" s="202">
        <f>_xlfn.IFERROR(永炼取值!E56,"")</f>
        <v>0</v>
      </c>
      <c r="F56" s="463" t="str">
        <f>_xlfn.IFERROR(E56/永炼取值!D56*100,"")</f>
        <v/>
      </c>
      <c r="G56" s="558" t="str">
        <f>_xlfn.IFERROR(IF(永炼取值!G56=0,"",永炼取值!G56),"")</f>
        <v/>
      </c>
      <c r="H56" s="200">
        <f>_xlfn.IFERROR(永炼取值!H56,"")</f>
        <v>0</v>
      </c>
      <c r="I56" s="501" t="str">
        <f>_xlfn.IFERROR(H56/永炼取值!G56*100,"")</f>
        <v/>
      </c>
      <c r="J56" s="696">
        <v>0</v>
      </c>
      <c r="K56" s="696">
        <v>0</v>
      </c>
      <c r="L56" s="460">
        <f>_xlfn.IFERROR(H56-K56,"")</f>
        <v>0</v>
      </c>
      <c r="M56" s="434"/>
      <c r="N56" s="434"/>
    </row>
    <row customHeight="1" ht="14.25">
      <c r="A57" s="384"/>
      <c r="B57" s="461" t="s">
        <v>153</v>
      </c>
      <c r="C57" s="454" t="s">
        <v>19</v>
      </c>
      <c r="D57" s="558" t="str">
        <f>_xlfn.IFERROR(IF(永炼取值!D57=0,"",永炼取值!D57),"")</f>
        <v/>
      </c>
      <c r="E57" s="202">
        <f>_xlfn.IFERROR(永炼取值!E57,"")</f>
        <v>0</v>
      </c>
      <c r="F57" s="463" t="str">
        <f>_xlfn.IFERROR(E57/永炼取值!D57*100,"")</f>
        <v/>
      </c>
      <c r="G57" s="558" t="str">
        <f>_xlfn.IFERROR(IF(永炼取值!G57=0,"",永炼取值!G57),"")</f>
        <v/>
      </c>
      <c r="H57" s="200">
        <f>_xlfn.IFERROR(永炼取值!H57,"")</f>
        <v>0</v>
      </c>
      <c r="I57" s="501" t="str">
        <f>_xlfn.IFERROR(H57/永炼取值!G57*100,"")</f>
        <v/>
      </c>
      <c r="J57" s="696">
        <v>0</v>
      </c>
      <c r="K57" s="696">
        <v>0</v>
      </c>
      <c r="L57" s="460">
        <f>_xlfn.IFERROR(H57-K57,"")</f>
        <v>0</v>
      </c>
      <c r="M57" s="434"/>
      <c r="N57" s="434"/>
    </row>
    <row customHeight="1" ht="14.25">
      <c r="A58" s="384"/>
      <c r="B58" s="461" t="s">
        <v>71</v>
      </c>
      <c r="C58" s="454" t="s">
        <v>19</v>
      </c>
      <c r="D58" s="558" t="str">
        <f>_xlfn.IFERROR(IF(永炼取值!D58=0,"",永炼取值!D58),"")</f>
        <v/>
      </c>
      <c r="E58" s="202">
        <f>_xlfn.IFERROR(永炼取值!E58,"")</f>
        <v>0</v>
      </c>
      <c r="F58" s="463" t="str">
        <f>_xlfn.IFERROR(E58/永炼取值!D58*100,"")</f>
        <v/>
      </c>
      <c r="G58" s="558" t="str">
        <f>_xlfn.IFERROR(IF(永炼取值!G58=0,"",永炼取值!G58),"")</f>
        <v/>
      </c>
      <c r="H58" s="200">
        <f>_xlfn.IFERROR(永炼取值!H58,"")</f>
        <v>0</v>
      </c>
      <c r="I58" s="501" t="str">
        <f>_xlfn.IFERROR(H58/永炼取值!G58*100,"")</f>
        <v/>
      </c>
      <c r="J58" s="696">
        <v>0</v>
      </c>
      <c r="K58" s="696">
        <v>0</v>
      </c>
      <c r="L58" s="460">
        <f>_xlfn.IFERROR(H58-K58,"")</f>
        <v>0</v>
      </c>
      <c r="M58" s="434"/>
      <c r="N58" s="434"/>
    </row>
    <row customHeight="1" ht="14.25">
      <c r="A59" s="384"/>
      <c r="B59" s="461" t="s">
        <v>72</v>
      </c>
      <c r="C59" s="454" t="s">
        <v>19</v>
      </c>
      <c r="D59" s="558" t="str">
        <f>_xlfn.IFERROR(IF(永炼取值!D59=0,"",永炼取值!D59),"")</f>
        <v/>
      </c>
      <c r="E59" s="202">
        <f>_xlfn.IFERROR(永炼取值!E59,"")</f>
        <v>236.26</v>
      </c>
      <c r="F59" s="463" t="str">
        <f>_xlfn.IFERROR(E59/永炼取值!D59*100,"")</f>
        <v/>
      </c>
      <c r="G59" s="558" t="str">
        <f>_xlfn.IFERROR(IF(永炼取值!G59=0,"",永炼取值!G59),"")</f>
        <v/>
      </c>
      <c r="H59" s="200">
        <f>_xlfn.IFERROR(永炼取值!H59,"")</f>
        <v>3295.16</v>
      </c>
      <c r="I59" s="501" t="str">
        <f>_xlfn.IFERROR(H59/永炼取值!G59*100,"")</f>
        <v/>
      </c>
      <c r="J59" s="696">
        <v>275</v>
      </c>
      <c r="K59" s="696">
        <v>2150</v>
      </c>
      <c r="L59" s="460">
        <f>_xlfn.IFERROR(H59-K59,"")</f>
        <v>1145.16</v>
      </c>
      <c r="M59" s="434"/>
      <c r="N59" s="434"/>
    </row>
    <row customHeight="1" ht="14.25">
      <c r="A60" s="384"/>
      <c r="B60" s="478" t="s">
        <v>73</v>
      </c>
      <c r="C60" s="454" t="s">
        <v>19</v>
      </c>
      <c r="D60" s="558" t="str">
        <f>_xlfn.IFERROR(IF(永炼取值!D60=0,"",永炼取值!D60),"")</f>
        <v/>
      </c>
      <c r="E60" s="202">
        <f>_xlfn.IFERROR(永炼取值!E60,"")</f>
        <v>0</v>
      </c>
      <c r="F60" s="463" t="str">
        <f>_xlfn.IFERROR(E60/永炼取值!D60*100,"")</f>
        <v/>
      </c>
      <c r="G60" s="558" t="str">
        <f>_xlfn.IFERROR(IF(永炼取值!G60=0,"",永炼取值!G60),"")</f>
        <v/>
      </c>
      <c r="H60" s="200">
        <f>_xlfn.IFERROR(永炼取值!H60,"")</f>
        <v>0</v>
      </c>
      <c r="I60" s="501" t="str">
        <f>_xlfn.IFERROR(H60/永炼取值!G60*100,"")</f>
        <v/>
      </c>
      <c r="J60" s="696">
        <v>0</v>
      </c>
      <c r="K60" s="696">
        <v>0</v>
      </c>
      <c r="L60" s="460">
        <f>_xlfn.IFERROR(H60-K60,"")</f>
        <v>0</v>
      </c>
      <c r="M60" s="434"/>
      <c r="N60" s="434"/>
    </row>
    <row customHeight="1" ht="14.25">
      <c r="A61" s="384"/>
      <c r="B61" s="478" t="s">
        <v>74</v>
      </c>
      <c r="C61" s="479" t="s">
        <v>19</v>
      </c>
      <c r="D61" s="558" t="str">
        <f>_xlfn.IFERROR(IF(永炼取值!D61=0,"",永炼取值!D61),"")</f>
        <v/>
      </c>
      <c r="E61" s="202">
        <f>_xlfn.IFERROR(永炼取值!E61,"")</f>
        <v>0</v>
      </c>
      <c r="F61" s="463" t="str">
        <f>_xlfn.IFERROR(E61/永炼取值!D61*100,"")</f>
        <v/>
      </c>
      <c r="G61" s="558" t="str">
        <f>_xlfn.IFERROR(IF(永炼取值!G61=0,"",永炼取值!G61),"")</f>
        <v/>
      </c>
      <c r="H61" s="200">
        <f>_xlfn.IFERROR(永炼取值!H61,"")</f>
        <v>0</v>
      </c>
      <c r="I61" s="501" t="str">
        <f>_xlfn.IFERROR(H61/永炼取值!G61*100,"")</f>
        <v/>
      </c>
      <c r="J61" s="696">
        <v>0</v>
      </c>
      <c r="K61" s="696">
        <v>0</v>
      </c>
      <c r="L61" s="460">
        <f>_xlfn.IFERROR(H61-K61,"")</f>
        <v>0</v>
      </c>
      <c r="M61" s="434"/>
      <c r="N61" s="434"/>
    </row>
    <row customHeight="1" ht="14.25">
      <c r="A62" s="384"/>
      <c r="B62" s="461" t="s">
        <v>75</v>
      </c>
      <c r="C62" s="454" t="s">
        <v>19</v>
      </c>
      <c r="D62" s="558" t="str">
        <f>_xlfn.IFERROR(IF(永炼取值!D62=0,"",永炼取值!D62),"")</f>
        <v/>
      </c>
      <c r="E62" s="202">
        <f>_xlfn.IFERROR(永炼取值!E62,"")</f>
        <v>0</v>
      </c>
      <c r="F62" s="463" t="str">
        <f>_xlfn.IFERROR(E62/永炼取值!D62*100,"")</f>
        <v/>
      </c>
      <c r="G62" s="558" t="str">
        <f>_xlfn.IFERROR(IF(永炼取值!G62=0,"",永炼取值!G62),"")</f>
        <v/>
      </c>
      <c r="H62" s="200">
        <f>_xlfn.IFERROR(永炼取值!H62,"")</f>
        <v>0</v>
      </c>
      <c r="I62" s="501" t="str">
        <f>_xlfn.IFERROR(H62/永炼取值!G62*100,"")</f>
        <v/>
      </c>
      <c r="J62" s="696">
        <v>0</v>
      </c>
      <c r="K62" s="696">
        <v>0</v>
      </c>
      <c r="L62" s="460">
        <f>_xlfn.IFERROR(H62-K62,"")</f>
        <v>0</v>
      </c>
      <c r="M62" s="434"/>
      <c r="N62" s="434"/>
    </row>
    <row customHeight="1" ht="14.25">
      <c r="A63" s="384"/>
      <c r="B63" s="461" t="s">
        <v>76</v>
      </c>
      <c r="C63" s="454" t="s">
        <v>19</v>
      </c>
      <c r="D63" s="558" t="str">
        <f>_xlfn.IFERROR(IF(永炼取值!D63=0,"",永炼取值!D63),"")</f>
        <v/>
      </c>
      <c r="E63" s="202">
        <f>_xlfn.IFERROR(永炼取值!E63,"")</f>
        <v>0</v>
      </c>
      <c r="F63" s="463" t="str">
        <f>_xlfn.IFERROR(E63/永炼取值!D63*100,"")</f>
        <v/>
      </c>
      <c r="G63" s="558" t="str">
        <f>_xlfn.IFERROR(IF(永炼取值!G63=0,"",永炼取值!G63),"")</f>
        <v/>
      </c>
      <c r="H63" s="200">
        <f>_xlfn.IFERROR(永炼取值!H63,"")</f>
        <v>0</v>
      </c>
      <c r="I63" s="501" t="str">
        <f>_xlfn.IFERROR(H63/永炼取值!G63*100,"")</f>
        <v/>
      </c>
      <c r="J63" s="696">
        <v>0</v>
      </c>
      <c r="K63" s="696">
        <v>0</v>
      </c>
      <c r="L63" s="460">
        <f>_xlfn.IFERROR(H63-K63,"")</f>
        <v>0</v>
      </c>
      <c r="M63" s="434"/>
      <c r="N63" s="434"/>
    </row>
    <row customHeight="1" ht="14.25">
      <c r="A64" s="384"/>
      <c r="B64" s="461" t="s">
        <v>77</v>
      </c>
      <c r="C64" s="454" t="s">
        <v>19</v>
      </c>
      <c r="D64" s="558" t="str">
        <f>_xlfn.IFERROR(IF(永炼取值!D64=0,"",永炼取值!D64),"")</f>
        <v/>
      </c>
      <c r="E64" s="202">
        <f>_xlfn.IFERROR(永炼取值!E64,"")</f>
        <v>0</v>
      </c>
      <c r="F64" s="463" t="str">
        <f>_xlfn.IFERROR(E64/永炼取值!D64*100,"")</f>
        <v/>
      </c>
      <c r="G64" s="558" t="str">
        <f>_xlfn.IFERROR(IF(永炼取值!G64=0,"",永炼取值!G64),"")</f>
        <v/>
      </c>
      <c r="H64" s="200">
        <f>_xlfn.IFERROR(永炼取值!H64,"")</f>
        <v>0</v>
      </c>
      <c r="I64" s="501" t="str">
        <f>_xlfn.IFERROR(H64/永炼取值!G64*100,"")</f>
        <v/>
      </c>
      <c r="J64" s="696">
        <v>0</v>
      </c>
      <c r="K64" s="696">
        <v>0</v>
      </c>
      <c r="L64" s="460">
        <f>_xlfn.IFERROR(H64-K64,"")</f>
        <v>0</v>
      </c>
      <c r="M64" s="434"/>
      <c r="N64" s="434"/>
    </row>
    <row customHeight="1" ht="14.25">
      <c r="A65" s="384"/>
      <c r="B65" s="461" t="s">
        <v>78</v>
      </c>
      <c r="C65" s="454" t="s">
        <v>19</v>
      </c>
      <c r="D65" s="558" t="str">
        <f>_xlfn.IFERROR(IF(永炼取值!D65=0,"",永炼取值!D65),"")</f>
        <v/>
      </c>
      <c r="E65" s="202">
        <f>_xlfn.IFERROR(永炼取值!E65,"")</f>
        <v>0</v>
      </c>
      <c r="F65" s="463" t="str">
        <f>_xlfn.IFERROR(E65/永炼取值!D65*100,"")</f>
        <v/>
      </c>
      <c r="G65" s="558" t="str">
        <f>_xlfn.IFERROR(IF(永炼取值!G65=0,"",永炼取值!G65),"")</f>
        <v/>
      </c>
      <c r="H65" s="200">
        <f>_xlfn.IFERROR(永炼取值!H65,"")</f>
        <v>0</v>
      </c>
      <c r="I65" s="501" t="str">
        <f>_xlfn.IFERROR(H65/永炼取值!G65*100,"")</f>
        <v/>
      </c>
      <c r="J65" s="696">
        <v>0</v>
      </c>
      <c r="K65" s="696">
        <v>0</v>
      </c>
      <c r="L65" s="460">
        <f>_xlfn.IFERROR(H65-K65,"")</f>
        <v>0</v>
      </c>
      <c r="M65" s="434"/>
      <c r="N65" s="434"/>
    </row>
    <row customHeight="1" ht="14.25">
      <c r="A66" s="384"/>
      <c r="B66" s="461" t="s">
        <v>79</v>
      </c>
      <c r="C66" s="454" t="s">
        <v>19</v>
      </c>
      <c r="D66" s="558" t="str">
        <f>_xlfn.IFERROR(IF(永炼取值!D66=0,"",永炼取值!D66),"")</f>
        <v/>
      </c>
      <c r="E66" s="202">
        <f>_xlfn.IFERROR(永炼取值!E66,"")</f>
        <v>0</v>
      </c>
      <c r="F66" s="463" t="str">
        <f>_xlfn.IFERROR(E66/永炼取值!D66*100,"")</f>
        <v/>
      </c>
      <c r="G66" s="558" t="str">
        <f>_xlfn.IFERROR(IF(永炼取值!G66=0,"",永炼取值!G66),"")</f>
        <v/>
      </c>
      <c r="H66" s="200">
        <f>_xlfn.IFERROR(永炼取值!H66,"")</f>
        <v>0</v>
      </c>
      <c r="I66" s="501" t="str">
        <f>_xlfn.IFERROR(H66/永炼取值!G66*100,"")</f>
        <v/>
      </c>
      <c r="J66" s="696">
        <v>0</v>
      </c>
      <c r="K66" s="696">
        <v>0</v>
      </c>
      <c r="L66" s="460">
        <f>_xlfn.IFERROR(H66-K66,"")</f>
        <v>0</v>
      </c>
      <c r="M66" s="434"/>
      <c r="N66" s="434"/>
    </row>
    <row customHeight="1" ht="14.25">
      <c r="A67" s="384"/>
      <c r="B67" s="461" t="s">
        <v>80</v>
      </c>
      <c r="C67" s="454" t="s">
        <v>19</v>
      </c>
      <c r="D67" s="558" t="str">
        <f>_xlfn.IFERROR(IF(永炼取值!D67=0,"",永炼取值!D67),"")</f>
        <v/>
      </c>
      <c r="E67" s="562"/>
      <c r="F67" s="463" t="str">
        <f>_xlfn.IFERROR(E67/永炼取值!D67*100,"")</f>
        <v/>
      </c>
      <c r="G67" s="558" t="str">
        <f>_xlfn.IFERROR(IF(永炼取值!G67=0,"",永炼取值!G67),"")</f>
        <v/>
      </c>
      <c r="H67" s="701">
        <v>0</v>
      </c>
      <c r="I67" s="501" t="str">
        <f>_xlfn.IFERROR(H67/永炼取值!G67*100,"")</f>
        <v/>
      </c>
      <c r="J67" s="696">
        <v>-5335</v>
      </c>
      <c r="K67" s="696">
        <v>-16271</v>
      </c>
      <c r="L67" s="460">
        <f>_xlfn.IFERROR(H67-K67,"")</f>
        <v>16271</v>
      </c>
      <c r="M67" s="434"/>
      <c r="N67" s="434"/>
    </row>
    <row customHeight="1" ht="14.25">
      <c r="A68" s="384"/>
      <c r="B68" s="453" t="s">
        <v>81</v>
      </c>
      <c r="C68" s="454"/>
      <c r="D68" s="201"/>
      <c r="E68" s="202"/>
      <c r="F68" s="463"/>
      <c r="G68" s="201"/>
      <c r="H68" s="202"/>
      <c r="I68" s="501"/>
      <c r="J68" s="218"/>
      <c r="K68" s="218"/>
      <c r="L68" s="460"/>
      <c r="M68" s="434"/>
      <c r="N68" s="434"/>
    </row>
    <row customHeight="1" ht="14.25">
      <c r="A69" s="384"/>
      <c r="B69" s="461" t="s">
        <v>82</v>
      </c>
      <c r="C69" s="454" t="s">
        <v>19</v>
      </c>
      <c r="D69" s="558">
        <v>157000</v>
      </c>
      <c r="E69" s="202">
        <f>_xlfn.IFERROR(永炼取值!E69,"")</f>
        <v>174307</v>
      </c>
      <c r="F69" s="463">
        <f>_xlfn.IFERROR(E69/永炼取值!D69*100,"")</f>
        <v>111.023566878981</v>
      </c>
      <c r="G69" s="558">
        <v>2031239</v>
      </c>
      <c r="H69" s="200">
        <f>_xlfn.IFERROR(永炼取值!H69,"")</f>
        <v>2224942.94</v>
      </c>
      <c r="I69" s="501">
        <f>_xlfn.IFERROR(H69/永炼取值!G69*100,"")</f>
        <v>109.536245611669</v>
      </c>
      <c r="J69" s="696">
        <v>199311</v>
      </c>
      <c r="K69" s="696">
        <v>1775779.26</v>
      </c>
      <c r="L69" s="460">
        <f>_xlfn.IFERROR(H69-K69,"")</f>
        <v>449163.68</v>
      </c>
      <c r="M69" s="434"/>
      <c r="N69" s="434"/>
    </row>
    <row customHeight="1" ht="14.25">
      <c r="A70" s="384"/>
      <c r="B70" s="461" t="s">
        <v>83</v>
      </c>
      <c r="C70" s="454" t="s">
        <v>19</v>
      </c>
      <c r="D70" s="569">
        <v>224000</v>
      </c>
      <c r="E70" s="202">
        <f>_xlfn.IFERROR(永炼取值!E70,"")</f>
        <v>259963.26</v>
      </c>
      <c r="F70" s="463">
        <f>_xlfn.IFERROR(E70/永炼取值!D70*100,"")</f>
        <v>116.055026785714</v>
      </c>
      <c r="G70" s="569">
        <v>3511047</v>
      </c>
      <c r="H70" s="200">
        <f>_xlfn.IFERROR(永炼取值!H70,"")</f>
        <v>3444219.56</v>
      </c>
      <c r="I70" s="501">
        <f>_xlfn.IFERROR(H70/永炼取值!G70*100,"")</f>
        <v>98.0966520812738</v>
      </c>
      <c r="J70" s="696">
        <v>320677</v>
      </c>
      <c r="K70" s="696">
        <v>2924408</v>
      </c>
      <c r="L70" s="460">
        <f>_xlfn.IFERROR(H70-K70,"")</f>
        <v>519811.56</v>
      </c>
      <c r="M70" s="434"/>
      <c r="N70" s="434"/>
    </row>
    <row customHeight="1" ht="14.25">
      <c r="A71" s="384"/>
      <c r="B71" s="461" t="s">
        <v>84</v>
      </c>
      <c r="C71" s="454" t="s">
        <v>85</v>
      </c>
      <c r="D71" s="570">
        <v>94</v>
      </c>
      <c r="E71" s="225">
        <f>_xlfn.IFERROR(永炼取值!E71,"")</f>
        <v>94.5550333535476</v>
      </c>
      <c r="F71" s="463">
        <f>_xlfn.IFERROR(E71-永炼取值!D71,"")</f>
        <v>0.5550333535476</v>
      </c>
      <c r="G71" s="570">
        <v>94.89</v>
      </c>
      <c r="H71" s="226">
        <f>_xlfn.IFERROR(永炼取值!H71,"")</f>
        <v>94.8145508394979</v>
      </c>
      <c r="I71" s="501">
        <f>_xlfn.IFERROR(H71-永炼取值!G71,"")</f>
        <v>-0.075449160502103</v>
      </c>
      <c r="J71" s="702">
        <v>95.1233086368221</v>
      </c>
      <c r="K71" s="702">
        <v>95.1085279839433</v>
      </c>
      <c r="L71" s="486">
        <f>_xlfn.IFERROR(H71-K71,"")</f>
        <v>-0.293977144445407</v>
      </c>
      <c r="M71" s="434"/>
      <c r="N71" s="434"/>
    </row>
    <row customHeight="1" ht="14.25">
      <c r="A72" s="384"/>
      <c r="B72" s="461" t="s">
        <v>86</v>
      </c>
      <c r="C72" s="454" t="s">
        <v>85</v>
      </c>
      <c r="D72" s="570">
        <v>5</v>
      </c>
      <c r="E72" s="225">
        <f>_xlfn.IFERROR(永炼取值!E72,"")</f>
        <v>4.70967252880534</v>
      </c>
      <c r="F72" s="463">
        <f>_xlfn.IFERROR(E72-永炼取值!D72,"")</f>
        <v>-0.29032747119466</v>
      </c>
      <c r="G72" s="570">
        <v>3.91</v>
      </c>
      <c r="H72" s="226">
        <f>_xlfn.IFERROR(永炼取值!H72,"")</f>
        <v>4.45042883292998</v>
      </c>
      <c r="I72" s="501">
        <f>_xlfn.IFERROR(H72-永炼取值!G72,"")</f>
        <v>0.54042883292998</v>
      </c>
      <c r="J72" s="702">
        <v>4.14536157779401</v>
      </c>
      <c r="K72" s="702">
        <v>4.15975314078512</v>
      </c>
      <c r="L72" s="486">
        <f>_xlfn.IFERROR(H72-K72,"")</f>
        <v>0.29067569214486</v>
      </c>
      <c r="M72" s="434"/>
      <c r="N72" s="434"/>
    </row>
    <row customHeight="1" ht="14.25">
      <c r="A73" s="384"/>
      <c r="B73" s="461" t="s">
        <v>87</v>
      </c>
      <c r="C73" s="454" t="s">
        <v>85</v>
      </c>
      <c r="D73" s="570">
        <v>1</v>
      </c>
      <c r="E73" s="225">
        <f>_xlfn.IFERROR(永炼取值!E73,"")</f>
        <v>0.734915100060643</v>
      </c>
      <c r="F73" s="463">
        <f>_xlfn.IFERROR(E73-永炼取值!D73,"")</f>
        <v>-0.265084899939357</v>
      </c>
      <c r="G73" s="570">
        <v>1.2</v>
      </c>
      <c r="H73" s="226">
        <f>_xlfn.IFERROR(永炼取值!H73,"")</f>
        <v>0.73497370784514</v>
      </c>
      <c r="I73" s="501">
        <f>_xlfn.IFERROR(H73-永炼取值!G73,"")</f>
        <v>-0.46502629215486</v>
      </c>
      <c r="J73" s="702">
        <v>0.731039920229109</v>
      </c>
      <c r="K73" s="702">
        <v>0.73129979229603</v>
      </c>
      <c r="L73" s="486">
        <f>_xlfn.IFERROR(H73-K73,"")</f>
        <v>0.00367391554911001</v>
      </c>
      <c r="M73" s="434"/>
      <c r="N73" s="434"/>
    </row>
    <row customHeight="1" ht="14.25">
      <c r="A74" s="384"/>
      <c r="B74" s="461" t="s">
        <v>88</v>
      </c>
      <c r="C74" s="488" t="s">
        <v>89</v>
      </c>
      <c r="D74" s="570">
        <v>63</v>
      </c>
      <c r="E74" s="225">
        <f>_xlfn.IFERROR(永炼取值!E74,"")</f>
        <v>55.6523065827069</v>
      </c>
      <c r="F74" s="463">
        <f>_xlfn.IFERROR(E74-永炼取值!D74,"")</f>
        <v>-7.3476934172931</v>
      </c>
      <c r="G74" s="570">
        <v>55</v>
      </c>
      <c r="H74" s="226">
        <f>_xlfn.IFERROR(永炼取值!H74,"")</f>
        <v>47.4892369606685</v>
      </c>
      <c r="I74" s="501">
        <f>_xlfn.IFERROR(H74-永炼取值!G74,"")</f>
        <v>-7.5107630393315</v>
      </c>
      <c r="J74" s="702">
        <v>46.8539067371314</v>
      </c>
      <c r="K74" s="702">
        <v>53.0197702454483</v>
      </c>
      <c r="L74" s="486">
        <f>_xlfn.IFERROR(H74-K74,"")</f>
        <v>-5.5305332847798</v>
      </c>
      <c r="M74" s="434"/>
      <c r="N74" s="434"/>
    </row>
    <row customHeight="1" ht="14.25">
      <c r="A75" s="384"/>
      <c r="B75" s="461" t="s">
        <v>90</v>
      </c>
      <c r="C75" s="488" t="s">
        <v>91</v>
      </c>
      <c r="D75" s="570" t="str">
        <f>_xlfn.IFERROR(IF(永炼取值!D75=0,"",永炼取值!D75),"")</f>
        <v/>
      </c>
      <c r="E75" s="225">
        <f>_xlfn.IFERROR(永炼取值!E75,"")</f>
        <v>0</v>
      </c>
      <c r="F75" s="463">
        <f>_xlfn.IFERROR(E75-永炼取值!D75,"")</f>
        <v>0</v>
      </c>
      <c r="G75" s="570" t="str">
        <f>_xlfn.IFERROR(IF(永炼取值!G75=0,"",永炼取值!G75),"")</f>
        <v/>
      </c>
      <c r="H75" s="226">
        <f>_xlfn.IFERROR(永炼取值!H75,"")</f>
        <v>0</v>
      </c>
      <c r="I75" s="501">
        <f>_xlfn.IFERROR(H75-永炼取值!G75,"")</f>
        <v>0</v>
      </c>
      <c r="J75" s="702">
        <v>0</v>
      </c>
      <c r="K75" s="702">
        <v>0</v>
      </c>
      <c r="L75" s="486">
        <f>_xlfn.IFERROR(H75-K75,"")</f>
        <v>0</v>
      </c>
      <c r="M75" s="434"/>
      <c r="N75" s="434"/>
    </row>
    <row customHeight="1" ht="14.25">
      <c r="A76" s="384"/>
      <c r="B76" s="461" t="s">
        <v>92</v>
      </c>
      <c r="C76" s="454" t="s">
        <v>85</v>
      </c>
      <c r="D76" s="570">
        <v>100</v>
      </c>
      <c r="E76" s="225">
        <f>_xlfn.IFERROR(永炼取值!E76,"")</f>
        <v>100</v>
      </c>
      <c r="F76" s="463">
        <f>_xlfn.IFERROR(E76-永炼取值!D76,"")</f>
        <v>0</v>
      </c>
      <c r="G76" s="570">
        <v>100</v>
      </c>
      <c r="H76" s="226">
        <f>_xlfn.IFERROR(永炼取值!H76,"")</f>
        <v>100</v>
      </c>
      <c r="I76" s="501">
        <f>_xlfn.IFERROR(H76-永炼取值!G76,"")</f>
        <v>0</v>
      </c>
      <c r="J76" s="702">
        <v>100</v>
      </c>
      <c r="K76" s="702">
        <v>100</v>
      </c>
      <c r="L76" s="486">
        <f>_xlfn.IFERROR(H76-K76,"")</f>
        <v>0</v>
      </c>
      <c r="M76" s="434"/>
      <c r="N76" s="434"/>
    </row>
    <row customHeight="1" ht="14.25">
      <c r="A77" s="384"/>
      <c r="B77" s="453" t="s">
        <v>93</v>
      </c>
      <c r="C77" s="491"/>
      <c r="D77" s="224"/>
      <c r="E77" s="225"/>
      <c r="F77" s="463"/>
      <c r="G77" s="224"/>
      <c r="H77" s="226"/>
      <c r="I77" s="501"/>
      <c r="J77" s="243"/>
      <c r="K77" s="243"/>
      <c r="L77" s="486"/>
      <c r="M77" s="434"/>
      <c r="N77" s="434"/>
    </row>
    <row customHeight="1" ht="14.25">
      <c r="A78" s="384"/>
      <c r="B78" s="461" t="s">
        <v>94</v>
      </c>
      <c r="C78" s="454" t="s">
        <v>85</v>
      </c>
      <c r="D78" s="570">
        <v>47.79</v>
      </c>
      <c r="E78" s="225">
        <f>_xlfn.IFERROR(永炼取值!E78,"")</f>
        <v>49.6613736065593</v>
      </c>
      <c r="F78" s="463">
        <f>_xlfn.IFERROR(E78-永炼取值!D78,"")</f>
        <v>1.8713736065593</v>
      </c>
      <c r="G78" s="570">
        <v>47.79</v>
      </c>
      <c r="H78" s="226">
        <f>_xlfn.IFERROR(永炼取值!H78,"")</f>
        <v>48.604081623288</v>
      </c>
      <c r="I78" s="501">
        <f>_xlfn.IFERROR(H78-永炼取值!G78,"")</f>
        <v>0.814081623288004</v>
      </c>
      <c r="J78" s="702">
        <v>48.1306261312799</v>
      </c>
      <c r="K78" s="702">
        <v>48.1985240482518</v>
      </c>
      <c r="L78" s="486">
        <f>_xlfn.IFERROR(H78-K78,"")</f>
        <v>0.405557575036205</v>
      </c>
      <c r="M78" s="434"/>
      <c r="N78" s="434"/>
    </row>
    <row customHeight="1" ht="14.25">
      <c r="A79" s="384"/>
      <c r="B79" s="461" t="s">
        <v>95</v>
      </c>
      <c r="C79" s="454" t="s">
        <v>85</v>
      </c>
      <c r="D79" s="570">
        <v>86.76</v>
      </c>
      <c r="E79" s="225">
        <f>_xlfn.IFERROR(永炼取值!E79,"")</f>
        <v>87.1902140908609</v>
      </c>
      <c r="F79" s="463">
        <f>_xlfn.IFERROR(E79-永炼取值!D79,"")</f>
        <v>0.4302140908609</v>
      </c>
      <c r="G79" s="570">
        <v>86.56</v>
      </c>
      <c r="H79" s="226">
        <f>_xlfn.IFERROR(永炼取值!H79,"")</f>
        <v>87.1707540982549</v>
      </c>
      <c r="I79" s="501">
        <f>_xlfn.IFERROR(H79-永炼取值!G79,"")</f>
        <v>0.610754098254901</v>
      </c>
      <c r="J79" s="702">
        <v>86.9716628021086</v>
      </c>
      <c r="K79" s="702">
        <v>86.9600155259141</v>
      </c>
      <c r="L79" s="486">
        <f>_xlfn.IFERROR(H79-K79,"")</f>
        <v>0.210738572340802</v>
      </c>
      <c r="M79" s="434"/>
      <c r="N79" s="434"/>
    </row>
    <row customHeight="1" ht="14.25">
      <c r="A80" s="384"/>
      <c r="B80" s="461" t="s">
        <v>96</v>
      </c>
      <c r="C80" s="454" t="s">
        <v>85</v>
      </c>
      <c r="D80" s="570">
        <v>70.36</v>
      </c>
      <c r="E80" s="225">
        <f>_xlfn.IFERROR(永炼取值!E80,"")</f>
        <v>70.5555180690373</v>
      </c>
      <c r="F80" s="463">
        <f>_xlfn.IFERROR(E80-永炼取值!D80,"")</f>
        <v>0.195518069037306</v>
      </c>
      <c r="G80" s="570">
        <v>68.76</v>
      </c>
      <c r="H80" s="226">
        <f>_xlfn.IFERROR(永炼取值!H80,"")</f>
        <v>70.1904546015571</v>
      </c>
      <c r="I80" s="501">
        <f>_xlfn.IFERROR(H80-永炼取值!G80,"")</f>
        <v>1.43045460155709</v>
      </c>
      <c r="J80" s="702">
        <v>69.4899651755551</v>
      </c>
      <c r="K80" s="702">
        <v>68.7589234666848</v>
      </c>
      <c r="L80" s="486">
        <f>_xlfn.IFERROR(H80-K80,"")</f>
        <v>1.43153113487229</v>
      </c>
      <c r="M80" s="434"/>
      <c r="N80" s="434"/>
    </row>
    <row customHeight="1" ht="14.25">
      <c r="A81" s="384"/>
      <c r="B81" s="461" t="s">
        <v>97</v>
      </c>
      <c r="C81" s="454" t="s">
        <v>85</v>
      </c>
      <c r="D81" s="570">
        <v>16.4</v>
      </c>
      <c r="E81" s="225">
        <f>_xlfn.IFERROR(永炼取值!E81,"")</f>
        <v>16.6346960218236</v>
      </c>
      <c r="F81" s="463">
        <f>_xlfn.IFERROR(E81-永炼取值!D81,"")</f>
        <v>0.234696021823602</v>
      </c>
      <c r="G81" s="570">
        <v>17.8</v>
      </c>
      <c r="H81" s="226">
        <f>_xlfn.IFERROR(永炼取值!H81,"")</f>
        <v>16.9802994966978</v>
      </c>
      <c r="I81" s="501">
        <f>_xlfn.IFERROR(H81-永炼取值!G81,"")</f>
        <v>-0.819700503302201</v>
      </c>
      <c r="J81" s="702">
        <v>17.4816976265534</v>
      </c>
      <c r="K81" s="702">
        <v>18.2010920592293</v>
      </c>
      <c r="L81" s="486">
        <f>_xlfn.IFERROR(H81-K81,"")</f>
        <v>-1.2207925625315</v>
      </c>
      <c r="M81" s="434"/>
      <c r="N81" s="434"/>
    </row>
    <row customHeight="1" ht="14.25">
      <c r="A82" s="384"/>
      <c r="B82" s="461" t="s">
        <v>98</v>
      </c>
      <c r="C82" s="454" t="s">
        <v>85</v>
      </c>
      <c r="D82" s="570">
        <v>92.9</v>
      </c>
      <c r="E82" s="225">
        <f>_xlfn.IFERROR(永炼取值!E82,"")</f>
        <v>93.4095860566449</v>
      </c>
      <c r="F82" s="463">
        <f>_xlfn.IFERROR(E82-永炼取值!D82,"")</f>
        <v>0.509586056644892</v>
      </c>
      <c r="G82" s="570">
        <v>92.9</v>
      </c>
      <c r="H82" s="226">
        <f>_xlfn.IFERROR(永炼取值!H82,"")</f>
        <v>93.4038688845965</v>
      </c>
      <c r="I82" s="501">
        <f>_xlfn.IFERROR(H82-永炼取值!G82,"")</f>
        <v>0.5038688845965</v>
      </c>
      <c r="J82" s="702">
        <v>93.337723630776</v>
      </c>
      <c r="K82" s="702">
        <v>93.3325016781613</v>
      </c>
      <c r="L82" s="486">
        <f>_xlfn.IFERROR(H82-K82,"")</f>
        <v>0.0713672064352124</v>
      </c>
      <c r="M82" s="434"/>
      <c r="N82" s="434"/>
    </row>
    <row customHeight="1" ht="14.25">
      <c r="A83" s="384"/>
      <c r="B83" s="461" t="s">
        <v>99</v>
      </c>
      <c r="C83" s="454" t="s">
        <v>85</v>
      </c>
      <c r="D83" s="570" t="str">
        <f>_xlfn.IFERROR(IF(永炼取值!D83=0,"",永炼取值!D83),"")</f>
        <v/>
      </c>
      <c r="E83" s="225" t="str">
        <f>_xlfn.IFERROR(永炼取值!E83,"")</f>
        <v>.</v>
      </c>
      <c r="F83" s="463" t="str">
        <f>_xlfn.IFERROR(E83-永炼取值!D83,"")</f>
        <v/>
      </c>
      <c r="G83" s="570" t="str">
        <f>_xlfn.IFERROR(IF(永炼取值!G83=0,"",永炼取值!G83),"")</f>
        <v/>
      </c>
      <c r="H83" s="226" t="str">
        <f>_xlfn.IFERROR(永炼取值!H83,"")</f>
        <v>.</v>
      </c>
      <c r="I83" s="501" t="str">
        <f>_xlfn.IFERROR(H83-永炼取值!G83,"")</f>
        <v/>
      </c>
      <c r="J83" s="702" t="s">
        <v>154</v>
      </c>
      <c r="K83" s="702" t="s">
        <v>154</v>
      </c>
      <c r="L83" s="486" t="str">
        <f>_xlfn.IFERROR(H83-K83,"")</f>
        <v/>
      </c>
      <c r="M83" s="434"/>
      <c r="N83" s="434"/>
    </row>
    <row customHeight="1" ht="14.25">
      <c r="A84" s="384"/>
      <c r="B84" s="461" t="s">
        <v>100</v>
      </c>
      <c r="C84" s="454" t="s">
        <v>85</v>
      </c>
      <c r="D84" s="570" t="str">
        <f>_xlfn.IFERROR(IF(永炼取值!D84=0,"",永炼取值!D84),"")</f>
        <v/>
      </c>
      <c r="E84" s="225">
        <f>_xlfn.IFERROR(永炼取值!E84,"")</f>
        <v>0</v>
      </c>
      <c r="F84" s="463">
        <f>_xlfn.IFERROR(E84-永炼取值!D84,"")</f>
        <v>0</v>
      </c>
      <c r="G84" s="570" t="str">
        <f>_xlfn.IFERROR(IF(永炼取值!G84=0,"",永炼取值!G84),"")</f>
        <v/>
      </c>
      <c r="H84" s="226">
        <f>_xlfn.IFERROR(永炼取值!H84,"")</f>
        <v>0</v>
      </c>
      <c r="I84" s="501">
        <f>_xlfn.IFERROR(H84-永炼取值!G84,"")</f>
        <v>0</v>
      </c>
      <c r="J84" s="702">
        <v>0</v>
      </c>
      <c r="K84" s="702">
        <v>0</v>
      </c>
      <c r="L84" s="486">
        <f>_xlfn.IFERROR(H84-K84,"")</f>
        <v>0</v>
      </c>
      <c r="M84" s="434"/>
      <c r="N84" s="434"/>
    </row>
    <row customHeight="1" ht="14.25">
      <c r="A85" s="384"/>
      <c r="B85" s="461" t="s">
        <v>101</v>
      </c>
      <c r="C85" s="454" t="s">
        <v>85</v>
      </c>
      <c r="D85" s="570" t="str">
        <f>_xlfn.IFERROR(IF(永炼取值!D85=0,"",永炼取值!D85),"")</f>
        <v/>
      </c>
      <c r="E85" s="225">
        <f>_xlfn.IFERROR(永炼取值!E85,"")</f>
        <v>0</v>
      </c>
      <c r="F85" s="463">
        <f>_xlfn.IFERROR(E85-永炼取值!D85,"")</f>
        <v>0</v>
      </c>
      <c r="G85" s="570" t="str">
        <f>_xlfn.IFERROR(IF(永炼取值!G85=0,"",永炼取值!G85),"")</f>
        <v/>
      </c>
      <c r="H85" s="226">
        <f>_xlfn.IFERROR(永炼取值!H85,"")</f>
        <v>0</v>
      </c>
      <c r="I85" s="501">
        <f>_xlfn.IFERROR(H85-永炼取值!G85,"")</f>
        <v>0</v>
      </c>
      <c r="J85" s="702">
        <v>0</v>
      </c>
      <c r="K85" s="702">
        <v>0</v>
      </c>
      <c r="L85" s="486">
        <f>_xlfn.IFERROR(H85-K85,"")</f>
        <v>0</v>
      </c>
      <c r="M85" s="434"/>
      <c r="N85" s="434"/>
    </row>
    <row customHeight="1" ht="14.25">
      <c r="A86" s="384"/>
      <c r="B86" s="461" t="s">
        <v>102</v>
      </c>
      <c r="C86" s="454" t="s">
        <v>85</v>
      </c>
      <c r="D86" s="570" t="str">
        <f>_xlfn.IFERROR(IF(永炼取值!D86=0,"",永炼取值!D86),"")</f>
        <v/>
      </c>
      <c r="E86" s="225">
        <f>_xlfn.IFERROR(永炼取值!E86,"")</f>
        <v>0</v>
      </c>
      <c r="F86" s="463">
        <f>_xlfn.IFERROR(E86-永炼取值!D86,"")</f>
        <v>0</v>
      </c>
      <c r="G86" s="570" t="str">
        <f>_xlfn.IFERROR(IF(永炼取值!G86=0,"",永炼取值!G86),"")</f>
        <v/>
      </c>
      <c r="H86" s="226">
        <f>_xlfn.IFERROR(永炼取值!H86,"")</f>
        <v>0</v>
      </c>
      <c r="I86" s="501"/>
      <c r="J86" s="702">
        <v>0</v>
      </c>
      <c r="K86" s="702">
        <v>0</v>
      </c>
      <c r="L86" s="486">
        <f>_xlfn.IFERROR(H86-K86,"")</f>
        <v>0</v>
      </c>
      <c r="M86" s="434"/>
      <c r="N86" s="434"/>
    </row>
    <row customHeight="1" ht="14.25">
      <c r="A87" s="384"/>
      <c r="B87" s="461" t="s">
        <v>103</v>
      </c>
      <c r="C87" s="454" t="s">
        <v>85</v>
      </c>
      <c r="D87" s="570">
        <v>98.5</v>
      </c>
      <c r="E87" s="225">
        <f>_xlfn.IFERROR(永炼取值!E87,"")</f>
        <v>98.9360028320812</v>
      </c>
      <c r="F87" s="463">
        <f>_xlfn.IFERROR(E87-永炼取值!D87,"")</f>
        <v>0.436002832081201</v>
      </c>
      <c r="G87" s="570">
        <v>98.5</v>
      </c>
      <c r="H87" s="226">
        <f>_xlfn.IFERROR(永炼取值!H87,"")</f>
        <v>98.9050837967791</v>
      </c>
      <c r="I87" s="501">
        <f>_xlfn.IFERROR(H87-永炼取值!G87,"")</f>
        <v>0.405083796779095</v>
      </c>
      <c r="J87" s="702">
        <v>98.9083047455689</v>
      </c>
      <c r="K87" s="702">
        <v>98.8879167962983</v>
      </c>
      <c r="L87" s="486">
        <f>_xlfn.IFERROR(H87-K87,"")</f>
        <v>0.0171670004807964</v>
      </c>
      <c r="M87" s="434"/>
      <c r="N87" s="434"/>
    </row>
    <row customHeight="1" ht="14.25">
      <c r="A88" s="384"/>
      <c r="B88" s="461" t="s">
        <v>104</v>
      </c>
      <c r="C88" s="454" t="s">
        <v>85</v>
      </c>
      <c r="D88" s="575">
        <v>98.7</v>
      </c>
      <c r="E88" s="230">
        <f>_xlfn.IFERROR(永炼取值!E88,"")</f>
        <v>99.2227722772277</v>
      </c>
      <c r="F88" s="495">
        <f>_xlfn.IFERROR(E88-永炼取值!D88,"")</f>
        <v>0.522772277227702</v>
      </c>
      <c r="G88" s="575">
        <v>98.7</v>
      </c>
      <c r="H88" s="232">
        <f>_xlfn.IFERROR(永炼取值!H88,"")</f>
        <v>99.1163169250378</v>
      </c>
      <c r="I88" s="578">
        <f>_xlfn.IFERROR(H88-永炼取值!G88,"")</f>
        <v>0.41631692503779</v>
      </c>
      <c r="J88" s="704">
        <v>99.0361193114908</v>
      </c>
      <c r="K88" s="704">
        <v>99.006027751557</v>
      </c>
      <c r="L88" s="486">
        <f>_xlfn.IFERROR(H88-K88,"")</f>
        <v>0.110289173480794</v>
      </c>
      <c r="M88" s="434"/>
      <c r="N88" s="434"/>
    </row>
    <row customHeight="1" ht="14.25">
      <c r="A89" s="384"/>
      <c r="B89" s="499" t="s">
        <v>105</v>
      </c>
      <c r="C89" s="454" t="s">
        <v>85</v>
      </c>
      <c r="D89" s="500"/>
      <c r="E89" s="500"/>
      <c r="F89" s="500"/>
      <c r="G89" s="500"/>
      <c r="H89" s="500"/>
      <c r="I89" s="500"/>
      <c r="J89" s="500"/>
      <c r="K89" s="500"/>
      <c r="L89" s="583"/>
      <c r="M89" s="434"/>
      <c r="N89" s="434"/>
    </row>
    <row customHeight="1" ht="14.25">
      <c r="A90" s="384"/>
      <c r="B90" s="502" t="s">
        <v>106</v>
      </c>
      <c r="C90" s="580"/>
      <c r="D90" s="504"/>
      <c r="E90" s="504"/>
      <c r="F90" s="504"/>
      <c r="G90" s="504"/>
      <c r="H90" s="504"/>
      <c r="I90" s="504"/>
      <c r="J90" s="504"/>
      <c r="K90" s="504"/>
      <c r="L90" s="583"/>
      <c r="M90" s="434"/>
      <c r="N90" s="434"/>
    </row>
    <row customHeight="1" ht="14.25">
      <c r="A91" s="384"/>
      <c r="B91" s="507"/>
      <c r="C91" s="504"/>
      <c r="D91" s="504"/>
      <c r="E91" s="504"/>
      <c r="F91" s="504"/>
      <c r="G91" s="504"/>
      <c r="H91" s="504"/>
      <c r="I91" s="504"/>
      <c r="J91" s="504"/>
      <c r="K91" s="504"/>
      <c r="L91" s="506"/>
      <c r="M91" s="434"/>
      <c r="N91" s="434"/>
    </row>
    <row customHeight="1" ht="14.25">
      <c r="A92" s="384"/>
      <c r="B92" s="507"/>
      <c r="C92" s="504"/>
      <c r="D92" s="504"/>
      <c r="E92" s="504"/>
      <c r="F92" s="504"/>
      <c r="G92" s="504"/>
      <c r="H92" s="504"/>
      <c r="I92" s="504"/>
      <c r="J92" s="504"/>
      <c r="K92" s="504"/>
      <c r="L92" s="506"/>
      <c r="M92" s="434"/>
      <c r="N92" s="434"/>
    </row>
    <row customHeight="1" ht="15">
      <c r="A93" s="384"/>
      <c r="B93" s="508"/>
      <c r="C93" s="509"/>
      <c r="D93" s="509"/>
      <c r="E93" s="509"/>
      <c r="F93" s="509"/>
      <c r="G93" s="509"/>
      <c r="H93" s="509"/>
      <c r="I93" s="509"/>
      <c r="J93" s="509"/>
      <c r="K93" s="509"/>
      <c r="L93" s="511"/>
      <c r="M93" s="434"/>
      <c r="N93" s="434"/>
    </row>
    <row customHeight="1" ht="19.5">
      <c r="A94" s="384"/>
      <c r="B94" s="239" t="s">
        <v>107</v>
      </c>
      <c r="C94" s="514" t="s">
        <v>110</v>
      </c>
      <c r="D94" s="239" t="s">
        <v>109</v>
      </c>
      <c r="E94" s="239"/>
      <c r="F94" s="515" t="s">
        <v>110</v>
      </c>
      <c r="G94" s="239" t="s">
        <v>111</v>
      </c>
      <c r="H94" s="516" t="s">
        <v>112</v>
      </c>
      <c r="I94" s="250"/>
      <c r="J94" s="239" t="s">
        <v>113</v>
      </c>
      <c r="K94" s="514" t="s">
        <v>114</v>
      </c>
      <c r="L94" s="518"/>
      <c r="M94" s="434"/>
      <c r="N94" s="434"/>
    </row>
    <row customHeight="1" ht="14.25">
      <c r="A95" s="384"/>
      <c r="B95" s="384"/>
      <c r="C95" s="384"/>
      <c r="D95" s="384"/>
      <c r="E95" s="435"/>
      <c r="F95" s="520"/>
      <c r="G95" s="384"/>
      <c r="H95" s="384"/>
      <c r="I95" s="520"/>
      <c r="J95" s="384"/>
      <c r="K95" s="384"/>
      <c r="L95" s="384"/>
      <c r="M95" s="434"/>
      <c r="N95" s="434"/>
    </row>
    <row customHeight="1" ht="14.25" hidden="1">
      <c r="A96" s="384"/>
      <c r="B96" s="384"/>
      <c r="C96" s="435" t="s">
        <v>110</v>
      </c>
      <c r="D96" s="384"/>
      <c r="E96" s="435"/>
      <c r="F96" s="520" t="s">
        <v>110</v>
      </c>
      <c r="G96" s="384"/>
      <c r="H96" s="435" t="s">
        <v>112</v>
      </c>
      <c r="I96" s="520"/>
      <c r="J96" s="384"/>
      <c r="K96" s="435" t="s">
        <v>114</v>
      </c>
      <c r="L96" s="384"/>
      <c r="M96" s="434"/>
      <c r="N96" s="434"/>
    </row>
    <row customHeight="1" ht="14.25">
      <c r="A97" s="384"/>
      <c r="B97" s="384"/>
      <c r="C97" s="384"/>
      <c r="D97" s="384"/>
      <c r="E97" s="705"/>
      <c r="F97" s="384"/>
      <c r="G97" s="384"/>
      <c r="H97" s="384"/>
      <c r="I97" s="384"/>
      <c r="J97" s="384"/>
      <c r="K97" s="384"/>
      <c r="L97" s="384"/>
      <c r="M97" s="434"/>
      <c r="N97" s="434"/>
    </row>
    <row customHeight="1" ht="14.25">
      <c r="A98" s="384"/>
      <c r="B98" s="384"/>
      <c r="C98" s="384"/>
      <c r="D98" s="384"/>
      <c r="E98" s="705"/>
      <c r="F98" s="384"/>
      <c r="G98" s="384"/>
      <c r="H98" s="384"/>
      <c r="I98" s="384"/>
      <c r="J98" s="384"/>
      <c r="K98" s="384"/>
      <c r="L98" s="384"/>
      <c r="M98" s="434"/>
      <c r="N98" s="434"/>
    </row>
    <row customHeight="1" ht="14.25">
      <c r="A99" s="384"/>
      <c r="B99" s="384"/>
      <c r="C99" s="384"/>
      <c r="D99" s="384"/>
      <c r="E99" s="705"/>
      <c r="F99" s="384"/>
      <c r="G99" s="384"/>
      <c r="H99" s="384"/>
      <c r="I99" s="384"/>
      <c r="J99" s="384"/>
      <c r="K99" s="384"/>
      <c r="L99" s="384"/>
      <c r="M99" s="434"/>
      <c r="N99" s="434"/>
    </row>
    <row customHeight="1" ht="14.4525">
      <c r="A100" s="384"/>
      <c r="B100" s="384"/>
      <c r="C100" s="384"/>
      <c r="D100" s="384"/>
      <c r="E100" s="705"/>
      <c r="F100" s="384"/>
      <c r="G100" s="384"/>
      <c r="H100" s="384"/>
      <c r="I100" s="384"/>
      <c r="J100" s="384"/>
      <c r="K100" s="384"/>
      <c r="L100" s="384"/>
      <c r="M100" s="434"/>
      <c r="N100" s="434"/>
    </row>
    <row customHeight="1" ht="14.4525">
      <c r="A101" s="384"/>
      <c r="B101" s="384"/>
      <c r="C101" s="384"/>
      <c r="D101" s="384"/>
      <c r="E101" s="705"/>
      <c r="F101" s="384"/>
      <c r="G101" s="384"/>
      <c r="H101" s="384"/>
      <c r="I101" s="384"/>
      <c r="J101" s="384"/>
      <c r="K101" s="384"/>
      <c r="L101" s="384"/>
      <c r="M101" s="434"/>
      <c r="N101" s="434"/>
    </row>
    <row customHeight="1" ht="14.4525">
      <c r="A102" s="384"/>
      <c r="B102" s="384"/>
      <c r="C102" s="384"/>
      <c r="D102" s="384"/>
      <c r="E102" s="705"/>
      <c r="F102" s="384"/>
      <c r="G102" s="384"/>
      <c r="H102" s="384"/>
      <c r="I102" s="384"/>
      <c r="J102" s="384"/>
      <c r="K102" s="384"/>
      <c r="L102" s="384"/>
      <c r="M102" s="434"/>
      <c r="N102" s="434"/>
    </row>
    <row customHeight="1" ht="14.4525">
      <c r="A103" s="384"/>
      <c r="B103" s="384"/>
      <c r="C103" s="384"/>
      <c r="D103" s="384"/>
      <c r="E103" s="705"/>
      <c r="F103" s="384"/>
      <c r="G103" s="384"/>
      <c r="H103" s="384"/>
      <c r="I103" s="384"/>
      <c r="J103" s="384"/>
      <c r="K103" s="384"/>
      <c r="L103" s="384"/>
      <c r="M103" s="434"/>
      <c r="N103" s="434"/>
    </row>
    <row customHeight="1" ht="14.4525">
      <c r="A104" s="384"/>
      <c r="B104" s="384"/>
      <c r="C104" s="384"/>
      <c r="D104" s="384"/>
      <c r="E104" s="705"/>
      <c r="F104" s="384"/>
      <c r="G104" s="384"/>
      <c r="H104" s="384"/>
      <c r="I104" s="384"/>
      <c r="J104" s="384"/>
      <c r="K104" s="384"/>
      <c r="L104" s="384"/>
      <c r="M104" s="434"/>
      <c r="N104" s="434"/>
    </row>
    <row customHeight="1" ht="14.4525">
      <c r="A105" s="384"/>
      <c r="B105" s="384"/>
      <c r="C105" s="384"/>
      <c r="D105" s="384"/>
      <c r="E105" s="705"/>
      <c r="F105" s="384"/>
      <c r="G105" s="384"/>
      <c r="H105" s="384"/>
      <c r="I105" s="384"/>
      <c r="J105" s="384"/>
      <c r="K105" s="384"/>
      <c r="L105" s="384"/>
      <c r="M105" s="434"/>
      <c r="N105" s="434"/>
    </row>
    <row customHeight="1" ht="14.4525">
      <c r="A106" s="384"/>
      <c r="B106" s="384"/>
      <c r="C106" s="384"/>
      <c r="D106" s="384"/>
      <c r="E106" s="705"/>
      <c r="F106" s="384"/>
      <c r="G106" s="384"/>
      <c r="H106" s="384"/>
      <c r="I106" s="384"/>
      <c r="J106" s="384"/>
      <c r="K106" s="384"/>
      <c r="L106" s="384"/>
      <c r="M106" s="434"/>
      <c r="N106" s="434"/>
    </row>
    <row customHeight="1" ht="14.4525">
      <c r="A107" s="384"/>
      <c r="B107" s="384"/>
      <c r="C107" s="384"/>
      <c r="D107" s="384"/>
      <c r="E107" s="705"/>
      <c r="F107" s="384"/>
      <c r="G107" s="384"/>
      <c r="H107" s="384"/>
      <c r="I107" s="384"/>
      <c r="J107" s="384"/>
      <c r="K107" s="384"/>
      <c r="L107" s="384"/>
      <c r="M107" s="434"/>
      <c r="N107" s="434"/>
    </row>
    <row customHeight="1" ht="14.4525">
      <c r="A108" s="384"/>
      <c r="B108" s="384"/>
      <c r="C108" s="384"/>
      <c r="D108" s="384"/>
      <c r="E108" s="705"/>
      <c r="F108" s="384"/>
      <c r="G108" s="384"/>
      <c r="H108" s="384"/>
      <c r="I108" s="384"/>
      <c r="J108" s="384"/>
      <c r="K108" s="384"/>
      <c r="L108" s="384"/>
      <c r="M108" s="434"/>
      <c r="N108" s="434"/>
    </row>
    <row customHeight="1" ht="14.4525">
      <c r="A109" s="384"/>
      <c r="B109" s="384"/>
      <c r="C109" s="384"/>
      <c r="D109" s="384"/>
      <c r="E109" s="705"/>
      <c r="F109" s="384"/>
      <c r="G109" s="384"/>
      <c r="H109" s="384"/>
      <c r="I109" s="384"/>
      <c r="J109" s="384"/>
      <c r="K109" s="384"/>
      <c r="L109" s="384"/>
      <c r="M109" s="434"/>
      <c r="N109" s="434"/>
    </row>
    <row customHeight="1" ht="14.4525">
      <c r="A110" s="384"/>
      <c r="B110" s="384"/>
      <c r="C110" s="384"/>
      <c r="D110" s="384"/>
      <c r="E110" s="705"/>
      <c r="F110" s="384"/>
      <c r="G110" s="384"/>
      <c r="H110" s="384"/>
      <c r="I110" s="384"/>
      <c r="J110" s="384"/>
      <c r="K110" s="384"/>
      <c r="L110" s="384"/>
      <c r="M110" s="434"/>
      <c r="N110" s="434"/>
    </row>
    <row customHeight="1" ht="14.4525">
      <c r="A111" s="384"/>
      <c r="B111" s="384"/>
      <c r="C111" s="384"/>
      <c r="D111" s="384"/>
      <c r="E111" s="705"/>
      <c r="F111" s="384"/>
      <c r="G111" s="384"/>
      <c r="H111" s="384"/>
      <c r="I111" s="384"/>
      <c r="J111" s="384"/>
      <c r="K111" s="384"/>
      <c r="L111" s="384"/>
      <c r="M111" s="434"/>
      <c r="N111" s="434"/>
    </row>
    <row customHeight="1" ht="14.4525">
      <c r="A112" s="384"/>
      <c r="B112" s="384"/>
      <c r="C112" s="384"/>
      <c r="D112" s="384"/>
      <c r="E112" s="705"/>
      <c r="F112" s="384"/>
      <c r="G112" s="384"/>
      <c r="H112" s="384"/>
      <c r="I112" s="384"/>
      <c r="J112" s="384"/>
      <c r="K112" s="384"/>
      <c r="L112" s="384"/>
      <c r="M112" s="434"/>
      <c r="N112" s="434"/>
    </row>
    <row customHeight="1" ht="14.4525">
      <c r="A113" s="384"/>
      <c r="B113" s="384"/>
      <c r="C113" s="384"/>
      <c r="D113" s="384"/>
      <c r="E113" s="705"/>
      <c r="F113" s="384"/>
      <c r="G113" s="384"/>
      <c r="H113" s="384"/>
      <c r="I113" s="384"/>
      <c r="J113" s="384"/>
      <c r="K113" s="384"/>
      <c r="L113" s="384"/>
      <c r="M113" s="434"/>
      <c r="N113" s="434"/>
    </row>
    <row customHeight="1" ht="14.4525">
      <c r="A114" s="384"/>
      <c r="B114" s="384"/>
      <c r="C114" s="384"/>
      <c r="D114" s="384"/>
      <c r="E114" s="705"/>
      <c r="F114" s="384"/>
      <c r="G114" s="384"/>
      <c r="H114" s="384"/>
      <c r="I114" s="384"/>
      <c r="J114" s="384"/>
      <c r="K114" s="384"/>
      <c r="L114" s="384"/>
      <c r="M114" s="434"/>
      <c r="N114" s="434"/>
    </row>
    <row customHeight="1" ht="14.4525">
      <c r="A115" s="384"/>
      <c r="B115" s="384"/>
      <c r="C115" s="384"/>
      <c r="D115" s="384"/>
      <c r="E115" s="705"/>
      <c r="F115" s="384"/>
      <c r="G115" s="384"/>
      <c r="H115" s="384"/>
      <c r="I115" s="384"/>
      <c r="J115" s="384"/>
      <c r="K115" s="384"/>
      <c r="L115" s="384"/>
      <c r="M115" s="434"/>
      <c r="N115" s="434"/>
    </row>
    <row customHeight="1" ht="14.4525">
      <c r="A116" s="384"/>
      <c r="B116" s="384"/>
      <c r="C116" s="384"/>
      <c r="D116" s="384"/>
      <c r="E116" s="705"/>
      <c r="F116" s="384"/>
      <c r="G116" s="384"/>
      <c r="H116" s="384"/>
      <c r="I116" s="384"/>
      <c r="J116" s="384"/>
      <c r="K116" s="384"/>
      <c r="L116" s="384"/>
      <c r="M116" s="434"/>
      <c r="N116" s="434"/>
    </row>
    <row customHeight="1" ht="14.4525">
      <c r="A117" s="384"/>
      <c r="B117" s="384"/>
      <c r="C117" s="384"/>
      <c r="D117" s="384"/>
      <c r="E117" s="705"/>
      <c r="F117" s="384"/>
      <c r="G117" s="384"/>
      <c r="H117" s="384"/>
      <c r="I117" s="384"/>
      <c r="J117" s="384"/>
      <c r="K117" s="384"/>
      <c r="L117" s="384"/>
      <c r="M117" s="434"/>
      <c r="N117" s="434"/>
    </row>
    <row customHeight="1" ht="14.4525">
      <c r="A118" s="384"/>
      <c r="B118" s="384"/>
      <c r="C118" s="384"/>
      <c r="D118" s="384"/>
      <c r="E118" s="705"/>
      <c r="F118" s="384"/>
      <c r="G118" s="384"/>
      <c r="H118" s="384"/>
      <c r="I118" s="384"/>
      <c r="J118" s="384"/>
      <c r="K118" s="384"/>
      <c r="L118" s="384"/>
      <c r="M118" s="434"/>
      <c r="N118" s="434"/>
    </row>
    <row customHeight="1" ht="14.4525">
      <c r="A119" s="384"/>
      <c r="B119" s="384"/>
      <c r="C119" s="384"/>
      <c r="D119" s="384"/>
      <c r="E119" s="705"/>
      <c r="F119" s="384"/>
      <c r="G119" s="384"/>
      <c r="H119" s="384"/>
      <c r="I119" s="384"/>
      <c r="J119" s="384"/>
      <c r="K119" s="384"/>
      <c r="L119" s="384"/>
      <c r="M119" s="434"/>
      <c r="N119" s="434"/>
    </row>
    <row customHeight="1" ht="14.4525">
      <c r="A120" s="384"/>
      <c r="B120" s="384"/>
      <c r="C120" s="384"/>
      <c r="D120" s="384"/>
      <c r="E120" s="705"/>
      <c r="F120" s="384"/>
      <c r="G120" s="384"/>
      <c r="H120" s="384"/>
      <c r="I120" s="384"/>
      <c r="J120" s="384"/>
      <c r="K120" s="384"/>
      <c r="L120" s="384"/>
      <c r="M120" s="434"/>
      <c r="N120" s="434"/>
    </row>
    <row customHeight="1" ht="14.4525">
      <c r="A121" s="384"/>
      <c r="B121" s="384"/>
      <c r="C121" s="384"/>
      <c r="D121" s="384"/>
      <c r="E121" s="705"/>
      <c r="F121" s="384"/>
      <c r="G121" s="384"/>
      <c r="H121" s="384"/>
      <c r="I121" s="384"/>
      <c r="J121" s="384"/>
      <c r="K121" s="384"/>
      <c r="L121" s="384"/>
      <c r="M121" s="434"/>
      <c r="N121" s="434"/>
    </row>
    <row customHeight="1" ht="14.4525">
      <c r="A122" s="384"/>
      <c r="B122" s="384"/>
      <c r="C122" s="384"/>
      <c r="D122" s="384"/>
      <c r="E122" s="705"/>
      <c r="F122" s="384"/>
      <c r="G122" s="384"/>
      <c r="H122" s="384"/>
      <c r="I122" s="384"/>
      <c r="J122" s="384"/>
      <c r="K122" s="384"/>
      <c r="L122" s="384"/>
      <c r="M122" s="434"/>
      <c r="N122" s="434"/>
    </row>
    <row customHeight="1" ht="14.4525">
      <c r="A123" s="384"/>
      <c r="B123" s="384"/>
      <c r="C123" s="384"/>
      <c r="D123" s="384"/>
      <c r="E123" s="705"/>
      <c r="F123" s="384"/>
      <c r="G123" s="384"/>
      <c r="H123" s="384"/>
      <c r="I123" s="384"/>
      <c r="J123" s="384"/>
      <c r="K123" s="384"/>
      <c r="L123" s="384"/>
      <c r="M123" s="434"/>
      <c r="N123" s="434"/>
    </row>
    <row customHeight="1" ht="14.4525">
      <c r="A124" s="384"/>
      <c r="B124" s="384"/>
      <c r="C124" s="384"/>
      <c r="D124" s="384"/>
      <c r="E124" s="705"/>
      <c r="F124" s="384"/>
      <c r="G124" s="384"/>
      <c r="H124" s="384"/>
      <c r="I124" s="384"/>
      <c r="J124" s="384"/>
      <c r="K124" s="384"/>
      <c r="L124" s="384"/>
      <c r="M124" s="434"/>
      <c r="N124" s="434"/>
    </row>
    <row customHeight="1" ht="14.4525">
      <c r="A125" s="384"/>
      <c r="B125" s="384"/>
      <c r="C125" s="384"/>
      <c r="D125" s="384"/>
      <c r="E125" s="705"/>
      <c r="F125" s="384"/>
      <c r="G125" s="384"/>
      <c r="H125" s="384"/>
      <c r="I125" s="384"/>
      <c r="J125" s="384"/>
      <c r="K125" s="384"/>
      <c r="L125" s="384"/>
      <c r="M125" s="434"/>
      <c r="N125" s="434"/>
    </row>
    <row customHeight="1" ht="14.4525">
      <c r="A126" s="384"/>
      <c r="B126" s="384"/>
      <c r="C126" s="384"/>
      <c r="D126" s="384"/>
      <c r="E126" s="705"/>
      <c r="F126" s="384"/>
      <c r="G126" s="384"/>
      <c r="H126" s="384"/>
      <c r="I126" s="384"/>
      <c r="J126" s="384"/>
      <c r="K126" s="384"/>
      <c r="L126" s="384"/>
      <c r="M126" s="434"/>
      <c r="N126" s="434"/>
    </row>
    <row customHeight="1" ht="14.4525">
      <c r="A127" s="384"/>
      <c r="B127" s="384"/>
      <c r="C127" s="384"/>
      <c r="D127" s="384"/>
      <c r="E127" s="705"/>
      <c r="F127" s="384"/>
      <c r="G127" s="384"/>
      <c r="H127" s="384"/>
      <c r="I127" s="384"/>
      <c r="J127" s="384"/>
      <c r="K127" s="384"/>
      <c r="L127" s="384"/>
      <c r="M127" s="434"/>
      <c r="N127" s="434"/>
    </row>
    <row customHeight="1" ht="14.4525">
      <c r="A128" s="384"/>
      <c r="B128" s="384"/>
      <c r="C128" s="384"/>
      <c r="D128" s="384"/>
      <c r="E128" s="705"/>
      <c r="F128" s="384"/>
      <c r="G128" s="384"/>
      <c r="H128" s="384"/>
      <c r="I128" s="384"/>
      <c r="J128" s="384"/>
      <c r="K128" s="384"/>
      <c r="L128" s="384"/>
      <c r="M128" s="434"/>
      <c r="N128" s="434"/>
    </row>
    <row customHeight="1" ht="14.4525">
      <c r="A129" s="384"/>
      <c r="B129" s="384"/>
      <c r="C129" s="384"/>
      <c r="D129" s="384"/>
      <c r="E129" s="705"/>
      <c r="F129" s="384"/>
      <c r="G129" s="384"/>
      <c r="H129" s="384"/>
      <c r="I129" s="384"/>
      <c r="J129" s="384"/>
      <c r="K129" s="384"/>
      <c r="L129" s="384"/>
      <c r="M129" s="434"/>
      <c r="N129" s="434"/>
    </row>
    <row customHeight="1" ht="14.4525">
      <c r="A130" s="384"/>
      <c r="B130" s="384"/>
      <c r="C130" s="384"/>
      <c r="D130" s="384"/>
      <c r="E130" s="705"/>
      <c r="F130" s="384"/>
      <c r="G130" s="384"/>
      <c r="H130" s="384"/>
      <c r="I130" s="384"/>
      <c r="J130" s="384"/>
      <c r="K130" s="384"/>
      <c r="L130" s="384"/>
      <c r="M130" s="434"/>
      <c r="N130" s="434"/>
    </row>
    <row customHeight="1" ht="14.4525">
      <c r="A131" s="384"/>
      <c r="B131" s="384"/>
      <c r="C131" s="384"/>
      <c r="D131" s="384"/>
      <c r="E131" s="705"/>
      <c r="F131" s="384"/>
      <c r="G131" s="384"/>
      <c r="H131" s="384"/>
      <c r="I131" s="384"/>
      <c r="J131" s="384"/>
      <c r="K131" s="384"/>
      <c r="L131" s="384"/>
      <c r="M131" s="434"/>
      <c r="N131" s="434"/>
    </row>
    <row customHeight="1" ht="14.4525">
      <c r="A132" s="384"/>
      <c r="B132" s="384"/>
      <c r="C132" s="384"/>
      <c r="D132" s="384"/>
      <c r="E132" s="705"/>
      <c r="F132" s="384"/>
      <c r="G132" s="384"/>
      <c r="H132" s="384"/>
      <c r="I132" s="384"/>
      <c r="J132" s="384"/>
      <c r="K132" s="384"/>
      <c r="L132" s="384"/>
      <c r="M132" s="434"/>
      <c r="N132" s="434"/>
    </row>
    <row customHeight="1" ht="14.4525">
      <c r="A133" s="384"/>
      <c r="B133" s="384"/>
      <c r="C133" s="384"/>
      <c r="D133" s="384"/>
      <c r="E133" s="705"/>
      <c r="F133" s="384"/>
      <c r="G133" s="384"/>
      <c r="H133" s="384"/>
      <c r="I133" s="384"/>
      <c r="J133" s="384"/>
      <c r="K133" s="384"/>
      <c r="L133" s="384"/>
      <c r="M133" s="434"/>
      <c r="N133" s="434"/>
    </row>
    <row customHeight="1" ht="14.4525">
      <c r="A134" s="384"/>
      <c r="B134" s="384"/>
      <c r="C134" s="384"/>
      <c r="D134" s="384"/>
      <c r="E134" s="705"/>
      <c r="F134" s="384"/>
      <c r="G134" s="384"/>
      <c r="H134" s="384"/>
      <c r="I134" s="384"/>
      <c r="J134" s="384"/>
      <c r="K134" s="384"/>
      <c r="L134" s="384"/>
      <c r="M134" s="434"/>
      <c r="N134" s="434"/>
    </row>
    <row customHeight="1" ht="14.4525">
      <c r="A135" s="384"/>
      <c r="B135" s="384"/>
      <c r="C135" s="384"/>
      <c r="D135" s="384"/>
      <c r="E135" s="705"/>
      <c r="F135" s="384"/>
      <c r="G135" s="384"/>
      <c r="H135" s="384"/>
      <c r="I135" s="384"/>
      <c r="J135" s="384"/>
      <c r="K135" s="384"/>
      <c r="L135" s="384"/>
      <c r="M135" s="434"/>
      <c r="N135" s="434"/>
    </row>
    <row customHeight="1" ht="14.4525">
      <c r="A136" s="384"/>
      <c r="B136" s="384"/>
      <c r="C136" s="384"/>
      <c r="D136" s="384"/>
      <c r="E136" s="705"/>
      <c r="F136" s="384"/>
      <c r="G136" s="384"/>
      <c r="H136" s="384"/>
      <c r="I136" s="384"/>
      <c r="J136" s="384"/>
      <c r="K136" s="384"/>
      <c r="L136" s="384"/>
      <c r="M136" s="434"/>
      <c r="N136" s="434"/>
    </row>
    <row customHeight="1" ht="14.4525">
      <c r="A137" s="384"/>
      <c r="B137" s="384"/>
      <c r="C137" s="384"/>
      <c r="D137" s="384"/>
      <c r="E137" s="705"/>
      <c r="F137" s="384"/>
      <c r="G137" s="384"/>
      <c r="H137" s="384"/>
      <c r="I137" s="384"/>
      <c r="J137" s="384"/>
      <c r="K137" s="384"/>
      <c r="L137" s="384"/>
      <c r="M137" s="434"/>
      <c r="N137" s="434"/>
    </row>
    <row customHeight="1" ht="14.4525">
      <c r="A138" s="384"/>
      <c r="B138" s="384"/>
      <c r="C138" s="384"/>
      <c r="D138" s="384"/>
      <c r="E138" s="705"/>
      <c r="F138" s="384"/>
      <c r="G138" s="384"/>
      <c r="H138" s="384"/>
      <c r="I138" s="384"/>
      <c r="J138" s="384"/>
      <c r="K138" s="384"/>
      <c r="L138" s="384"/>
      <c r="M138" s="434"/>
      <c r="N138" s="434"/>
    </row>
    <row customHeight="1" ht="14.4525">
      <c r="A139" s="384"/>
      <c r="B139" s="384"/>
      <c r="C139" s="384"/>
      <c r="D139" s="384"/>
      <c r="E139" s="705"/>
      <c r="F139" s="384"/>
      <c r="G139" s="384"/>
      <c r="H139" s="384"/>
      <c r="I139" s="384"/>
      <c r="J139" s="384"/>
      <c r="K139" s="384"/>
      <c r="L139" s="384"/>
      <c r="M139" s="434"/>
      <c r="N139" s="434"/>
    </row>
    <row customHeight="1" ht="14.4525">
      <c r="A140" s="384"/>
      <c r="B140" s="384"/>
      <c r="C140" s="384"/>
      <c r="D140" s="384"/>
      <c r="E140" s="705"/>
      <c r="F140" s="384"/>
      <c r="G140" s="384"/>
      <c r="H140" s="384"/>
      <c r="I140" s="384"/>
      <c r="J140" s="384"/>
      <c r="K140" s="384"/>
      <c r="L140" s="384"/>
      <c r="M140" s="434"/>
      <c r="N140" s="434"/>
    </row>
    <row customHeight="1" ht="14.4525">
      <c r="A141" s="384"/>
      <c r="B141" s="384"/>
      <c r="C141" s="384"/>
      <c r="D141" s="384"/>
      <c r="E141" s="705"/>
      <c r="F141" s="384"/>
      <c r="G141" s="384"/>
      <c r="H141" s="384"/>
      <c r="I141" s="384"/>
      <c r="J141" s="384"/>
      <c r="K141" s="384"/>
      <c r="L141" s="384"/>
      <c r="M141" s="434"/>
      <c r="N141" s="434"/>
    </row>
    <row customHeight="1" ht="14.4525">
      <c r="A142" s="384"/>
      <c r="B142" s="384"/>
      <c r="C142" s="384"/>
      <c r="D142" s="384"/>
      <c r="E142" s="705"/>
      <c r="F142" s="384"/>
      <c r="G142" s="384"/>
      <c r="H142" s="384"/>
      <c r="I142" s="384"/>
      <c r="J142" s="384"/>
      <c r="K142" s="384"/>
      <c r="L142" s="384"/>
      <c r="M142" s="434"/>
      <c r="N142" s="434"/>
    </row>
    <row customHeight="1" ht="14.4525">
      <c r="A143" s="384"/>
      <c r="B143" s="384"/>
      <c r="C143" s="384"/>
      <c r="D143" s="384"/>
      <c r="E143" s="705"/>
      <c r="F143" s="384"/>
      <c r="G143" s="384"/>
      <c r="H143" s="384"/>
      <c r="I143" s="384"/>
      <c r="J143" s="384"/>
      <c r="K143" s="384"/>
      <c r="L143" s="384"/>
      <c r="M143" s="434"/>
      <c r="N143" s="434"/>
    </row>
    <row customHeight="1" ht="14.4525">
      <c r="A144" s="384"/>
      <c r="B144" s="384"/>
      <c r="C144" s="384"/>
      <c r="D144" s="384"/>
      <c r="E144" s="705"/>
      <c r="F144" s="384"/>
      <c r="G144" s="384"/>
      <c r="H144" s="384"/>
      <c r="I144" s="384"/>
      <c r="J144" s="384"/>
      <c r="K144" s="384"/>
      <c r="L144" s="384"/>
      <c r="M144" s="434"/>
      <c r="N144" s="434"/>
    </row>
    <row customHeight="1" ht="14.4525">
      <c r="A145" s="384"/>
      <c r="B145" s="384"/>
      <c r="C145" s="384"/>
      <c r="D145" s="384"/>
      <c r="E145" s="705"/>
      <c r="F145" s="384"/>
      <c r="G145" s="384"/>
      <c r="H145" s="384"/>
      <c r="I145" s="384"/>
      <c r="J145" s="384"/>
      <c r="K145" s="384"/>
      <c r="L145" s="384"/>
      <c r="M145" s="434"/>
      <c r="N145" s="434"/>
    </row>
    <row customHeight="1" ht="14.4525">
      <c r="A146" s="384"/>
      <c r="B146" s="384"/>
      <c r="C146" s="384"/>
      <c r="D146" s="384"/>
      <c r="E146" s="705"/>
      <c r="F146" s="384"/>
      <c r="G146" s="384"/>
      <c r="H146" s="384"/>
      <c r="I146" s="384"/>
      <c r="J146" s="384"/>
      <c r="K146" s="384"/>
      <c r="L146" s="384"/>
      <c r="M146" s="434"/>
      <c r="N146" s="434"/>
    </row>
    <row customHeight="1" ht="14.4525">
      <c r="A147" s="384"/>
      <c r="B147" s="384"/>
      <c r="C147" s="384"/>
      <c r="D147" s="384"/>
      <c r="E147" s="705"/>
      <c r="F147" s="384"/>
      <c r="G147" s="384"/>
      <c r="H147" s="384"/>
      <c r="I147" s="384"/>
      <c r="J147" s="384"/>
      <c r="K147" s="384"/>
      <c r="L147" s="384"/>
      <c r="M147" s="434"/>
      <c r="N147" s="434"/>
    </row>
  </sheetData>
  <mergeCells count="12">
    <mergeCell ref="B1:L1"/>
    <mergeCell ref="C2:I2"/>
    <mergeCell ref="J2:L2"/>
    <mergeCell ref="D3:F3"/>
    <mergeCell ref="G3:I3"/>
    <mergeCell ref="J3:K3"/>
    <mergeCell ref="D94:E94"/>
    <mergeCell ref="B3:B4"/>
    <mergeCell ref="B90:B93"/>
    <mergeCell ref="C3:C4"/>
    <mergeCell ref="L3:L4"/>
    <mergeCell ref="C90:L93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63A4468-7D55-A3C8-8058-162CF8EAF0B9}" mc:Ignorable="x14ac xr xr2 xr3">
  <dimension ref="A1:P210"/>
  <sheetViews>
    <sheetView topLeftCell="A1" showGridLines="0" workbookViewId="0">
      <pane ySplit="4" topLeftCell="A10" activePane="bottomLeft" state="frozen"/>
      <selection pane="bottomLeft" activeCell="H18" sqref="H18"/>
    </sheetView>
  </sheetViews>
  <sheetFormatPr defaultColWidth="9.00390625" customHeight="1" defaultRowHeight="14.4525"/>
  <cols>
    <col min="1" max="1" style="51" width="2.7109375" customWidth="1"/>
    <col min="2" max="2" style="51" width="29.28125" customWidth="1"/>
    <col min="3" max="3" style="51" width="8.28125" customWidth="1"/>
    <col min="4" max="4" style="51" width="10.7109375" customWidth="1"/>
    <col min="5" max="5" style="133" width="31.421875" customWidth="1"/>
    <col min="6" max="7" style="51" width="10.7109375" customWidth="1"/>
    <col min="8" max="8" style="133" width="11.140625" customWidth="1"/>
    <col min="9" max="9" style="51" width="10.7109375" customWidth="1"/>
    <col min="10" max="10" style="51" width="12.8515625" customWidth="1"/>
    <col min="11" max="11" style="133" width="10.7109375" customWidth="1"/>
    <col min="12" max="12" style="51" width="10.7109375" customWidth="1"/>
  </cols>
  <sheetData>
    <row customHeight="1" ht="25.5">
      <c r="A1" s="586"/>
      <c r="B1" s="587" t="s">
        <v>151</v>
      </c>
      <c r="C1" s="587"/>
      <c r="D1" s="587"/>
      <c r="E1" s="313"/>
      <c r="F1" s="587"/>
      <c r="G1" s="587"/>
      <c r="H1" s="313"/>
      <c r="I1" s="587"/>
      <c r="J1" s="587"/>
      <c r="K1" s="313"/>
      <c r="L1" s="587"/>
      <c r="M1" s="521"/>
      <c r="N1" s="521"/>
      <c r="O1" s="521"/>
      <c r="P1" s="521"/>
    </row>
    <row customHeight="1" ht="15">
      <c r="A2" s="586"/>
      <c r="B2" s="590" t="s">
        <v>1</v>
      </c>
      <c r="C2" s="591">
        <f>#REF!</f>
      </c>
      <c r="D2" s="591"/>
      <c r="E2" s="314"/>
      <c r="F2" s="591"/>
      <c r="G2" s="591"/>
      <c r="H2" s="314"/>
      <c r="I2" s="591"/>
      <c r="J2" s="591" t="s">
        <v>3</v>
      </c>
      <c r="K2" s="314"/>
      <c r="L2" s="591"/>
      <c r="M2" s="521"/>
      <c r="N2" s="521"/>
      <c r="O2" s="521"/>
      <c r="P2" s="521"/>
    </row>
    <row customHeight="1" ht="14.25">
      <c r="A3" s="586"/>
      <c r="B3" s="315" t="s">
        <v>4</v>
      </c>
      <c r="C3" s="58" t="s">
        <v>5</v>
      </c>
      <c r="D3" s="58" t="s">
        <v>6</v>
      </c>
      <c r="E3" s="58"/>
      <c r="F3" s="58"/>
      <c r="G3" s="58" t="s">
        <v>7</v>
      </c>
      <c r="H3" s="58"/>
      <c r="I3" s="58"/>
      <c r="J3" s="598" t="s">
        <v>8</v>
      </c>
      <c r="K3" s="322"/>
      <c r="L3" s="91" t="s">
        <v>9</v>
      </c>
      <c r="M3" s="521"/>
      <c r="N3" s="521"/>
      <c r="O3" s="521"/>
      <c r="P3" s="521"/>
    </row>
    <row customHeight="1" ht="14.25">
      <c r="A4" s="586"/>
      <c r="B4" s="59"/>
      <c r="C4" s="60"/>
      <c r="D4" s="60" t="s">
        <v>10</v>
      </c>
      <c r="E4" s="60" t="s">
        <v>11</v>
      </c>
      <c r="F4" s="60" t="s">
        <v>12</v>
      </c>
      <c r="G4" s="60" t="s">
        <v>13</v>
      </c>
      <c r="H4" s="60" t="s">
        <v>14</v>
      </c>
      <c r="I4" s="60" t="s">
        <v>12</v>
      </c>
      <c r="J4" s="604" t="s">
        <v>15</v>
      </c>
      <c r="K4" s="323" t="s">
        <v>16</v>
      </c>
      <c r="L4" s="605"/>
      <c r="M4" s="521"/>
      <c r="N4" s="521"/>
      <c r="O4" s="521"/>
      <c r="P4" s="521"/>
    </row>
    <row customHeight="1" ht="14.25">
      <c r="A5" s="586"/>
      <c r="B5" s="606" t="s">
        <v>17</v>
      </c>
      <c r="C5" s="607"/>
      <c r="D5" s="586"/>
      <c r="E5" s="272"/>
      <c r="F5" s="608"/>
      <c r="G5" s="586"/>
      <c r="H5" s="272"/>
      <c r="I5" s="608"/>
      <c r="J5" s="608"/>
      <c r="K5" s="272"/>
      <c r="L5" s="610"/>
      <c r="M5" s="521"/>
      <c r="N5" s="521"/>
      <c r="O5" s="521"/>
      <c r="P5" s="521"/>
    </row>
    <row customHeight="1" ht="14.25">
      <c r="A6" s="586"/>
      <c r="B6" s="611" t="s">
        <v>18</v>
      </c>
      <c r="C6" s="607" t="s">
        <v>19</v>
      </c>
      <c r="D6" s="451"/>
      <c r="E6" s="272"/>
      <c r="F6" s="608"/>
      <c r="G6" s="451"/>
      <c r="H6" s="272"/>
      <c r="I6" s="608"/>
      <c r="J6" s="608"/>
      <c r="K6" s="272"/>
      <c r="L6" s="610"/>
      <c r="M6" s="521"/>
      <c r="N6" s="521"/>
      <c r="O6" s="521"/>
      <c r="P6" s="521"/>
    </row>
    <row customHeight="1" ht="14.25">
      <c r="A7" s="586"/>
      <c r="B7" s="611" t="s">
        <v>20</v>
      </c>
      <c r="C7" s="607" t="s">
        <v>19</v>
      </c>
      <c r="D7" s="67">
        <v>240000</v>
      </c>
      <c r="E7" s="272">
        <f>E96</f>
        <v>252343</v>
      </c>
      <c r="F7" s="613">
        <f>E7/#REF!*100</f>
      </c>
      <c r="G7" s="67">
        <v>3700000</v>
      </c>
      <c r="H7" s="272">
        <f>H96</f>
        <v>3486701</v>
      </c>
      <c r="I7" s="613">
        <f>H7/#REF!*100</f>
      </c>
      <c r="J7" s="272">
        <f>J96</f>
        <v>330378</v>
      </c>
      <c r="K7" s="272">
        <f>K96</f>
        <v>2974894</v>
      </c>
      <c r="L7" s="610">
        <f>H7-K7</f>
        <v>511807</v>
      </c>
      <c r="M7" s="521"/>
      <c r="N7" s="521"/>
      <c r="O7" s="521"/>
      <c r="P7" s="521"/>
    </row>
    <row customHeight="1" ht="14.25">
      <c r="A8" s="586"/>
      <c r="B8" s="611" t="s">
        <v>21</v>
      </c>
      <c r="C8" s="607" t="s">
        <v>19</v>
      </c>
      <c r="D8" s="67"/>
      <c r="E8" s="272"/>
      <c r="F8" s="613"/>
      <c r="G8" s="67"/>
      <c r="H8" s="272"/>
      <c r="I8" s="608"/>
      <c r="J8" s="272"/>
      <c r="K8" s="272"/>
      <c r="L8" s="610"/>
      <c r="M8" s="521"/>
      <c r="N8" s="521"/>
      <c r="O8" s="521"/>
      <c r="P8" s="521"/>
    </row>
    <row customHeight="1" ht="14.25">
      <c r="A9" s="586"/>
      <c r="B9" s="611" t="s">
        <v>22</v>
      </c>
      <c r="C9" s="607" t="s">
        <v>19</v>
      </c>
      <c r="D9" s="67"/>
      <c r="E9" s="272">
        <f>E100</f>
        <v>359</v>
      </c>
      <c r="F9" s="613"/>
      <c r="G9" s="67">
        <v>20000</v>
      </c>
      <c r="H9" s="272">
        <f>H100</f>
        <v>22384</v>
      </c>
      <c r="I9" s="608"/>
      <c r="J9" s="272">
        <f>J100</f>
        <v>392</v>
      </c>
      <c r="K9" s="272">
        <f>K100</f>
        <v>3991</v>
      </c>
      <c r="L9" s="610">
        <f>H9-K9</f>
        <v>18393</v>
      </c>
      <c r="M9" s="521"/>
      <c r="N9" s="521"/>
      <c r="O9" s="521"/>
      <c r="P9" s="521"/>
    </row>
    <row customHeight="1" ht="14.25">
      <c r="A10" s="586"/>
      <c r="B10" s="611" t="s">
        <v>23</v>
      </c>
      <c r="C10" s="607" t="s">
        <v>19</v>
      </c>
      <c r="D10" s="67"/>
      <c r="E10" s="272"/>
      <c r="F10" s="613"/>
      <c r="G10" s="67"/>
      <c r="H10" s="272"/>
      <c r="I10" s="608"/>
      <c r="J10" s="272"/>
      <c r="K10" s="272"/>
      <c r="L10" s="610"/>
      <c r="M10" s="521"/>
      <c r="N10" s="521"/>
      <c r="O10" s="521"/>
      <c r="P10" s="521"/>
    </row>
    <row customHeight="1" ht="14.25">
      <c r="A11" s="586"/>
      <c r="B11" s="611" t="s">
        <v>24</v>
      </c>
      <c r="C11" s="607" t="s">
        <v>19</v>
      </c>
      <c r="D11" s="67"/>
      <c r="E11" s="272"/>
      <c r="F11" s="613"/>
      <c r="G11" s="67"/>
      <c r="H11" s="272"/>
      <c r="I11" s="608"/>
      <c r="J11" s="272"/>
      <c r="K11" s="272"/>
      <c r="L11" s="610"/>
      <c r="M11" s="521"/>
      <c r="N11" s="521"/>
      <c r="O11" s="521"/>
      <c r="P11" s="521"/>
    </row>
    <row customHeight="1" ht="14.25">
      <c r="A12" s="586"/>
      <c r="B12" s="611" t="s">
        <v>25</v>
      </c>
      <c r="C12" s="607" t="s">
        <v>19</v>
      </c>
      <c r="D12" s="67"/>
      <c r="E12" s="272">
        <f>E102</f>
        <v>0</v>
      </c>
      <c r="F12" s="613"/>
      <c r="G12" s="67"/>
      <c r="H12" s="272">
        <f>H102</f>
        <v>0</v>
      </c>
      <c r="I12" s="608"/>
      <c r="J12" s="272">
        <f>J102</f>
        <v>0</v>
      </c>
      <c r="K12" s="272">
        <f>K102</f>
        <v>0</v>
      </c>
      <c r="L12" s="610"/>
      <c r="M12" s="521"/>
      <c r="N12" s="521"/>
      <c r="O12" s="521"/>
      <c r="P12" s="521"/>
    </row>
    <row customHeight="1" ht="14.25">
      <c r="A13" s="586"/>
      <c r="B13" s="611" t="s">
        <v>26</v>
      </c>
      <c r="C13" s="607" t="s">
        <v>19</v>
      </c>
      <c r="D13" s="67"/>
      <c r="E13" s="272"/>
      <c r="F13" s="613"/>
      <c r="G13" s="67"/>
      <c r="H13" s="272"/>
      <c r="I13" s="608"/>
      <c r="J13" s="272"/>
      <c r="K13" s="272"/>
      <c r="L13" s="610"/>
      <c r="M13" s="521"/>
      <c r="N13" s="521"/>
      <c r="O13" s="521"/>
      <c r="P13" s="521"/>
    </row>
    <row customHeight="1" ht="14.25">
      <c r="A14" s="586"/>
      <c r="B14" s="611" t="s">
        <v>27</v>
      </c>
      <c r="C14" s="607" t="s">
        <v>19</v>
      </c>
      <c r="D14" s="67"/>
      <c r="E14" s="272">
        <f>E104</f>
        <v>0</v>
      </c>
      <c r="F14" s="613"/>
      <c r="G14" s="67"/>
      <c r="H14" s="272">
        <f>H104</f>
        <v>0</v>
      </c>
      <c r="I14" s="608"/>
      <c r="J14" s="272">
        <f>J104</f>
        <v>0</v>
      </c>
      <c r="K14" s="272">
        <f>K104</f>
        <v>0</v>
      </c>
      <c r="L14" s="610"/>
      <c r="M14" s="521"/>
      <c r="N14" s="521"/>
      <c r="O14" s="521"/>
      <c r="P14" s="521"/>
    </row>
    <row customHeight="1" ht="14.25">
      <c r="A15" s="586"/>
      <c r="B15" s="611" t="s">
        <v>28</v>
      </c>
      <c r="C15" s="607" t="s">
        <v>19</v>
      </c>
      <c r="D15" s="67"/>
      <c r="E15" s="272"/>
      <c r="F15" s="613"/>
      <c r="G15" s="67"/>
      <c r="H15" s="272"/>
      <c r="I15" s="608"/>
      <c r="J15" s="272"/>
      <c r="K15" s="272"/>
      <c r="L15" s="610"/>
      <c r="M15" s="521"/>
      <c r="N15" s="521"/>
      <c r="O15" s="521"/>
      <c r="P15" s="521"/>
    </row>
    <row customHeight="1" ht="14.25">
      <c r="A16" s="586"/>
      <c r="B16" s="611" t="s">
        <v>29</v>
      </c>
      <c r="C16" s="607" t="s">
        <v>19</v>
      </c>
      <c r="D16" s="316"/>
      <c r="E16" s="272">
        <f>E98</f>
        <v>252343</v>
      </c>
      <c r="F16" s="613"/>
      <c r="G16" s="316"/>
      <c r="H16" s="272">
        <f>SUM(H98:H99)</f>
        <v>3486701</v>
      </c>
      <c r="I16" s="613"/>
      <c r="J16" s="272">
        <f>SUM(J98:J99)</f>
        <v>330378</v>
      </c>
      <c r="K16" s="272">
        <f>SUM(K98:K99)</f>
        <v>2974894</v>
      </c>
      <c r="L16" s="610"/>
      <c r="M16" s="521"/>
      <c r="N16" s="521"/>
      <c r="O16" s="521"/>
      <c r="P16" s="521"/>
    </row>
    <row customHeight="1" ht="14.25">
      <c r="A17" s="586"/>
      <c r="B17" s="611" t="s">
        <v>130</v>
      </c>
      <c r="C17" s="607" t="s">
        <v>19</v>
      </c>
      <c r="D17" s="72">
        <v>240000</v>
      </c>
      <c r="E17" s="273">
        <f>E16</f>
        <v>252343</v>
      </c>
      <c r="F17" s="620">
        <f>E17/#REF!*100</f>
      </c>
      <c r="G17" s="72">
        <v>3700000</v>
      </c>
      <c r="H17" s="273">
        <f>H16</f>
        <v>3486701</v>
      </c>
      <c r="I17" s="620">
        <f>H17/#REF!*100</f>
      </c>
      <c r="J17" s="273">
        <f>J16</f>
        <v>330378</v>
      </c>
      <c r="K17" s="273">
        <f>K16</f>
        <v>2974894</v>
      </c>
      <c r="L17" s="622">
        <f>H17-K17</f>
        <v>511807</v>
      </c>
      <c r="M17" s="521"/>
      <c r="N17" s="521"/>
      <c r="O17" s="521"/>
      <c r="P17" s="521"/>
    </row>
    <row customHeight="1" ht="14.25">
      <c r="A18" s="586"/>
      <c r="B18" s="623" t="s">
        <v>131</v>
      </c>
      <c r="C18" s="624" t="s">
        <v>19</v>
      </c>
      <c r="D18" s="317"/>
      <c r="E18" s="78"/>
      <c r="F18" s="627"/>
      <c r="G18" s="317"/>
      <c r="H18" s="78">
        <f>H207</f>
        <v>0</v>
      </c>
      <c r="I18" s="627"/>
      <c r="J18" s="78">
        <f>J207</f>
        <v>0</v>
      </c>
      <c r="K18" s="78">
        <f>K207</f>
        <v>0</v>
      </c>
      <c r="L18" s="630"/>
      <c r="M18" s="521"/>
      <c r="N18" s="521"/>
      <c r="O18" s="521"/>
      <c r="P18" s="521"/>
    </row>
    <row customHeight="1" ht="14.25">
      <c r="A19" s="586"/>
      <c r="B19" s="611" t="s">
        <v>32</v>
      </c>
      <c r="C19" s="607" t="s">
        <v>19</v>
      </c>
      <c r="D19" s="316"/>
      <c r="E19" s="276">
        <f>E106</f>
        <v>103741</v>
      </c>
      <c r="F19" s="631"/>
      <c r="G19" s="316"/>
      <c r="H19" s="276">
        <f>SUM(H106:H107)</f>
        <v>1239613</v>
      </c>
      <c r="I19" s="631"/>
      <c r="J19" s="276">
        <f>SUM(J106:J107)</f>
        <v>115149</v>
      </c>
      <c r="K19" s="276">
        <f>SUM(K106:K107)</f>
        <v>953245</v>
      </c>
      <c r="L19" s="633">
        <f>H19-K19</f>
        <v>286368</v>
      </c>
      <c r="M19" s="521"/>
      <c r="N19" s="521"/>
      <c r="O19" s="521"/>
      <c r="P19" s="521"/>
    </row>
    <row customHeight="1" ht="14.25">
      <c r="A20" s="586"/>
      <c r="B20" s="611" t="s">
        <v>132</v>
      </c>
      <c r="C20" s="607" t="s">
        <v>19</v>
      </c>
      <c r="D20" s="67">
        <v>96000</v>
      </c>
      <c r="E20" s="272">
        <f>E109</f>
        <v>96093</v>
      </c>
      <c r="F20" s="613">
        <f>E20/#REF!*100</f>
      </c>
      <c r="G20" s="67">
        <v>1120000</v>
      </c>
      <c r="H20" s="272">
        <f>H109</f>
        <v>1140974</v>
      </c>
      <c r="I20" s="613">
        <f>H20/#REF!*100</f>
      </c>
      <c r="J20" s="272">
        <f>J109</f>
        <v>109008</v>
      </c>
      <c r="K20" s="272">
        <f>K109</f>
        <v>899933</v>
      </c>
      <c r="L20" s="610">
        <f>H20-K20</f>
        <v>241041</v>
      </c>
      <c r="M20" s="521"/>
      <c r="N20" s="521"/>
      <c r="O20" s="521"/>
      <c r="P20" s="521"/>
    </row>
    <row customHeight="1" ht="14.25">
      <c r="A21" s="586"/>
      <c r="B21" s="611" t="s">
        <v>34</v>
      </c>
      <c r="C21" s="607" t="s">
        <v>19</v>
      </c>
      <c r="D21" s="67">
        <v>16500</v>
      </c>
      <c r="E21" s="272">
        <f>E111</f>
        <v>18360</v>
      </c>
      <c r="F21" s="613">
        <f>E21/#REF!*100</f>
      </c>
      <c r="G21" s="67">
        <v>190000</v>
      </c>
      <c r="H21" s="272">
        <f>H111</f>
        <v>208122</v>
      </c>
      <c r="I21" s="613">
        <f>H21/#REF!*100</f>
      </c>
      <c r="J21" s="272">
        <f>J111</f>
        <v>18222</v>
      </c>
      <c r="K21" s="272">
        <f>K111</f>
        <v>168339</v>
      </c>
      <c r="L21" s="610">
        <f>H21-K21</f>
        <v>39783</v>
      </c>
      <c r="M21" s="521"/>
      <c r="N21" s="521"/>
      <c r="O21" s="521"/>
      <c r="P21" s="521"/>
    </row>
    <row customHeight="1" ht="14.25">
      <c r="A22" s="586"/>
      <c r="B22" s="611" t="s">
        <v>35</v>
      </c>
      <c r="C22" s="607" t="s">
        <v>19</v>
      </c>
      <c r="D22" s="67"/>
      <c r="E22" s="318"/>
      <c r="F22" s="613"/>
      <c r="G22" s="67"/>
      <c r="H22" s="318"/>
      <c r="I22" s="613"/>
      <c r="J22" s="318"/>
      <c r="K22" s="318"/>
      <c r="L22" s="610"/>
      <c r="M22" s="521"/>
      <c r="N22" s="521"/>
      <c r="O22" s="521"/>
      <c r="P22" s="521"/>
    </row>
    <row customHeight="1" ht="14.25">
      <c r="A23" s="586"/>
      <c r="B23" s="611" t="s">
        <v>36</v>
      </c>
      <c r="C23" s="607" t="s">
        <v>19</v>
      </c>
      <c r="D23" s="67"/>
      <c r="E23" s="272"/>
      <c r="F23" s="613"/>
      <c r="G23" s="67"/>
      <c r="H23" s="272"/>
      <c r="I23" s="613"/>
      <c r="J23" s="272"/>
      <c r="K23" s="272"/>
      <c r="L23" s="610"/>
      <c r="M23" s="521"/>
      <c r="N23" s="521"/>
      <c r="O23" s="521"/>
      <c r="P23" s="521"/>
    </row>
    <row customHeight="1" ht="14.25">
      <c r="A24" s="586"/>
      <c r="B24" s="713" t="s">
        <v>37</v>
      </c>
      <c r="C24" s="607" t="s">
        <v>19</v>
      </c>
      <c r="D24" s="67">
        <v>47000</v>
      </c>
      <c r="E24" s="272">
        <f>E113</f>
        <v>50846</v>
      </c>
      <c r="F24" s="613">
        <f>E24/#REF!*100</f>
      </c>
      <c r="G24" s="67">
        <v>550000</v>
      </c>
      <c r="H24" s="66">
        <f>_xlfn.IFERROR(H113,"")</f>
        <v>610823</v>
      </c>
      <c r="I24" s="613">
        <f>H24/#REF!*100</f>
      </c>
      <c r="J24" s="272">
        <f>J113</f>
        <v>55968</v>
      </c>
      <c r="K24" s="272">
        <f>K113</f>
        <v>478921</v>
      </c>
      <c r="L24" s="610">
        <f>H24-K24</f>
        <v>131902</v>
      </c>
      <c r="M24" s="521"/>
      <c r="N24" s="521"/>
      <c r="O24" s="521"/>
      <c r="P24" s="521"/>
    </row>
    <row customHeight="1" ht="14.25">
      <c r="A25" s="586"/>
      <c r="B25" s="611" t="s">
        <v>38</v>
      </c>
      <c r="C25" s="607" t="s">
        <v>19</v>
      </c>
      <c r="D25" s="67">
        <v>90000</v>
      </c>
      <c r="E25" s="272">
        <f>E115</f>
        <v>101000</v>
      </c>
      <c r="F25" s="613">
        <f>E25/#REF!*100</f>
      </c>
      <c r="G25" s="67">
        <v>1330000</v>
      </c>
      <c r="H25" s="272">
        <f>SUM(H115:H116)</f>
        <v>1302390</v>
      </c>
      <c r="I25" s="613">
        <f>H25/#REF!*100</f>
      </c>
      <c r="J25" s="272">
        <f>SUM(J115:J116)</f>
        <v>123978</v>
      </c>
      <c r="K25" s="272">
        <f>SUM(K115:K116)</f>
        <v>1079507</v>
      </c>
      <c r="L25" s="610">
        <f>H25-K25</f>
        <v>222883</v>
      </c>
      <c r="M25" s="521"/>
      <c r="N25" s="521"/>
      <c r="O25" s="521"/>
      <c r="P25" s="521"/>
    </row>
    <row customHeight="1" ht="14.25">
      <c r="A26" s="586"/>
      <c r="B26" s="611" t="s">
        <v>39</v>
      </c>
      <c r="C26" s="607" t="s">
        <v>19</v>
      </c>
      <c r="D26" s="67"/>
      <c r="E26" s="272"/>
      <c r="F26" s="613"/>
      <c r="G26" s="67"/>
      <c r="H26" s="272"/>
      <c r="I26" s="613"/>
      <c r="J26" s="272"/>
      <c r="K26" s="272"/>
      <c r="L26" s="610"/>
      <c r="M26" s="521"/>
      <c r="N26" s="521"/>
      <c r="O26" s="521"/>
      <c r="P26" s="521"/>
    </row>
    <row customHeight="1" ht="14.25">
      <c r="A27" s="586"/>
      <c r="B27" s="611" t="s">
        <v>40</v>
      </c>
      <c r="C27" s="607" t="s">
        <v>19</v>
      </c>
      <c r="D27" s="67"/>
      <c r="E27" s="272">
        <f>E117</f>
        <v>13271</v>
      </c>
      <c r="F27" s="613"/>
      <c r="G27" s="67">
        <v>105263</v>
      </c>
      <c r="H27" s="272">
        <f>H117</f>
        <v>166965</v>
      </c>
      <c r="I27" s="613">
        <f>H27/#REF!*100</f>
      </c>
      <c r="J27" s="272">
        <f>J117</f>
        <v>12597</v>
      </c>
      <c r="K27" s="272">
        <f>K117</f>
        <v>127693</v>
      </c>
      <c r="L27" s="610"/>
      <c r="M27" s="521"/>
      <c r="N27" s="521"/>
      <c r="O27" s="521"/>
      <c r="P27" s="521"/>
    </row>
    <row customHeight="1" ht="14.25">
      <c r="A28" s="586"/>
      <c r="B28" s="611" t="s">
        <v>41</v>
      </c>
      <c r="C28" s="607" t="s">
        <v>19</v>
      </c>
      <c r="D28" s="67"/>
      <c r="E28" s="272"/>
      <c r="F28" s="613"/>
      <c r="G28" s="67"/>
      <c r="H28" s="272"/>
      <c r="I28" s="613"/>
      <c r="J28" s="272"/>
      <c r="K28" s="272"/>
      <c r="L28" s="610"/>
      <c r="M28" s="521"/>
      <c r="N28" s="521"/>
      <c r="O28" s="521"/>
      <c r="P28" s="521"/>
    </row>
    <row customHeight="1" ht="14.25">
      <c r="A29" s="586"/>
      <c r="B29" s="611" t="s">
        <v>42</v>
      </c>
      <c r="C29" s="607" t="s">
        <v>19</v>
      </c>
      <c r="D29" s="67"/>
      <c r="E29" s="272"/>
      <c r="F29" s="613"/>
      <c r="G29" s="67"/>
      <c r="H29" s="272"/>
      <c r="I29" s="613"/>
      <c r="J29" s="272"/>
      <c r="K29" s="272"/>
      <c r="L29" s="610"/>
      <c r="M29" s="521"/>
      <c r="N29" s="521"/>
      <c r="O29" s="521"/>
      <c r="P29" s="521"/>
    </row>
    <row customHeight="1" ht="14.25">
      <c r="A30" s="586"/>
      <c r="B30" s="606" t="s">
        <v>43</v>
      </c>
      <c r="C30" s="607"/>
      <c r="D30" s="67"/>
      <c r="E30" s="272"/>
      <c r="F30" s="613"/>
      <c r="G30" s="67"/>
      <c r="H30" s="272"/>
      <c r="I30" s="613"/>
      <c r="J30" s="272"/>
      <c r="K30" s="272"/>
      <c r="L30" s="610"/>
      <c r="M30" s="521"/>
      <c r="N30" s="521"/>
      <c r="O30" s="521"/>
      <c r="P30" s="521"/>
    </row>
    <row customHeight="1" ht="14.25">
      <c r="A31" s="586"/>
      <c r="B31" s="634" t="s">
        <v>44</v>
      </c>
      <c r="C31" s="607" t="s">
        <v>19</v>
      </c>
      <c r="D31" s="67">
        <v>76000</v>
      </c>
      <c r="E31" s="277">
        <f>E32+E33+E34</f>
        <v>76027</v>
      </c>
      <c r="F31" s="613">
        <f>E31/#REF!*100</f>
      </c>
      <c r="G31" s="67">
        <v>660810</v>
      </c>
      <c r="H31" s="277">
        <f>H32+H33+H34</f>
        <v>889792</v>
      </c>
      <c r="I31" s="613">
        <f>H31/#REF!*100</f>
      </c>
      <c r="J31" s="277">
        <f>J32+J33+J34</f>
        <v>79776</v>
      </c>
      <c r="K31" s="277">
        <f>K32+K33+K34</f>
        <v>695518</v>
      </c>
      <c r="L31" s="610">
        <f>H31-K31</f>
        <v>194274</v>
      </c>
      <c r="M31" s="521"/>
      <c r="N31" s="521"/>
      <c r="O31" s="521"/>
      <c r="P31" s="521"/>
    </row>
    <row customHeight="1" ht="14.25">
      <c r="A32" s="586"/>
      <c r="B32" s="611" t="s">
        <v>45</v>
      </c>
      <c r="C32" s="607" t="s">
        <v>19</v>
      </c>
      <c r="D32" s="67"/>
      <c r="E32" s="272">
        <f>E119</f>
        <v>76027</v>
      </c>
      <c r="F32" s="613">
        <f>E32/#REF!*100</f>
      </c>
      <c r="G32" s="67">
        <v>660810</v>
      </c>
      <c r="H32" s="272">
        <f>H119</f>
        <v>889792</v>
      </c>
      <c r="I32" s="613">
        <f>H32/#REF!*100</f>
      </c>
      <c r="J32" s="272">
        <f>J119</f>
        <v>79776</v>
      </c>
      <c r="K32" s="272">
        <f>K119</f>
        <v>695518</v>
      </c>
      <c r="L32" s="610">
        <f>H32-K32</f>
        <v>194274</v>
      </c>
      <c r="M32" s="521"/>
      <c r="N32" s="521"/>
      <c r="O32" s="521"/>
      <c r="P32" s="521"/>
    </row>
    <row customHeight="1" ht="14.25">
      <c r="A33" s="586"/>
      <c r="B33" s="634" t="s">
        <v>46</v>
      </c>
      <c r="C33" s="607" t="s">
        <v>19</v>
      </c>
      <c r="D33" s="67"/>
      <c r="E33" s="272"/>
      <c r="F33" s="613"/>
      <c r="G33" s="67"/>
      <c r="H33" s="272"/>
      <c r="I33" s="613"/>
      <c r="J33" s="272"/>
      <c r="K33" s="272"/>
      <c r="L33" s="610"/>
      <c r="M33" s="521"/>
      <c r="N33" s="521"/>
      <c r="O33" s="521"/>
      <c r="P33" s="521"/>
    </row>
    <row customHeight="1" ht="14.25">
      <c r="A34" s="586"/>
      <c r="B34" s="634" t="s">
        <v>47</v>
      </c>
      <c r="C34" s="607" t="s">
        <v>19</v>
      </c>
      <c r="D34" s="67"/>
      <c r="E34" s="272"/>
      <c r="F34" s="613"/>
      <c r="G34" s="67"/>
      <c r="H34" s="272"/>
      <c r="I34" s="613"/>
      <c r="J34" s="272"/>
      <c r="K34" s="272"/>
      <c r="L34" s="610"/>
      <c r="M34" s="521"/>
      <c r="N34" s="521"/>
      <c r="O34" s="521"/>
      <c r="P34" s="521"/>
    </row>
    <row customHeight="1" ht="14.25">
      <c r="A35" s="586"/>
      <c r="B35" s="611" t="s">
        <v>48</v>
      </c>
      <c r="C35" s="607" t="s">
        <v>19</v>
      </c>
      <c r="D35" s="67">
        <v>81000</v>
      </c>
      <c r="E35" s="272">
        <f>E36+E37+E38+E39+E40</f>
        <v>94831</v>
      </c>
      <c r="F35" s="613">
        <f>E35/#REF!*100</f>
      </c>
      <c r="G35" s="67">
        <v>1270429</v>
      </c>
      <c r="H35" s="272">
        <f>H36+H37+H38+H39+H40</f>
        <v>1242223</v>
      </c>
      <c r="I35" s="613">
        <f>H35/#REF!*100</f>
      </c>
      <c r="J35" s="272">
        <f>J36+J37+J38+J39+J40</f>
        <v>112486</v>
      </c>
      <c r="K35" s="272">
        <f>K36+K37+K38+K39+K40</f>
        <v>999335</v>
      </c>
      <c r="L35" s="610">
        <f>H35-K35</f>
        <v>242888</v>
      </c>
      <c r="M35" s="521"/>
      <c r="N35" s="521"/>
      <c r="O35" s="521"/>
      <c r="P35" s="521"/>
    </row>
    <row customHeight="1" ht="14.25">
      <c r="A36" s="586"/>
      <c r="B36" s="639" t="s">
        <v>49</v>
      </c>
      <c r="C36" s="607" t="s">
        <v>19</v>
      </c>
      <c r="D36" s="67"/>
      <c r="E36" s="272"/>
      <c r="F36" s="613"/>
      <c r="G36" s="67"/>
      <c r="H36" s="272"/>
      <c r="I36" s="613"/>
      <c r="J36" s="272"/>
      <c r="K36" s="272"/>
      <c r="L36" s="610"/>
      <c r="M36" s="521"/>
      <c r="N36" s="521"/>
      <c r="O36" s="521"/>
      <c r="P36" s="521"/>
    </row>
    <row customHeight="1" ht="14.25">
      <c r="A37" s="586"/>
      <c r="B37" s="611" t="s">
        <v>50</v>
      </c>
      <c r="C37" s="607" t="s">
        <v>19</v>
      </c>
      <c r="D37" s="67"/>
      <c r="E37" s="272">
        <f>E121</f>
        <v>69912</v>
      </c>
      <c r="F37" s="613"/>
      <c r="G37" s="67"/>
      <c r="H37" s="272">
        <f>SUM(H121:H122)</f>
        <v>1179895</v>
      </c>
      <c r="I37" s="613">
        <f>H37/#REF!*100</f>
      </c>
      <c r="J37" s="272">
        <f>J121</f>
        <v>92630</v>
      </c>
      <c r="K37" s="272">
        <f>K121</f>
        <v>946077</v>
      </c>
      <c r="L37" s="610">
        <f>H37-K37</f>
        <v>233818</v>
      </c>
      <c r="M37" s="521"/>
      <c r="N37" s="521"/>
      <c r="O37" s="521"/>
      <c r="P37" s="521"/>
    </row>
    <row customHeight="1" ht="14.25">
      <c r="A38" s="586"/>
      <c r="B38" s="611" t="s">
        <v>51</v>
      </c>
      <c r="C38" s="607" t="s">
        <v>19</v>
      </c>
      <c r="D38" s="67"/>
      <c r="E38" s="272"/>
      <c r="F38" s="613"/>
      <c r="G38" s="67"/>
      <c r="H38" s="272"/>
      <c r="I38" s="613"/>
      <c r="J38" s="272"/>
      <c r="K38" s="272"/>
      <c r="L38" s="610"/>
      <c r="M38" s="521"/>
      <c r="N38" s="521"/>
      <c r="O38" s="521"/>
      <c r="P38" s="521"/>
    </row>
    <row customHeight="1" ht="14.25">
      <c r="A39" s="586"/>
      <c r="B39" s="611" t="s">
        <v>52</v>
      </c>
      <c r="C39" s="607" t="s">
        <v>19</v>
      </c>
      <c r="D39" s="67">
        <v>20000</v>
      </c>
      <c r="E39" s="272">
        <f>E124</f>
        <v>24919</v>
      </c>
      <c r="F39" s="613"/>
      <c r="G39" s="67"/>
      <c r="H39" s="272">
        <f>SUM(H124:H125)</f>
        <v>62328</v>
      </c>
      <c r="I39" s="613">
        <f>H39/#REF!*100</f>
      </c>
      <c r="J39" s="272">
        <f>SUM(J124:J125)</f>
        <v>19856</v>
      </c>
      <c r="K39" s="272">
        <f>SUM(K124:K125)</f>
        <v>53258</v>
      </c>
      <c r="L39" s="610">
        <f>H39-K39</f>
        <v>9070</v>
      </c>
      <c r="M39" s="521"/>
      <c r="N39" s="521"/>
      <c r="O39" s="521"/>
      <c r="P39" s="521"/>
    </row>
    <row customHeight="1" ht="14.25">
      <c r="A40" s="586"/>
      <c r="B40" s="611" t="s">
        <v>53</v>
      </c>
      <c r="C40" s="607" t="s">
        <v>19</v>
      </c>
      <c r="D40" s="67"/>
      <c r="E40" s="279"/>
      <c r="F40" s="641"/>
      <c r="G40" s="67"/>
      <c r="H40" s="279"/>
      <c r="I40" s="641"/>
      <c r="J40" s="279"/>
      <c r="K40" s="279"/>
      <c r="L40" s="643"/>
      <c r="M40" s="521"/>
      <c r="N40" s="521"/>
      <c r="O40" s="521"/>
      <c r="P40" s="521"/>
    </row>
    <row customHeight="1" ht="14.25">
      <c r="A41" s="586"/>
      <c r="B41" s="611" t="s">
        <v>54</v>
      </c>
      <c r="C41" s="607" t="s">
        <v>19</v>
      </c>
      <c r="D41" s="67"/>
      <c r="E41" s="280">
        <f>E127</f>
        <v>3449</v>
      </c>
      <c r="F41" s="613">
        <f>E41/#REF!*100</f>
      </c>
      <c r="G41" s="67">
        <v>100000</v>
      </c>
      <c r="H41" s="272">
        <f>H127</f>
        <v>92927.94</v>
      </c>
      <c r="I41" s="613">
        <f>H41/#REF!*100</f>
      </c>
      <c r="J41" s="272">
        <f>J127</f>
        <v>7049</v>
      </c>
      <c r="K41" s="280">
        <f>K127</f>
        <v>80926.26</v>
      </c>
      <c r="L41" s="610">
        <f>H41-K41</f>
        <v>12001.68</v>
      </c>
      <c r="M41" s="521"/>
      <c r="N41" s="521"/>
      <c r="O41" s="521"/>
      <c r="P41" s="521"/>
    </row>
    <row customHeight="1" ht="14.25">
      <c r="A42" s="586"/>
      <c r="B42" s="611" t="s">
        <v>55</v>
      </c>
      <c r="C42" s="607" t="s">
        <v>19</v>
      </c>
      <c r="D42" s="67">
        <f>_xlfn.IFERROR(D43+D44+D45,"")</f>
        <v>5500</v>
      </c>
      <c r="E42" s="272">
        <f>E43+E44+E45</f>
        <v>9136</v>
      </c>
      <c r="F42" s="613">
        <f>E42/#REF!*100</f>
      </c>
      <c r="G42" s="67"/>
      <c r="H42" s="272">
        <f>H43+H44+H45</f>
        <v>81679.14</v>
      </c>
      <c r="I42" s="613">
        <f>H42/#REF!*100</f>
      </c>
      <c r="J42" s="272">
        <f>J43+J44+J45</f>
        <v>6972</v>
      </c>
      <c r="K42" s="272">
        <f>K43+K44+K45</f>
        <v>65902</v>
      </c>
      <c r="L42" s="610">
        <f>H42-K42</f>
        <v>15777.14</v>
      </c>
      <c r="M42" s="521"/>
      <c r="N42" s="521"/>
      <c r="O42" s="324"/>
      <c r="P42" s="324"/>
    </row>
    <row customHeight="1" ht="14.25">
      <c r="A43" s="586"/>
      <c r="B43" s="611" t="s">
        <v>56</v>
      </c>
      <c r="C43" s="607" t="s">
        <v>19</v>
      </c>
      <c r="D43" s="67">
        <v>0</v>
      </c>
      <c r="E43" s="272">
        <f>E205</f>
        <v>2428</v>
      </c>
      <c r="F43" s="613"/>
      <c r="G43" s="319">
        <v>17918</v>
      </c>
      <c r="H43" s="272">
        <f>H205</f>
        <v>12811.74</v>
      </c>
      <c r="I43" s="613"/>
      <c r="J43" s="272">
        <f>J205</f>
        <v>0</v>
      </c>
      <c r="K43" s="272">
        <f>K205</f>
        <v>0</v>
      </c>
      <c r="L43" s="610">
        <f>H43-K43</f>
        <v>12811.74</v>
      </c>
      <c r="M43" s="521"/>
      <c r="N43" s="521"/>
      <c r="O43" s="324"/>
      <c r="P43" s="324"/>
    </row>
    <row customHeight="1" ht="14.25">
      <c r="A44" s="586"/>
      <c r="B44" s="611" t="s">
        <v>57</v>
      </c>
      <c r="C44" s="607" t="s">
        <v>19</v>
      </c>
      <c r="D44" s="67">
        <v>5500</v>
      </c>
      <c r="E44" s="272">
        <f>E129</f>
        <v>6708</v>
      </c>
      <c r="F44" s="613">
        <f>E44/#REF!*100</f>
      </c>
      <c r="G44" s="320">
        <v>70300</v>
      </c>
      <c r="H44" s="272">
        <f>H129</f>
        <v>68867.4</v>
      </c>
      <c r="I44" s="613">
        <f>H44/#REF!*100</f>
      </c>
      <c r="J44" s="272">
        <f>J129</f>
        <v>6972</v>
      </c>
      <c r="K44" s="272">
        <f>K129</f>
        <v>65902</v>
      </c>
      <c r="L44" s="610">
        <f>H44-K44</f>
        <v>2965.39999999999</v>
      </c>
      <c r="M44" s="521"/>
      <c r="N44" s="521"/>
      <c r="O44" s="324"/>
      <c r="P44" s="324"/>
    </row>
    <row customHeight="1" ht="14.25">
      <c r="A45" s="586"/>
      <c r="B45" s="611" t="s">
        <v>58</v>
      </c>
      <c r="C45" s="607" t="s">
        <v>19</v>
      </c>
      <c r="D45" s="67"/>
      <c r="E45" s="272"/>
      <c r="F45" s="613"/>
      <c r="G45" s="320"/>
      <c r="H45" s="272"/>
      <c r="I45" s="613"/>
      <c r="J45" s="272"/>
      <c r="K45" s="272"/>
      <c r="L45" s="610"/>
      <c r="M45" s="521"/>
      <c r="N45" s="521"/>
      <c r="O45" s="324"/>
      <c r="P45" s="324"/>
    </row>
    <row customHeight="1" ht="14.25">
      <c r="A46" s="586"/>
      <c r="B46" s="611" t="s">
        <v>59</v>
      </c>
      <c r="C46" s="607" t="s">
        <v>19</v>
      </c>
      <c r="D46" s="67">
        <f>_xlfn.IFERROR(D47+D48+D49+D50,"")</f>
        <v>0</v>
      </c>
      <c r="E46" s="272">
        <f>SUM(E47:E50)</f>
        <v>0</v>
      </c>
      <c r="F46" s="613"/>
      <c r="G46" s="67">
        <v>2750</v>
      </c>
      <c r="H46" s="272">
        <f>SUM(H47:H50)</f>
        <v>0</v>
      </c>
      <c r="I46" s="613">
        <f>H46/#REF!*100</f>
      </c>
      <c r="J46" s="272">
        <f>J47+J48+J49+J50</f>
        <v>0</v>
      </c>
      <c r="K46" s="272">
        <f>K47+K48+K49+K50</f>
        <v>0</v>
      </c>
      <c r="L46" s="610">
        <f>H46-K46</f>
        <v>0</v>
      </c>
      <c r="M46" s="521"/>
      <c r="N46" s="521"/>
      <c r="O46" s="324"/>
      <c r="P46" s="324"/>
    </row>
    <row customHeight="1" ht="14.25">
      <c r="A47" s="586"/>
      <c r="B47" s="611" t="s">
        <v>60</v>
      </c>
      <c r="C47" s="607" t="s">
        <v>19</v>
      </c>
      <c r="D47" s="67"/>
      <c r="E47" s="272">
        <f>E131</f>
        <v>0</v>
      </c>
      <c r="F47" s="613"/>
      <c r="G47" s="67"/>
      <c r="H47" s="272">
        <f>H131</f>
        <v>0</v>
      </c>
      <c r="I47" s="613"/>
      <c r="J47" s="272">
        <f>J131</f>
        <v>0</v>
      </c>
      <c r="K47" s="272">
        <f>K131</f>
        <v>0</v>
      </c>
      <c r="L47" s="610">
        <f>H47-K47</f>
        <v>0</v>
      </c>
      <c r="M47" s="521"/>
      <c r="N47" s="521"/>
      <c r="O47" s="324"/>
      <c r="P47" s="324"/>
    </row>
    <row customHeight="1" ht="14.25">
      <c r="A48" s="586"/>
      <c r="B48" s="611" t="s">
        <v>61</v>
      </c>
      <c r="C48" s="607" t="s">
        <v>19</v>
      </c>
      <c r="D48" s="67"/>
      <c r="E48" s="272"/>
      <c r="F48" s="613"/>
      <c r="G48" s="67"/>
      <c r="H48" s="272"/>
      <c r="I48" s="613"/>
      <c r="J48" s="272"/>
      <c r="K48" s="272"/>
      <c r="L48" s="610"/>
      <c r="M48" s="521"/>
      <c r="N48" s="521"/>
      <c r="O48" s="324"/>
      <c r="P48" s="324"/>
    </row>
    <row customHeight="1" ht="14.25">
      <c r="A49" s="586"/>
      <c r="B49" s="611" t="s">
        <v>62</v>
      </c>
      <c r="C49" s="607" t="s">
        <v>19</v>
      </c>
      <c r="D49" s="67"/>
      <c r="E49" s="272"/>
      <c r="F49" s="613"/>
      <c r="G49" s="321"/>
      <c r="H49" s="272"/>
      <c r="I49" s="613"/>
      <c r="J49" s="272"/>
      <c r="K49" s="272"/>
      <c r="L49" s="610"/>
      <c r="M49" s="521"/>
      <c r="N49" s="521"/>
      <c r="O49" s="324"/>
      <c r="P49" s="324"/>
    </row>
    <row customHeight="1" ht="14.25">
      <c r="A50" s="586"/>
      <c r="B50" s="611" t="s">
        <v>63</v>
      </c>
      <c r="C50" s="607" t="s">
        <v>19</v>
      </c>
      <c r="D50" s="67"/>
      <c r="E50" s="272"/>
      <c r="F50" s="613"/>
      <c r="G50" s="67"/>
      <c r="H50" s="272"/>
      <c r="I50" s="613"/>
      <c r="J50" s="272"/>
      <c r="K50" s="272"/>
      <c r="L50" s="610"/>
      <c r="M50" s="521"/>
      <c r="N50" s="521"/>
      <c r="O50" s="324"/>
      <c r="P50" s="324"/>
    </row>
    <row customHeight="1" ht="14.25">
      <c r="A51" s="586"/>
      <c r="B51" s="611" t="s">
        <v>64</v>
      </c>
      <c r="C51" s="607" t="s">
        <v>19</v>
      </c>
      <c r="D51" s="67">
        <v>30000</v>
      </c>
      <c r="E51" s="280">
        <f>E133</f>
        <v>35524</v>
      </c>
      <c r="F51" s="613"/>
      <c r="G51" s="67"/>
      <c r="H51" s="272">
        <f>H133</f>
        <v>475773</v>
      </c>
      <c r="I51" s="613">
        <f>H51/#REF!*100</f>
      </c>
      <c r="J51" s="272">
        <f>J133</f>
        <v>59234</v>
      </c>
      <c r="K51" s="280">
        <f>K133</f>
        <v>585397</v>
      </c>
      <c r="L51" s="610">
        <f>H51-K51</f>
        <v>-109624</v>
      </c>
      <c r="M51" s="521"/>
      <c r="N51" s="521"/>
      <c r="O51" s="324"/>
      <c r="P51" s="324"/>
    </row>
    <row customHeight="1" ht="14.25">
      <c r="A52" s="586"/>
      <c r="B52" s="611" t="s">
        <v>133</v>
      </c>
      <c r="C52" s="607" t="s">
        <v>19</v>
      </c>
      <c r="D52" s="67">
        <v>2300</v>
      </c>
      <c r="E52" s="280">
        <f>E135</f>
        <v>1282</v>
      </c>
      <c r="F52" s="613">
        <f>E52/#REF!*100</f>
      </c>
      <c r="G52" s="67">
        <v>15680</v>
      </c>
      <c r="H52" s="280">
        <f>H135</f>
        <v>6464</v>
      </c>
      <c r="I52" s="613">
        <f>H52/#REF!*100</f>
      </c>
      <c r="J52" s="272">
        <f>J135</f>
        <v>2032</v>
      </c>
      <c r="K52" s="280">
        <f>K135</f>
        <v>13396</v>
      </c>
      <c r="L52" s="610">
        <f>H52-K52</f>
        <v>-6932</v>
      </c>
      <c r="M52" s="521"/>
      <c r="N52" s="521"/>
      <c r="O52" s="324"/>
      <c r="P52" s="324"/>
    </row>
    <row customHeight="1" ht="14.25">
      <c r="A53" s="586"/>
      <c r="B53" s="611" t="s">
        <v>66</v>
      </c>
      <c r="C53" s="607" t="s">
        <v>19</v>
      </c>
      <c r="D53" s="67"/>
      <c r="E53" s="272"/>
      <c r="F53" s="613"/>
      <c r="G53" s="67"/>
      <c r="H53" s="272"/>
      <c r="I53" s="613"/>
      <c r="J53" s="272"/>
      <c r="K53" s="272"/>
      <c r="L53" s="610"/>
      <c r="M53" s="521"/>
      <c r="N53" s="521"/>
      <c r="O53" s="324"/>
      <c r="P53" s="324"/>
    </row>
    <row customHeight="1" ht="14.25">
      <c r="A54" s="586"/>
      <c r="B54" s="611" t="s">
        <v>67</v>
      </c>
      <c r="C54" s="607" t="s">
        <v>19</v>
      </c>
      <c r="D54" s="67"/>
      <c r="E54" s="272"/>
      <c r="F54" s="613"/>
      <c r="G54" s="67"/>
      <c r="H54" s="272"/>
      <c r="I54" s="613"/>
      <c r="J54" s="272"/>
      <c r="K54" s="272"/>
      <c r="L54" s="610"/>
      <c r="M54" s="521"/>
      <c r="N54" s="521"/>
      <c r="O54" s="324"/>
      <c r="P54" s="324"/>
    </row>
    <row customHeight="1" ht="14.25">
      <c r="A55" s="586"/>
      <c r="B55" s="611" t="s">
        <v>68</v>
      </c>
      <c r="C55" s="607" t="s">
        <v>19</v>
      </c>
      <c r="D55" s="67"/>
      <c r="E55" s="272"/>
      <c r="F55" s="613"/>
      <c r="G55" s="67"/>
      <c r="H55" s="272"/>
      <c r="I55" s="613"/>
      <c r="J55" s="272"/>
      <c r="K55" s="272"/>
      <c r="L55" s="610"/>
      <c r="M55" s="521"/>
      <c r="N55" s="521"/>
      <c r="O55" s="324"/>
      <c r="P55" s="324"/>
    </row>
    <row customHeight="1" ht="14.25">
      <c r="A56" s="586"/>
      <c r="B56" s="611" t="s">
        <v>69</v>
      </c>
      <c r="C56" s="607" t="s">
        <v>19</v>
      </c>
      <c r="D56" s="67"/>
      <c r="E56" s="272"/>
      <c r="F56" s="613"/>
      <c r="G56" s="67"/>
      <c r="H56" s="272"/>
      <c r="I56" s="613"/>
      <c r="J56" s="272"/>
      <c r="K56" s="272"/>
      <c r="L56" s="610"/>
      <c r="M56" s="521"/>
      <c r="N56" s="521"/>
      <c r="O56" s="324"/>
      <c r="P56" s="324"/>
    </row>
    <row customHeight="1" ht="14.25">
      <c r="A57" s="586"/>
      <c r="B57" s="611" t="s">
        <v>153</v>
      </c>
      <c r="C57" s="607" t="s">
        <v>19</v>
      </c>
      <c r="D57" s="67"/>
      <c r="E57" s="272"/>
      <c r="F57" s="613"/>
      <c r="G57" s="67"/>
      <c r="H57" s="272"/>
      <c r="I57" s="613"/>
      <c r="J57" s="272"/>
      <c r="K57" s="272"/>
      <c r="L57" s="610"/>
      <c r="M57" s="521"/>
      <c r="N57" s="521"/>
      <c r="O57" s="324"/>
      <c r="P57" s="324"/>
    </row>
    <row customHeight="1" ht="14.25">
      <c r="A58" s="586"/>
      <c r="B58" s="611" t="s">
        <v>71</v>
      </c>
      <c r="C58" s="607" t="s">
        <v>19</v>
      </c>
      <c r="D58" s="67"/>
      <c r="E58" s="272"/>
      <c r="F58" s="613"/>
      <c r="G58" s="67"/>
      <c r="H58" s="272"/>
      <c r="I58" s="613"/>
      <c r="J58" s="272"/>
      <c r="K58" s="272"/>
      <c r="L58" s="610"/>
      <c r="M58" s="521"/>
      <c r="N58" s="521"/>
      <c r="O58" s="324"/>
      <c r="P58" s="324"/>
    </row>
    <row customHeight="1" ht="14.25">
      <c r="A59" s="586"/>
      <c r="B59" s="611" t="s">
        <v>72</v>
      </c>
      <c r="C59" s="607" t="s">
        <v>19</v>
      </c>
      <c r="D59" s="67"/>
      <c r="E59" s="272">
        <f>E137</f>
        <v>236.26</v>
      </c>
      <c r="F59" s="613"/>
      <c r="G59" s="67"/>
      <c r="H59" s="272">
        <f>H137</f>
        <v>3295.16</v>
      </c>
      <c r="I59" s="613"/>
      <c r="J59" s="272">
        <f>J137</f>
        <v>275</v>
      </c>
      <c r="K59" s="272">
        <f>K137</f>
        <v>2150</v>
      </c>
      <c r="L59" s="610">
        <f>H59-K59</f>
        <v>1145.16</v>
      </c>
      <c r="M59" s="521"/>
      <c r="N59" s="521"/>
      <c r="O59" s="324"/>
      <c r="P59" s="324"/>
    </row>
    <row customHeight="1" ht="14.25">
      <c r="A60" s="586"/>
      <c r="B60" s="648" t="s">
        <v>73</v>
      </c>
      <c r="C60" s="607" t="s">
        <v>19</v>
      </c>
      <c r="D60" s="67"/>
      <c r="E60" s="272"/>
      <c r="F60" s="613"/>
      <c r="G60" s="67"/>
      <c r="H60" s="272"/>
      <c r="I60" s="613"/>
      <c r="J60" s="272"/>
      <c r="K60" s="272"/>
      <c r="L60" s="610"/>
      <c r="M60" s="521"/>
      <c r="N60" s="521"/>
      <c r="O60" s="324"/>
      <c r="P60" s="324"/>
    </row>
    <row customHeight="1" ht="14.25">
      <c r="A61" s="586"/>
      <c r="B61" s="648" t="s">
        <v>74</v>
      </c>
      <c r="C61" s="649" t="s">
        <v>19</v>
      </c>
      <c r="D61" s="67"/>
      <c r="E61" s="272"/>
      <c r="F61" s="613"/>
      <c r="G61" s="67"/>
      <c r="H61" s="272"/>
      <c r="I61" s="613"/>
      <c r="J61" s="272"/>
      <c r="K61" s="272"/>
      <c r="L61" s="610"/>
      <c r="M61" s="521"/>
      <c r="N61" s="521"/>
      <c r="O61" s="324"/>
      <c r="P61" s="324"/>
    </row>
    <row customHeight="1" ht="14.25">
      <c r="A62" s="586"/>
      <c r="B62" s="611" t="s">
        <v>75</v>
      </c>
      <c r="C62" s="607" t="s">
        <v>19</v>
      </c>
      <c r="D62" s="67"/>
      <c r="E62" s="272"/>
      <c r="F62" s="613"/>
      <c r="G62" s="67"/>
      <c r="H62" s="272"/>
      <c r="I62" s="613"/>
      <c r="J62" s="272"/>
      <c r="K62" s="272"/>
      <c r="L62" s="610"/>
      <c r="M62" s="521"/>
      <c r="N62" s="521"/>
      <c r="O62" s="324"/>
      <c r="P62" s="324"/>
    </row>
    <row customHeight="1" ht="14.25">
      <c r="A63" s="586"/>
      <c r="B63" s="611" t="s">
        <v>76</v>
      </c>
      <c r="C63" s="607" t="s">
        <v>19</v>
      </c>
      <c r="D63" s="67"/>
      <c r="E63" s="272"/>
      <c r="F63" s="613"/>
      <c r="G63" s="67"/>
      <c r="H63" s="272"/>
      <c r="I63" s="613"/>
      <c r="J63" s="272"/>
      <c r="K63" s="272"/>
      <c r="L63" s="610"/>
      <c r="M63" s="521"/>
      <c r="N63" s="521"/>
      <c r="O63" s="324"/>
      <c r="P63" s="324"/>
    </row>
    <row customHeight="1" ht="14.25">
      <c r="A64" s="586"/>
      <c r="B64" s="611" t="s">
        <v>77</v>
      </c>
      <c r="C64" s="607" t="s">
        <v>19</v>
      </c>
      <c r="D64" s="67"/>
      <c r="E64" s="272"/>
      <c r="F64" s="613"/>
      <c r="G64" s="67"/>
      <c r="H64" s="272"/>
      <c r="I64" s="613"/>
      <c r="J64" s="272"/>
      <c r="K64" s="272"/>
      <c r="L64" s="610"/>
      <c r="M64" s="521"/>
      <c r="N64" s="521"/>
      <c r="O64" s="324"/>
      <c r="P64" s="324"/>
    </row>
    <row customHeight="1" ht="14.25">
      <c r="A65" s="586"/>
      <c r="B65" s="611" t="s">
        <v>78</v>
      </c>
      <c r="C65" s="607" t="s">
        <v>19</v>
      </c>
      <c r="D65" s="67"/>
      <c r="E65" s="272"/>
      <c r="F65" s="613"/>
      <c r="G65" s="67"/>
      <c r="H65" s="272"/>
      <c r="I65" s="613"/>
      <c r="J65" s="272"/>
      <c r="K65" s="272"/>
      <c r="L65" s="610"/>
      <c r="M65" s="521"/>
      <c r="N65" s="521"/>
      <c r="O65" s="324"/>
      <c r="P65" s="324"/>
    </row>
    <row customHeight="1" ht="14.25">
      <c r="A66" s="586"/>
      <c r="B66" s="611" t="s">
        <v>79</v>
      </c>
      <c r="C66" s="607" t="s">
        <v>19</v>
      </c>
      <c r="D66" s="67"/>
      <c r="E66" s="272"/>
      <c r="F66" s="613"/>
      <c r="G66" s="67"/>
      <c r="H66" s="272"/>
      <c r="I66" s="613"/>
      <c r="J66" s="272"/>
      <c r="K66" s="272"/>
      <c r="L66" s="610"/>
      <c r="M66" s="521"/>
      <c r="N66" s="521"/>
      <c r="O66" s="521"/>
      <c r="P66" s="521"/>
    </row>
    <row customHeight="1" ht="14.25">
      <c r="A67" s="586"/>
      <c r="B67" s="611" t="s">
        <v>80</v>
      </c>
      <c r="C67" s="607" t="s">
        <v>19</v>
      </c>
      <c r="D67" s="67"/>
      <c r="E67" s="272"/>
      <c r="F67" s="613"/>
      <c r="G67" s="67"/>
      <c r="H67" s="124"/>
      <c r="I67" s="613"/>
      <c r="J67" s="272">
        <f>J196-J197</f>
        <v>-5335</v>
      </c>
      <c r="K67" s="272">
        <f>K196-K197</f>
        <v>-16271</v>
      </c>
      <c r="L67" s="610"/>
      <c r="M67" s="521"/>
      <c r="N67" s="521"/>
      <c r="O67" s="521"/>
      <c r="P67" s="521"/>
    </row>
    <row customHeight="1" ht="14.25">
      <c r="A68" s="586"/>
      <c r="B68" s="606" t="s">
        <v>81</v>
      </c>
      <c r="C68" s="607"/>
      <c r="D68" s="67"/>
      <c r="E68" s="272"/>
      <c r="F68" s="718"/>
      <c r="G68" s="67"/>
      <c r="H68" s="272"/>
      <c r="I68" s="613"/>
      <c r="J68" s="272"/>
      <c r="K68" s="272"/>
      <c r="L68" s="610"/>
      <c r="M68" s="521"/>
      <c r="N68" s="521"/>
      <c r="O68" s="521"/>
      <c r="P68" s="521"/>
    </row>
    <row customHeight="1" ht="14.25">
      <c r="A69" s="586"/>
      <c r="B69" s="611" t="s">
        <v>82</v>
      </c>
      <c r="C69" s="607" t="s">
        <v>19</v>
      </c>
      <c r="D69" s="67">
        <f>_xlfn.IFERROR(D31+D35+D41,"")</f>
        <v>157000</v>
      </c>
      <c r="E69" s="326">
        <f>E31+E35+E41</f>
        <v>174307</v>
      </c>
      <c r="F69" s="718">
        <f>E69/#REF!*100</f>
      </c>
      <c r="G69" s="67">
        <f>_xlfn.IFERROR(G31+G35+G41,"")</f>
        <v>2031239</v>
      </c>
      <c r="H69" s="272">
        <f>H31+H35+H41</f>
        <v>2224942.94</v>
      </c>
      <c r="I69" s="613">
        <f>H69/#REF!*100</f>
      </c>
      <c r="J69" s="272">
        <f>J31+J35+J41</f>
        <v>199311</v>
      </c>
      <c r="K69" s="272">
        <f>K31+K35+K41</f>
        <v>1775779.26</v>
      </c>
      <c r="L69" s="610">
        <f>H69-K69</f>
        <v>449163.68</v>
      </c>
      <c r="M69" s="521"/>
      <c r="N69" s="521"/>
      <c r="O69" s="521"/>
      <c r="P69" s="521"/>
    </row>
    <row customHeight="1" ht="14.25">
      <c r="A70" s="586"/>
      <c r="B70" s="611" t="s">
        <v>83</v>
      </c>
      <c r="C70" s="607" t="s">
        <v>19</v>
      </c>
      <c r="D70" s="67">
        <v>224000</v>
      </c>
      <c r="E70" s="327">
        <f>_xlfn.IFERROR(E194,"")</f>
        <v>259963.26</v>
      </c>
      <c r="F70" s="718">
        <f>E70/#REF!*100</f>
      </c>
      <c r="G70" s="67">
        <v>3511047</v>
      </c>
      <c r="H70" s="327">
        <f>_xlfn.IFERROR(H194,"")</f>
        <v>3444219.56</v>
      </c>
      <c r="I70" s="613">
        <f>H70/#REF!*100</f>
      </c>
      <c r="J70" s="272">
        <f>_xlfn.IFERROR(J194,"")</f>
        <v>320677</v>
      </c>
      <c r="K70" s="272">
        <f>_xlfn.IFERROR(K194,"")</f>
        <v>2924408</v>
      </c>
      <c r="L70" s="610">
        <f>H70-K70</f>
        <v>519811.56</v>
      </c>
      <c r="M70" s="521"/>
      <c r="N70" s="521"/>
      <c r="O70" s="521"/>
      <c r="P70" s="521"/>
    </row>
    <row customHeight="1" ht="14.25">
      <c r="A71" s="586"/>
      <c r="B71" s="611" t="s">
        <v>134</v>
      </c>
      <c r="C71" s="607" t="s">
        <v>85</v>
      </c>
      <c r="D71" s="104">
        <v>94</v>
      </c>
      <c r="E71" s="326">
        <f>E180/E181*100</f>
        <v>94.5550333535476</v>
      </c>
      <c r="F71" s="718">
        <f>E71-#REF!</f>
      </c>
      <c r="G71" s="104">
        <v>94.89</v>
      </c>
      <c r="H71" s="326">
        <f>H180/H181*100</f>
        <v>94.8145508394979</v>
      </c>
      <c r="I71" s="651">
        <f>H71-#REF!</f>
      </c>
      <c r="J71" s="326">
        <f>J180/J181*100</f>
        <v>95.1233086368221</v>
      </c>
      <c r="K71" s="326">
        <f>K180/K181*100</f>
        <v>95.1085279839433</v>
      </c>
      <c r="L71" s="652">
        <f>H71-K71</f>
        <v>-0.293977144445407</v>
      </c>
      <c r="M71" s="521"/>
      <c r="N71" s="521"/>
      <c r="O71" s="521"/>
      <c r="P71" s="521"/>
    </row>
    <row customHeight="1" ht="14.25">
      <c r="A72" s="586"/>
      <c r="B72" s="611" t="s">
        <v>135</v>
      </c>
      <c r="C72" s="607" t="s">
        <v>85</v>
      </c>
      <c r="D72" s="104">
        <v>5</v>
      </c>
      <c r="E72" s="326">
        <f>E184/E185*100</f>
        <v>4.70967252880534</v>
      </c>
      <c r="F72" s="718">
        <f>E72-#REF!</f>
      </c>
      <c r="G72" s="104">
        <v>3.91</v>
      </c>
      <c r="H72" s="326">
        <f>H184/H185*100</f>
        <v>4.45042883292998</v>
      </c>
      <c r="I72" s="651">
        <f>H72-#REF!</f>
      </c>
      <c r="J72" s="326">
        <f>J184/J185*100</f>
        <v>4.14536157779401</v>
      </c>
      <c r="K72" s="326">
        <f>K184/K185*100</f>
        <v>4.15975314078512</v>
      </c>
      <c r="L72" s="652">
        <f>H72-K72</f>
        <v>0.29067569214486</v>
      </c>
      <c r="M72" s="521"/>
      <c r="N72" s="521"/>
      <c r="O72" s="521"/>
      <c r="P72" s="521"/>
    </row>
    <row customHeight="1" ht="14.25">
      <c r="A73" s="586"/>
      <c r="B73" s="611" t="s">
        <v>136</v>
      </c>
      <c r="C73" s="607" t="s">
        <v>85</v>
      </c>
      <c r="D73" s="104">
        <v>1</v>
      </c>
      <c r="E73" s="326">
        <f>E187/E188*100</f>
        <v>0.734915100060643</v>
      </c>
      <c r="F73" s="718">
        <f>E73-#REF!</f>
      </c>
      <c r="G73" s="104">
        <v>1.2</v>
      </c>
      <c r="H73" s="326">
        <f>H187/H188*100</f>
        <v>0.73497370784514</v>
      </c>
      <c r="I73" s="651">
        <f>H73-#REF!</f>
      </c>
      <c r="J73" s="326">
        <f>J187/J188*100</f>
        <v>0.731039920229109</v>
      </c>
      <c r="K73" s="326">
        <f>K187/K188*100</f>
        <v>0.73129979229603</v>
      </c>
      <c r="L73" s="652">
        <f>H73-K73</f>
        <v>0.00367391554911001</v>
      </c>
      <c r="M73" s="521"/>
      <c r="N73" s="521"/>
      <c r="O73" s="521"/>
      <c r="P73" s="521"/>
    </row>
    <row customHeight="1" ht="14.25">
      <c r="A74" s="586"/>
      <c r="B74" s="611" t="s">
        <v>88</v>
      </c>
      <c r="C74" s="653" t="s">
        <v>89</v>
      </c>
      <c r="D74" s="104">
        <v>63</v>
      </c>
      <c r="E74" s="326">
        <f>(E154*1000)/E155</f>
        <v>55.6523065827069</v>
      </c>
      <c r="F74" s="718">
        <f>E74-#REF!</f>
      </c>
      <c r="G74" s="104">
        <v>55</v>
      </c>
      <c r="H74" s="326">
        <f>H154*1000/H155</f>
        <v>47.4892369606685</v>
      </c>
      <c r="I74" s="651">
        <f>H74-#REF!</f>
      </c>
      <c r="J74" s="326">
        <f>(J154*1000)/J155</f>
        <v>46.8539067371314</v>
      </c>
      <c r="K74" s="326">
        <f>(K154*1000)/K155</f>
        <v>53.0197702454483</v>
      </c>
      <c r="L74" s="652">
        <f>H74-K74/100</f>
        <v>46.959039258214</v>
      </c>
      <c r="M74" s="521"/>
      <c r="N74" s="521"/>
      <c r="O74" s="521"/>
      <c r="P74" s="521"/>
    </row>
    <row customHeight="1" ht="14.25">
      <c r="A75" s="586"/>
      <c r="B75" s="611" t="s">
        <v>90</v>
      </c>
      <c r="C75" s="653" t="s">
        <v>91</v>
      </c>
      <c r="D75" s="104">
        <v>0</v>
      </c>
      <c r="E75" s="326"/>
      <c r="F75" s="718"/>
      <c r="G75" s="104"/>
      <c r="H75" s="328"/>
      <c r="I75" s="651"/>
      <c r="J75" s="328"/>
      <c r="K75" s="328"/>
      <c r="L75" s="652"/>
      <c r="M75" s="521"/>
      <c r="N75" s="521"/>
      <c r="O75" s="521"/>
      <c r="P75" s="521"/>
    </row>
    <row customHeight="1" ht="14.25">
      <c r="A76" s="586"/>
      <c r="B76" s="611" t="s">
        <v>92</v>
      </c>
      <c r="C76" s="607" t="s">
        <v>85</v>
      </c>
      <c r="D76" s="104">
        <v>100</v>
      </c>
      <c r="E76" s="327">
        <f>_xlfn.IFERROR(E199/E200*100,"")</f>
        <v>100</v>
      </c>
      <c r="F76" s="718">
        <f>E76-#REF!</f>
      </c>
      <c r="G76" s="104">
        <v>100</v>
      </c>
      <c r="H76" s="327">
        <f>_xlfn.IFERROR(H199/H200*100,"")</f>
        <v>100</v>
      </c>
      <c r="I76" s="651">
        <f>H76-#REF!</f>
      </c>
      <c r="J76" s="327">
        <f>_xlfn.IFERROR(J199/J200*100,"")</f>
        <v>100</v>
      </c>
      <c r="K76" s="327">
        <f>_xlfn.IFERROR(K199/K200*100,"")</f>
        <v>100</v>
      </c>
      <c r="L76" s="652">
        <f>H76-K76</f>
        <v>0</v>
      </c>
      <c r="M76" s="521"/>
      <c r="N76" s="521"/>
      <c r="O76" s="521"/>
      <c r="P76" s="521"/>
    </row>
    <row customHeight="1" ht="14.25">
      <c r="A77" s="586"/>
      <c r="B77" s="606" t="s">
        <v>93</v>
      </c>
      <c r="C77" s="608"/>
      <c r="D77" s="104"/>
      <c r="E77" s="326"/>
      <c r="F77" s="718"/>
      <c r="G77" s="104"/>
      <c r="H77" s="272"/>
      <c r="I77" s="608"/>
      <c r="J77" s="272"/>
      <c r="K77" s="272"/>
      <c r="L77" s="610"/>
      <c r="M77" s="521"/>
      <c r="N77" s="521"/>
      <c r="O77" s="521"/>
      <c r="P77" s="521"/>
    </row>
    <row customHeight="1" ht="14.25">
      <c r="A78" s="586"/>
      <c r="B78" s="611" t="s">
        <v>94</v>
      </c>
      <c r="C78" s="607" t="s">
        <v>85</v>
      </c>
      <c r="D78" s="104">
        <v>47.79</v>
      </c>
      <c r="E78" s="326">
        <f>E157/E158*100</f>
        <v>49.6613736065593</v>
      </c>
      <c r="F78" s="718">
        <f>E78-#REF!</f>
      </c>
      <c r="G78" s="104">
        <v>47.79</v>
      </c>
      <c r="H78" s="328">
        <f>H157/H158*100</f>
        <v>48.604081623288</v>
      </c>
      <c r="I78" s="651">
        <f>H78-#REF!</f>
      </c>
      <c r="J78" s="328">
        <f>J157/J158*100</f>
        <v>48.1306261312799</v>
      </c>
      <c r="K78" s="291">
        <f>K157/K158*100</f>
        <v>48.1985240482518</v>
      </c>
      <c r="L78" s="652">
        <f>H78-K78</f>
        <v>0.405557575036205</v>
      </c>
      <c r="M78" s="521"/>
      <c r="N78" s="521"/>
      <c r="O78" s="521"/>
      <c r="P78" s="521"/>
    </row>
    <row customHeight="1" ht="14.25">
      <c r="A79" s="586"/>
      <c r="B79" s="611" t="s">
        <v>95</v>
      </c>
      <c r="C79" s="607" t="s">
        <v>85</v>
      </c>
      <c r="D79" s="104">
        <f>_xlfn.IFERROR(D80+D81,"")</f>
        <v>86.76</v>
      </c>
      <c r="E79" s="326">
        <f>E160/E161*100</f>
        <v>87.1902140908609</v>
      </c>
      <c r="F79" s="718">
        <f>E79-#REF!</f>
      </c>
      <c r="G79" s="104">
        <v>86.56</v>
      </c>
      <c r="H79" s="328">
        <f>H160/H161*100</f>
        <v>87.1707540982549</v>
      </c>
      <c r="I79" s="651">
        <f>H79-#REF!</f>
      </c>
      <c r="J79" s="328">
        <f>J160/J161*100</f>
        <v>86.9716628021086</v>
      </c>
      <c r="K79" s="291">
        <f>K160/K161*100</f>
        <v>86.9600155259141</v>
      </c>
      <c r="L79" s="652">
        <f>H79-K79</f>
        <v>0.210738572340802</v>
      </c>
      <c r="M79" s="521"/>
      <c r="N79" s="521"/>
      <c r="O79" s="521"/>
      <c r="P79" s="521"/>
    </row>
    <row customHeight="1" ht="14.25">
      <c r="A80" s="586"/>
      <c r="B80" s="611" t="s">
        <v>96</v>
      </c>
      <c r="C80" s="607" t="s">
        <v>85</v>
      </c>
      <c r="D80" s="104">
        <v>70.36</v>
      </c>
      <c r="E80" s="326">
        <f>E163/E164*100</f>
        <v>70.5555180690373</v>
      </c>
      <c r="F80" s="718">
        <f>E80-#REF!</f>
      </c>
      <c r="G80" s="104">
        <v>68.76</v>
      </c>
      <c r="H80" s="328">
        <f>H163/H164*100</f>
        <v>70.1904546015571</v>
      </c>
      <c r="I80" s="651">
        <f>H80-#REF!</f>
      </c>
      <c r="J80" s="328">
        <f>J163/J164*100</f>
        <v>69.4899651755551</v>
      </c>
      <c r="K80" s="291">
        <f>K163/K164*100</f>
        <v>68.7589234666848</v>
      </c>
      <c r="L80" s="652">
        <f>H80-K80</f>
        <v>1.43153113487229</v>
      </c>
      <c r="M80" s="521"/>
      <c r="N80" s="521"/>
      <c r="O80" s="521"/>
      <c r="P80" s="521"/>
    </row>
    <row customHeight="1" ht="14.25">
      <c r="A81" s="586"/>
      <c r="B81" s="611" t="s">
        <v>97</v>
      </c>
      <c r="C81" s="607" t="s">
        <v>85</v>
      </c>
      <c r="D81" s="104">
        <v>16.4</v>
      </c>
      <c r="E81" s="326">
        <f>E166/E167*100</f>
        <v>16.6346960218236</v>
      </c>
      <c r="F81" s="718">
        <f>E81-#REF!</f>
      </c>
      <c r="G81" s="104">
        <v>17.8</v>
      </c>
      <c r="H81" s="328">
        <f>H166/H167*100</f>
        <v>16.9802994966978</v>
      </c>
      <c r="I81" s="651">
        <f>H81-#REF!</f>
      </c>
      <c r="J81" s="328">
        <f>J166/J167*100</f>
        <v>17.4816976265534</v>
      </c>
      <c r="K81" s="291">
        <f>K166/K167*100</f>
        <v>18.2010920592293</v>
      </c>
      <c r="L81" s="652">
        <f>H81-K81</f>
        <v>-1.2207925625315</v>
      </c>
      <c r="M81" s="521"/>
      <c r="N81" s="521"/>
      <c r="O81" s="521"/>
      <c r="P81" s="521"/>
    </row>
    <row customHeight="1" ht="14.25">
      <c r="A82" s="586"/>
      <c r="B82" s="611" t="s">
        <v>98</v>
      </c>
      <c r="C82" s="607" t="s">
        <v>85</v>
      </c>
      <c r="D82" s="104">
        <v>92.9</v>
      </c>
      <c r="E82" s="326">
        <f>E169/E170*100</f>
        <v>93.4095860566449</v>
      </c>
      <c r="F82" s="718">
        <f>E82-#REF!</f>
      </c>
      <c r="G82" s="104">
        <v>92.9</v>
      </c>
      <c r="H82" s="328">
        <f>H169/H170*100</f>
        <v>93.4038688845965</v>
      </c>
      <c r="I82" s="651">
        <f>H82-#REF!</f>
      </c>
      <c r="J82" s="328">
        <f>J169/J170*100</f>
        <v>93.337723630776</v>
      </c>
      <c r="K82" s="291">
        <f>K169/K170*100</f>
        <v>93.3325016781613</v>
      </c>
      <c r="L82" s="652">
        <f>H82-K82</f>
        <v>0.0713672064352124</v>
      </c>
      <c r="M82" s="521"/>
      <c r="N82" s="521"/>
      <c r="O82" s="521"/>
      <c r="P82" s="521"/>
    </row>
    <row customHeight="1" ht="14.25">
      <c r="A83" s="586"/>
      <c r="B83" s="611" t="s">
        <v>99</v>
      </c>
      <c r="C83" s="607" t="s">
        <v>85</v>
      </c>
      <c r="D83" s="104"/>
      <c r="E83" s="327" t="s">
        <v>154</v>
      </c>
      <c r="F83" s="718"/>
      <c r="G83" s="104"/>
      <c r="H83" s="272" t="s">
        <v>154</v>
      </c>
      <c r="I83" s="651"/>
      <c r="J83" s="272" t="s">
        <v>154</v>
      </c>
      <c r="K83" s="272" t="s">
        <v>154</v>
      </c>
      <c r="L83" s="610"/>
      <c r="M83" s="521"/>
      <c r="N83" s="521"/>
      <c r="O83" s="521"/>
      <c r="P83" s="521"/>
    </row>
    <row customHeight="1" ht="14.25">
      <c r="A84" s="586"/>
      <c r="B84" s="611" t="s">
        <v>100</v>
      </c>
      <c r="C84" s="607" t="s">
        <v>85</v>
      </c>
      <c r="D84" s="104"/>
      <c r="E84" s="326"/>
      <c r="F84" s="718"/>
      <c r="G84" s="104"/>
      <c r="H84" s="272"/>
      <c r="I84" s="651"/>
      <c r="J84" s="272"/>
      <c r="K84" s="272"/>
      <c r="L84" s="610"/>
      <c r="M84" s="521"/>
      <c r="N84" s="521"/>
      <c r="O84" s="521"/>
      <c r="P84" s="521"/>
    </row>
    <row customHeight="1" ht="14.25">
      <c r="A85" s="586"/>
      <c r="B85" s="611" t="s">
        <v>101</v>
      </c>
      <c r="C85" s="607" t="s">
        <v>85</v>
      </c>
      <c r="D85" s="104"/>
      <c r="E85" s="326"/>
      <c r="F85" s="718"/>
      <c r="G85" s="104"/>
      <c r="H85" s="272"/>
      <c r="I85" s="651"/>
      <c r="J85" s="272"/>
      <c r="K85" s="272"/>
      <c r="L85" s="610"/>
      <c r="M85" s="521"/>
      <c r="N85" s="521"/>
      <c r="O85" s="521"/>
      <c r="P85" s="521"/>
    </row>
    <row customHeight="1" ht="14.25">
      <c r="A86" s="586"/>
      <c r="B86" s="611" t="s">
        <v>102</v>
      </c>
      <c r="C86" s="607" t="s">
        <v>85</v>
      </c>
      <c r="D86" s="104"/>
      <c r="E86" s="326"/>
      <c r="F86" s="718"/>
      <c r="G86" s="104"/>
      <c r="H86" s="272"/>
      <c r="I86" s="651"/>
      <c r="J86" s="272"/>
      <c r="K86" s="272"/>
      <c r="L86" s="610"/>
      <c r="M86" s="521"/>
      <c r="N86" s="521"/>
      <c r="O86" s="521"/>
      <c r="P86" s="521"/>
    </row>
    <row customHeight="1" ht="14.25">
      <c r="A87" s="586"/>
      <c r="B87" s="611" t="s">
        <v>103</v>
      </c>
      <c r="C87" s="607" t="s">
        <v>85</v>
      </c>
      <c r="D87" s="104">
        <v>98.5</v>
      </c>
      <c r="E87" s="326">
        <f>E172/E173*100</f>
        <v>98.9360028320812</v>
      </c>
      <c r="F87" s="718">
        <f>E87-#REF!</f>
      </c>
      <c r="G87" s="104">
        <v>98.5</v>
      </c>
      <c r="H87" s="328">
        <f>H172/H173*100</f>
        <v>98.9050837967791</v>
      </c>
      <c r="I87" s="651">
        <f>H87-#REF!</f>
      </c>
      <c r="J87" s="328">
        <f>J172/J173*100</f>
        <v>98.9083047455689</v>
      </c>
      <c r="K87" s="124">
        <f>K172/K173*100</f>
        <v>98.8879167962983</v>
      </c>
      <c r="L87" s="652">
        <f>H87-K87</f>
        <v>0.0171670004807964</v>
      </c>
      <c r="M87" s="521"/>
      <c r="N87" s="521"/>
      <c r="O87" s="521"/>
      <c r="P87" s="521"/>
    </row>
    <row customHeight="1" ht="14.25">
      <c r="A88" s="586"/>
      <c r="B88" s="611" t="s">
        <v>104</v>
      </c>
      <c r="C88" s="607" t="s">
        <v>85</v>
      </c>
      <c r="D88" s="104">
        <v>98.7</v>
      </c>
      <c r="E88" s="326">
        <f>E175/E176*100</f>
        <v>99.2227722772277</v>
      </c>
      <c r="F88" s="718">
        <f>E88-#REF!</f>
      </c>
      <c r="G88" s="104">
        <v>98.7</v>
      </c>
      <c r="H88" s="328">
        <f>H175/H176*100</f>
        <v>99.1163169250378</v>
      </c>
      <c r="I88" s="651">
        <f>H88-#REF!</f>
      </c>
      <c r="J88" s="328">
        <f>J175/J176*100</f>
        <v>99.0361193114908</v>
      </c>
      <c r="K88" s="124">
        <f>K175/K176*100</f>
        <v>99.006027751557</v>
      </c>
      <c r="L88" s="652">
        <f>H88-K88</f>
        <v>0.110289173480794</v>
      </c>
      <c r="M88" s="521"/>
      <c r="N88" s="521"/>
      <c r="O88" s="521"/>
      <c r="P88" s="521"/>
    </row>
    <row customHeight="1" ht="14.25">
      <c r="A89" s="586"/>
      <c r="B89" s="666"/>
      <c r="C89" s="667"/>
      <c r="D89" s="722"/>
      <c r="E89" s="329"/>
      <c r="F89" s="722"/>
      <c r="G89" s="722"/>
      <c r="H89" s="329"/>
      <c r="I89" s="722"/>
      <c r="J89" s="722"/>
      <c r="K89" s="336"/>
      <c r="L89" s="672"/>
      <c r="M89" s="521"/>
      <c r="N89" s="521"/>
      <c r="O89" s="521"/>
      <c r="P89" s="521"/>
    </row>
    <row customHeight="1" ht="14.25">
      <c r="A90" s="586"/>
      <c r="B90" s="673"/>
      <c r="C90" s="674"/>
      <c r="D90" s="668"/>
      <c r="E90" s="330"/>
      <c r="F90" s="668"/>
      <c r="G90" s="668"/>
      <c r="H90" s="330"/>
      <c r="I90" s="668"/>
      <c r="J90" s="668"/>
      <c r="K90" s="337"/>
      <c r="L90" s="675"/>
      <c r="M90" s="521"/>
      <c r="N90" s="521"/>
      <c r="O90" s="521"/>
      <c r="P90" s="521"/>
    </row>
    <row customHeight="1" ht="14.25">
      <c r="A91" s="586"/>
      <c r="B91" s="673"/>
      <c r="C91" s="674"/>
      <c r="D91" s="668"/>
      <c r="E91" s="330"/>
      <c r="F91" s="668"/>
      <c r="G91" s="668"/>
      <c r="H91" s="330"/>
      <c r="I91" s="668"/>
      <c r="J91" s="668"/>
      <c r="K91" s="337"/>
      <c r="L91" s="675"/>
      <c r="M91" s="521"/>
      <c r="N91" s="521"/>
      <c r="O91" s="521"/>
      <c r="P91" s="521"/>
    </row>
    <row customHeight="1" ht="15">
      <c r="A92" s="586"/>
      <c r="B92" s="676"/>
      <c r="C92" s="677"/>
      <c r="D92" s="678"/>
      <c r="E92" s="331"/>
      <c r="F92" s="678"/>
      <c r="G92" s="678"/>
      <c r="H92" s="331"/>
      <c r="I92" s="678"/>
      <c r="J92" s="678"/>
      <c r="K92" s="338"/>
      <c r="L92" s="682"/>
      <c r="M92" s="521"/>
      <c r="N92" s="521"/>
      <c r="O92" s="521"/>
      <c r="P92" s="521"/>
    </row>
    <row customHeight="1" ht="14.25">
      <c r="A93" s="586"/>
      <c r="B93" s="683" t="s">
        <v>141</v>
      </c>
      <c r="C93" s="683" t="s">
        <v>142</v>
      </c>
      <c r="D93" s="683"/>
      <c r="E93" s="332"/>
      <c r="F93" s="683"/>
      <c r="G93" s="683" t="s">
        <v>143</v>
      </c>
      <c r="H93" s="332"/>
      <c r="I93" s="683"/>
      <c r="J93" s="683"/>
      <c r="K93" s="332" t="s">
        <v>144</v>
      </c>
      <c r="L93" s="683"/>
      <c r="M93" s="521"/>
      <c r="N93" s="521"/>
      <c r="O93" s="521"/>
      <c r="P93" s="521"/>
    </row>
    <row customHeight="1" ht="14.4525">
      <c r="A94" s="586"/>
      <c r="B94" s="586"/>
      <c r="C94" s="586"/>
      <c r="D94" s="586"/>
      <c r="E94" s="133"/>
      <c r="F94" s="586"/>
      <c r="G94" s="586"/>
      <c r="H94" s="133"/>
      <c r="I94" s="586"/>
      <c r="J94" s="586"/>
      <c r="K94" s="133"/>
      <c r="L94" s="586"/>
      <c r="M94" s="521"/>
      <c r="N94" s="521"/>
      <c r="O94" s="521"/>
      <c r="P94" s="521"/>
    </row>
    <row customHeight="1" ht="14.25">
      <c r="A95" s="586"/>
      <c r="B95" s="586"/>
      <c r="C95" s="586"/>
      <c r="D95" s="586"/>
      <c r="E95" s="133"/>
      <c r="F95" s="586"/>
      <c r="G95" s="586"/>
      <c r="H95" s="133"/>
      <c r="I95" s="586"/>
      <c r="J95" s="586"/>
      <c r="K95" s="133"/>
      <c r="L95" s="586"/>
      <c r="M95" s="521"/>
      <c r="N95" s="521"/>
      <c r="O95" s="521"/>
      <c r="P95" s="521"/>
    </row>
    <row customHeight="1" ht="14.25">
      <c r="A96" s="586"/>
      <c r="B96" s="586"/>
      <c r="C96" s="586"/>
      <c r="D96" s="586"/>
      <c r="E96" s="333">
        <v>252343</v>
      </c>
      <c r="F96" s="586"/>
      <c r="G96" s="586"/>
      <c r="H96" s="333">
        <v>3486701</v>
      </c>
      <c r="I96" s="586"/>
      <c r="J96" s="731">
        <v>330378</v>
      </c>
      <c r="K96" s="333">
        <v>2974894</v>
      </c>
      <c r="L96" s="586"/>
      <c r="M96" s="521"/>
      <c r="N96" s="521"/>
      <c r="O96" s="521"/>
      <c r="P96" s="521"/>
    </row>
    <row customHeight="1" ht="14.25">
      <c r="A97" s="586"/>
      <c r="B97" s="586"/>
      <c r="C97" s="586"/>
      <c r="D97" s="586"/>
      <c r="E97" s="88"/>
      <c r="F97" s="586"/>
      <c r="G97" s="586"/>
      <c r="H97" s="88"/>
      <c r="I97" s="586"/>
      <c r="J97" s="732"/>
      <c r="K97" s="88"/>
      <c r="L97" s="586"/>
      <c r="M97" s="521"/>
      <c r="N97" s="521"/>
      <c r="O97" s="521"/>
      <c r="P97" s="521"/>
    </row>
    <row customHeight="1" ht="14.25">
      <c r="A98" s="586"/>
      <c r="B98" s="334"/>
      <c r="C98" s="586"/>
      <c r="D98" s="586"/>
      <c r="E98" s="88">
        <v>252343</v>
      </c>
      <c r="F98" s="586"/>
      <c r="G98" s="586"/>
      <c r="H98" s="88">
        <v>3486701</v>
      </c>
      <c r="I98" s="586"/>
      <c r="J98" s="732">
        <v>330378</v>
      </c>
      <c r="K98" s="88">
        <v>2974894</v>
      </c>
      <c r="L98" s="586"/>
      <c r="M98" s="521"/>
      <c r="N98" s="521"/>
      <c r="O98" s="521"/>
      <c r="P98" s="521"/>
    </row>
    <row customHeight="1" ht="14.25">
      <c r="A99" s="586"/>
      <c r="B99" s="335"/>
      <c r="C99" s="586"/>
      <c r="D99" s="586"/>
      <c r="E99" s="88"/>
      <c r="F99" s="586"/>
      <c r="G99" s="586"/>
      <c r="H99" s="88"/>
      <c r="I99" s="586"/>
      <c r="J99" s="732"/>
      <c r="K99" s="88"/>
      <c r="L99" s="586"/>
      <c r="M99" s="521"/>
      <c r="N99" s="521"/>
      <c r="O99" s="521"/>
      <c r="P99" s="521"/>
    </row>
    <row customHeight="1" ht="14.25">
      <c r="A100" s="586"/>
      <c r="B100" s="335"/>
      <c r="C100" s="586"/>
      <c r="D100" s="586"/>
      <c r="E100" s="88">
        <v>359</v>
      </c>
      <c r="F100" s="586"/>
      <c r="G100" s="586"/>
      <c r="H100" s="88">
        <v>22384</v>
      </c>
      <c r="I100" s="586"/>
      <c r="J100" s="732">
        <v>392</v>
      </c>
      <c r="K100" s="88">
        <v>3991</v>
      </c>
      <c r="L100" s="586"/>
      <c r="M100" s="521"/>
      <c r="N100" s="521"/>
      <c r="O100" s="521"/>
      <c r="P100" s="521"/>
    </row>
    <row customHeight="1" ht="14.25">
      <c r="A101" s="586"/>
      <c r="B101" s="335"/>
      <c r="C101" s="586"/>
      <c r="D101" s="586"/>
      <c r="E101" s="88"/>
      <c r="F101" s="586"/>
      <c r="G101" s="586"/>
      <c r="H101" s="88"/>
      <c r="I101" s="586"/>
      <c r="J101" s="732"/>
      <c r="K101" s="88"/>
      <c r="L101" s="586"/>
      <c r="M101" s="521"/>
      <c r="N101" s="521"/>
      <c r="O101" s="521"/>
      <c r="P101" s="521"/>
    </row>
    <row customHeight="1" ht="14.25">
      <c r="A102" s="586"/>
      <c r="B102" s="335"/>
      <c r="C102" s="586"/>
      <c r="D102" s="586"/>
      <c r="E102" s="88"/>
      <c r="F102" s="586"/>
      <c r="G102" s="586"/>
      <c r="H102" s="88"/>
      <c r="I102" s="586"/>
      <c r="J102" s="732"/>
      <c r="K102" s="88"/>
      <c r="L102" s="586"/>
      <c r="M102" s="521"/>
      <c r="N102" s="521"/>
      <c r="O102" s="521"/>
      <c r="P102" s="521"/>
    </row>
    <row customHeight="1" ht="14.25">
      <c r="A103" s="586"/>
      <c r="B103" s="335"/>
      <c r="C103" s="586"/>
      <c r="D103" s="586"/>
      <c r="E103" s="88"/>
      <c r="F103" s="586"/>
      <c r="G103" s="586"/>
      <c r="H103" s="88"/>
      <c r="I103" s="586"/>
      <c r="J103" s="732"/>
      <c r="K103" s="88"/>
      <c r="L103" s="586"/>
      <c r="M103" s="521"/>
      <c r="N103" s="521"/>
      <c r="O103" s="521"/>
      <c r="P103" s="521"/>
    </row>
    <row customHeight="1" ht="14.25">
      <c r="A104" s="586"/>
      <c r="B104" s="335"/>
      <c r="C104" s="586"/>
      <c r="D104" s="586"/>
      <c r="E104" s="88"/>
      <c r="F104" s="586"/>
      <c r="G104" s="586"/>
      <c r="H104" s="88"/>
      <c r="I104" s="586"/>
      <c r="J104" s="732"/>
      <c r="K104" s="88"/>
      <c r="L104" s="586"/>
      <c r="M104" s="521"/>
      <c r="N104" s="521"/>
      <c r="O104" s="521"/>
      <c r="P104" s="521"/>
    </row>
    <row customHeight="1" ht="14.25">
      <c r="A105" s="586"/>
      <c r="B105" s="335"/>
      <c r="C105" s="586"/>
      <c r="D105" s="586"/>
      <c r="E105" s="88"/>
      <c r="F105" s="586"/>
      <c r="G105" s="586"/>
      <c r="H105" s="88"/>
      <c r="I105" s="586"/>
      <c r="J105" s="732"/>
      <c r="K105" s="88"/>
      <c r="L105" s="586"/>
      <c r="M105" s="521"/>
      <c r="N105" s="521"/>
      <c r="O105" s="521"/>
      <c r="P105" s="521"/>
    </row>
    <row customHeight="1" ht="14.25">
      <c r="A106" s="586"/>
      <c r="B106" s="335"/>
      <c r="C106" s="586"/>
      <c r="D106" s="586"/>
      <c r="E106" s="88">
        <v>103741</v>
      </c>
      <c r="F106" s="586"/>
      <c r="G106" s="586"/>
      <c r="H106" s="88">
        <v>1239613</v>
      </c>
      <c r="I106" s="586"/>
      <c r="J106" s="732">
        <v>115149</v>
      </c>
      <c r="K106" s="88">
        <v>953245</v>
      </c>
      <c r="L106" s="586"/>
      <c r="M106" s="521"/>
      <c r="N106" s="521"/>
      <c r="O106" s="521"/>
      <c r="P106" s="521"/>
    </row>
    <row customHeight="1" ht="14.25">
      <c r="A107" s="586"/>
      <c r="B107" s="335"/>
      <c r="C107" s="586"/>
      <c r="D107" s="586"/>
      <c r="E107" s="88"/>
      <c r="F107" s="586"/>
      <c r="G107" s="586"/>
      <c r="H107" s="88"/>
      <c r="I107" s="586"/>
      <c r="J107" s="732"/>
      <c r="K107" s="88"/>
      <c r="L107" s="586"/>
      <c r="M107" s="521"/>
      <c r="N107" s="521"/>
      <c r="O107" s="521"/>
      <c r="P107" s="521"/>
    </row>
    <row customHeight="1" ht="14.25">
      <c r="A108" s="586"/>
      <c r="B108" s="335"/>
      <c r="C108" s="586"/>
      <c r="D108" s="586"/>
      <c r="E108" s="88"/>
      <c r="F108" s="586"/>
      <c r="G108" s="586"/>
      <c r="H108" s="88"/>
      <c r="I108" s="586"/>
      <c r="J108" s="732"/>
      <c r="K108" s="88"/>
      <c r="L108" s="586"/>
      <c r="M108" s="521"/>
      <c r="N108" s="521"/>
      <c r="O108" s="521"/>
      <c r="P108" s="521"/>
    </row>
    <row customHeight="1" ht="14.25">
      <c r="A109" s="586"/>
      <c r="B109" s="335"/>
      <c r="C109" s="586"/>
      <c r="D109" s="586"/>
      <c r="E109" s="88">
        <v>96093</v>
      </c>
      <c r="F109" s="586"/>
      <c r="G109" s="586"/>
      <c r="H109" s="88">
        <v>1140974</v>
      </c>
      <c r="I109" s="586"/>
      <c r="J109" s="732">
        <v>109008</v>
      </c>
      <c r="K109" s="88">
        <v>899933</v>
      </c>
      <c r="L109" s="586"/>
      <c r="M109" s="521"/>
      <c r="N109" s="521"/>
      <c r="O109" s="521"/>
      <c r="P109" s="521"/>
    </row>
    <row customHeight="1" ht="14.25">
      <c r="A110" s="586"/>
      <c r="B110" s="335"/>
      <c r="C110" s="586"/>
      <c r="D110" s="586"/>
      <c r="E110" s="88"/>
      <c r="F110" s="586"/>
      <c r="G110" s="586"/>
      <c r="H110" s="88"/>
      <c r="I110" s="586"/>
      <c r="J110" s="732"/>
      <c r="K110" s="88"/>
      <c r="L110" s="586"/>
      <c r="M110" s="521"/>
      <c r="N110" s="521"/>
      <c r="O110" s="521"/>
      <c r="P110" s="521"/>
    </row>
    <row customHeight="1" ht="14.25">
      <c r="A111" s="586"/>
      <c r="B111" s="335"/>
      <c r="C111" s="586"/>
      <c r="D111" s="586"/>
      <c r="E111" s="88">
        <v>18360</v>
      </c>
      <c r="F111" s="586"/>
      <c r="G111" s="586"/>
      <c r="H111" s="88">
        <v>208122</v>
      </c>
      <c r="I111" s="586"/>
      <c r="J111" s="732">
        <v>18222</v>
      </c>
      <c r="K111" s="88">
        <v>168339</v>
      </c>
      <c r="L111" s="586"/>
      <c r="M111" s="521"/>
      <c r="N111" s="521"/>
      <c r="O111" s="521"/>
      <c r="P111" s="521"/>
    </row>
    <row customHeight="1" ht="14.25">
      <c r="A112" s="586"/>
      <c r="B112" s="335"/>
      <c r="C112" s="586"/>
      <c r="D112" s="586"/>
      <c r="E112" s="88"/>
      <c r="F112" s="586"/>
      <c r="G112" s="586"/>
      <c r="H112" s="88"/>
      <c r="I112" s="586"/>
      <c r="J112" s="732"/>
      <c r="K112" s="88"/>
      <c r="L112" s="586"/>
      <c r="M112" s="521"/>
      <c r="N112" s="521"/>
      <c r="O112" s="521"/>
      <c r="P112" s="521"/>
    </row>
    <row customHeight="1" ht="14.25">
      <c r="A113" s="586"/>
      <c r="B113" s="335"/>
      <c r="C113" s="586"/>
      <c r="D113" s="586"/>
      <c r="E113" s="88">
        <v>50846</v>
      </c>
      <c r="F113" s="586"/>
      <c r="G113" s="586"/>
      <c r="H113" s="88">
        <v>610823</v>
      </c>
      <c r="I113" s="586"/>
      <c r="J113" s="732">
        <v>55968</v>
      </c>
      <c r="K113" s="88">
        <v>478921</v>
      </c>
      <c r="L113" s="586"/>
      <c r="M113" s="521"/>
      <c r="N113" s="521"/>
      <c r="O113" s="521"/>
      <c r="P113" s="521"/>
    </row>
    <row customHeight="1" ht="14.25">
      <c r="A114" s="586"/>
      <c r="B114" s="335"/>
      <c r="C114" s="586"/>
      <c r="D114" s="586"/>
      <c r="E114" s="88"/>
      <c r="F114" s="586"/>
      <c r="G114" s="586"/>
      <c r="H114" s="88"/>
      <c r="I114" s="586"/>
      <c r="J114" s="732"/>
      <c r="K114" s="88"/>
      <c r="L114" s="586"/>
      <c r="M114" s="521"/>
      <c r="N114" s="521"/>
      <c r="O114" s="521"/>
      <c r="P114" s="521"/>
    </row>
    <row customHeight="1" ht="14.25">
      <c r="A115" s="586"/>
      <c r="B115" s="335"/>
      <c r="C115" s="586"/>
      <c r="D115" s="586"/>
      <c r="E115" s="333">
        <v>101000</v>
      </c>
      <c r="F115" s="586"/>
      <c r="G115" s="586"/>
      <c r="H115" s="333">
        <v>1302390</v>
      </c>
      <c r="I115" s="586"/>
      <c r="J115" s="731">
        <v>123978</v>
      </c>
      <c r="K115" s="333">
        <v>1079507</v>
      </c>
      <c r="L115" s="586"/>
      <c r="M115" s="521"/>
      <c r="N115" s="521"/>
      <c r="O115" s="521"/>
      <c r="P115" s="521"/>
    </row>
    <row customHeight="1" ht="14.25">
      <c r="A116" s="586"/>
      <c r="B116" s="335"/>
      <c r="C116" s="586"/>
      <c r="D116" s="586"/>
      <c r="E116" s="333"/>
      <c r="F116" s="586"/>
      <c r="G116" s="586"/>
      <c r="H116" s="333"/>
      <c r="I116" s="586"/>
      <c r="J116" s="731"/>
      <c r="K116" s="333"/>
      <c r="L116" s="586"/>
      <c r="M116" s="521"/>
      <c r="N116" s="521"/>
      <c r="O116" s="521"/>
      <c r="P116" s="521"/>
    </row>
    <row customHeight="1" ht="14.25">
      <c r="A117" s="586"/>
      <c r="B117" s="335"/>
      <c r="C117" s="586"/>
      <c r="D117" s="586"/>
      <c r="E117" s="88">
        <v>13271</v>
      </c>
      <c r="F117" s="586"/>
      <c r="G117" s="586"/>
      <c r="H117" s="88">
        <v>166965</v>
      </c>
      <c r="I117" s="586"/>
      <c r="J117" s="732">
        <v>12597</v>
      </c>
      <c r="K117" s="88">
        <v>127693</v>
      </c>
      <c r="L117" s="586"/>
      <c r="M117" s="521"/>
      <c r="N117" s="521"/>
      <c r="O117" s="521"/>
      <c r="P117" s="521"/>
    </row>
    <row customHeight="1" ht="14.25">
      <c r="A118" s="586"/>
      <c r="B118" s="335"/>
      <c r="C118" s="586"/>
      <c r="D118" s="586"/>
      <c r="E118" s="88"/>
      <c r="F118" s="586"/>
      <c r="G118" s="586"/>
      <c r="H118" s="88"/>
      <c r="I118" s="586"/>
      <c r="J118" s="732"/>
      <c r="K118" s="88"/>
      <c r="L118" s="586"/>
      <c r="M118" s="521"/>
      <c r="N118" s="521"/>
      <c r="O118" s="521"/>
      <c r="P118" s="521"/>
    </row>
    <row customHeight="1" ht="14.25">
      <c r="A119" s="586"/>
      <c r="B119" s="335"/>
      <c r="C119" s="586"/>
      <c r="D119" s="586"/>
      <c r="E119" s="88">
        <v>76027</v>
      </c>
      <c r="F119" s="586"/>
      <c r="G119" s="586"/>
      <c r="H119" s="88">
        <v>889792</v>
      </c>
      <c r="I119" s="586"/>
      <c r="J119" s="732">
        <v>79776</v>
      </c>
      <c r="K119" s="88">
        <v>695518</v>
      </c>
      <c r="L119" s="586"/>
      <c r="M119" s="521"/>
      <c r="N119" s="521"/>
      <c r="O119" s="521"/>
      <c r="P119" s="521"/>
    </row>
    <row customHeight="1" ht="14.25">
      <c r="A120" s="586"/>
      <c r="B120" s="335"/>
      <c r="C120" s="586"/>
      <c r="D120" s="586"/>
      <c r="E120" s="88"/>
      <c r="F120" s="586"/>
      <c r="G120" s="586"/>
      <c r="H120" s="88"/>
      <c r="I120" s="586"/>
      <c r="J120" s="732"/>
      <c r="K120" s="88"/>
      <c r="L120" s="586"/>
      <c r="M120" s="521"/>
      <c r="N120" s="521"/>
      <c r="O120" s="521"/>
      <c r="P120" s="521"/>
    </row>
    <row customHeight="1" ht="14.25">
      <c r="A121" s="586"/>
      <c r="B121" s="335"/>
      <c r="C121" s="586"/>
      <c r="D121" s="586"/>
      <c r="E121" s="333">
        <v>69912</v>
      </c>
      <c r="F121" s="586"/>
      <c r="G121" s="586"/>
      <c r="H121" s="333">
        <v>1179895</v>
      </c>
      <c r="I121" s="586"/>
      <c r="J121" s="731">
        <v>92630</v>
      </c>
      <c r="K121" s="333">
        <v>946077</v>
      </c>
      <c r="L121" s="586"/>
      <c r="M121" s="521"/>
      <c r="N121" s="521"/>
      <c r="O121" s="521"/>
      <c r="P121" s="521"/>
    </row>
    <row customHeight="1" ht="14.25">
      <c r="A122" s="586"/>
      <c r="B122" s="335"/>
      <c r="C122" s="586"/>
      <c r="D122" s="586"/>
      <c r="E122" s="333"/>
      <c r="F122" s="586"/>
      <c r="G122" s="586"/>
      <c r="H122" s="333"/>
      <c r="I122" s="586"/>
      <c r="J122" s="731"/>
      <c r="K122" s="333"/>
      <c r="L122" s="586"/>
      <c r="M122" s="521"/>
      <c r="N122" s="521"/>
      <c r="O122" s="521"/>
      <c r="P122" s="521"/>
    </row>
    <row customHeight="1" ht="14.25">
      <c r="A123" s="586"/>
      <c r="B123" s="335"/>
      <c r="C123" s="586"/>
      <c r="D123" s="586"/>
      <c r="E123" s="88"/>
      <c r="F123" s="586"/>
      <c r="G123" s="586"/>
      <c r="H123" s="88"/>
      <c r="I123" s="586"/>
      <c r="J123" s="732"/>
      <c r="K123" s="88"/>
      <c r="L123" s="586"/>
      <c r="M123" s="521"/>
      <c r="N123" s="521"/>
      <c r="O123" s="521"/>
      <c r="P123" s="521"/>
    </row>
    <row customHeight="1" ht="14.25">
      <c r="A124" s="586"/>
      <c r="B124" s="335"/>
      <c r="C124" s="586"/>
      <c r="D124" s="586"/>
      <c r="E124" s="333">
        <v>24919</v>
      </c>
      <c r="F124" s="586"/>
      <c r="G124" s="586"/>
      <c r="H124" s="333">
        <v>62328</v>
      </c>
      <c r="I124" s="586"/>
      <c r="J124" s="731">
        <v>19856</v>
      </c>
      <c r="K124" s="333">
        <v>53258</v>
      </c>
      <c r="L124" s="586"/>
      <c r="M124" s="521"/>
      <c r="N124" s="521"/>
      <c r="O124" s="521"/>
      <c r="P124" s="521"/>
    </row>
    <row customHeight="1" ht="14.25">
      <c r="A125" s="586"/>
      <c r="B125" s="335"/>
      <c r="C125" s="586"/>
      <c r="D125" s="586"/>
      <c r="E125" s="333"/>
      <c r="F125" s="586"/>
      <c r="G125" s="586"/>
      <c r="H125" s="333"/>
      <c r="I125" s="586"/>
      <c r="J125" s="731"/>
      <c r="K125" s="333"/>
      <c r="L125" s="586"/>
      <c r="M125" s="521"/>
      <c r="N125" s="521"/>
      <c r="O125" s="521"/>
      <c r="P125" s="521"/>
    </row>
    <row customHeight="1" ht="14.25">
      <c r="A126" s="586"/>
      <c r="B126" s="335"/>
      <c r="C126" s="586"/>
      <c r="D126" s="586"/>
      <c r="E126" s="88"/>
      <c r="F126" s="586"/>
      <c r="G126" s="586"/>
      <c r="H126" s="88"/>
      <c r="I126" s="586"/>
      <c r="J126" s="732"/>
      <c r="K126" s="88"/>
      <c r="L126" s="586"/>
      <c r="M126" s="521"/>
      <c r="N126" s="521"/>
      <c r="O126" s="521"/>
      <c r="P126" s="521"/>
    </row>
    <row customHeight="1" ht="14.25">
      <c r="A127" s="586"/>
      <c r="B127" s="335"/>
      <c r="C127" s="586"/>
      <c r="D127" s="586"/>
      <c r="E127" s="333">
        <v>3449</v>
      </c>
      <c r="F127" s="586"/>
      <c r="G127" s="586"/>
      <c r="H127" s="333">
        <v>92927.94</v>
      </c>
      <c r="I127" s="586"/>
      <c r="J127" s="731">
        <v>7049</v>
      </c>
      <c r="K127" s="333">
        <v>80926.26</v>
      </c>
      <c r="L127" s="586"/>
      <c r="M127" s="521"/>
      <c r="N127" s="521"/>
      <c r="O127" s="521"/>
      <c r="P127" s="521"/>
    </row>
    <row customHeight="1" ht="14.25">
      <c r="A128" s="586"/>
      <c r="B128" s="335"/>
      <c r="C128" s="586"/>
      <c r="D128" s="586"/>
      <c r="E128" s="88"/>
      <c r="F128" s="586"/>
      <c r="G128" s="586"/>
      <c r="H128" s="88"/>
      <c r="I128" s="586"/>
      <c r="J128" s="732"/>
      <c r="K128" s="88"/>
      <c r="L128" s="586"/>
      <c r="M128" s="521"/>
      <c r="N128" s="521"/>
      <c r="O128" s="521"/>
      <c r="P128" s="521"/>
    </row>
    <row customHeight="1" ht="14.25">
      <c r="A129" s="586"/>
      <c r="B129" s="335"/>
      <c r="C129" s="586"/>
      <c r="D129" s="586"/>
      <c r="E129" s="333">
        <v>6708</v>
      </c>
      <c r="F129" s="586"/>
      <c r="G129" s="586"/>
      <c r="H129" s="333">
        <v>68867.4</v>
      </c>
      <c r="I129" s="586"/>
      <c r="J129" s="731">
        <v>6972</v>
      </c>
      <c r="K129" s="333">
        <v>65902</v>
      </c>
      <c r="L129" s="586"/>
      <c r="M129" s="521"/>
      <c r="N129" s="521"/>
      <c r="O129" s="521"/>
      <c r="P129" s="521"/>
    </row>
    <row customHeight="1" ht="14.25">
      <c r="A130" s="586"/>
      <c r="B130" s="335"/>
      <c r="C130" s="586"/>
      <c r="D130" s="586"/>
      <c r="E130" s="88"/>
      <c r="F130" s="586"/>
      <c r="G130" s="586"/>
      <c r="H130" s="88"/>
      <c r="I130" s="586"/>
      <c r="J130" s="732"/>
      <c r="K130" s="88"/>
      <c r="L130" s="586"/>
      <c r="M130" s="521"/>
      <c r="N130" s="521"/>
      <c r="O130" s="521"/>
      <c r="P130" s="521"/>
    </row>
    <row customHeight="1" ht="14.25">
      <c r="A131" s="586"/>
      <c r="B131" s="335"/>
      <c r="C131" s="586"/>
      <c r="D131" s="586"/>
      <c r="E131" s="333"/>
      <c r="F131" s="586"/>
      <c r="G131" s="586"/>
      <c r="H131" s="333"/>
      <c r="I131" s="586"/>
      <c r="J131" s="731"/>
      <c r="K131" s="333"/>
      <c r="L131" s="586"/>
      <c r="M131" s="521"/>
      <c r="N131" s="521"/>
      <c r="O131" s="521"/>
      <c r="P131" s="521"/>
    </row>
    <row customHeight="1" ht="14.25">
      <c r="A132" s="586"/>
      <c r="B132" s="335"/>
      <c r="C132" s="586"/>
      <c r="D132" s="586"/>
      <c r="E132" s="88"/>
      <c r="F132" s="586"/>
      <c r="G132" s="586"/>
      <c r="H132" s="88"/>
      <c r="I132" s="586"/>
      <c r="J132" s="732"/>
      <c r="K132" s="88"/>
      <c r="L132" s="586"/>
      <c r="M132" s="521"/>
      <c r="N132" s="521"/>
      <c r="O132" s="521"/>
      <c r="P132" s="521"/>
    </row>
    <row customHeight="1" ht="14.25">
      <c r="A133" s="586"/>
      <c r="B133" s="335"/>
      <c r="C133" s="586"/>
      <c r="D133" s="586"/>
      <c r="E133" s="333">
        <v>35524</v>
      </c>
      <c r="F133" s="586"/>
      <c r="G133" s="586"/>
      <c r="H133" s="333">
        <v>475773</v>
      </c>
      <c r="I133" s="586"/>
      <c r="J133" s="731">
        <v>59234</v>
      </c>
      <c r="K133" s="333">
        <v>585397</v>
      </c>
      <c r="L133" s="586"/>
      <c r="M133" s="521"/>
      <c r="N133" s="521"/>
      <c r="O133" s="521"/>
      <c r="P133" s="521"/>
    </row>
    <row customHeight="1" ht="14.25">
      <c r="A134" s="586"/>
      <c r="B134" s="335"/>
      <c r="C134" s="586"/>
      <c r="D134" s="586"/>
      <c r="E134" s="88"/>
      <c r="F134" s="586"/>
      <c r="G134" s="586"/>
      <c r="H134" s="88"/>
      <c r="I134" s="586"/>
      <c r="J134" s="732"/>
      <c r="K134" s="88"/>
      <c r="L134" s="586"/>
      <c r="M134" s="521"/>
      <c r="N134" s="521"/>
      <c r="O134" s="521"/>
      <c r="P134" s="521"/>
    </row>
    <row customHeight="1" ht="14.25">
      <c r="A135" s="586"/>
      <c r="B135" s="335"/>
      <c r="C135" s="586"/>
      <c r="D135" s="586"/>
      <c r="E135" s="333">
        <v>1282</v>
      </c>
      <c r="F135" s="586"/>
      <c r="G135" s="586"/>
      <c r="H135" s="333">
        <v>6464</v>
      </c>
      <c r="I135" s="586"/>
      <c r="J135" s="731">
        <v>2032</v>
      </c>
      <c r="K135" s="333">
        <v>13396</v>
      </c>
      <c r="L135" s="586"/>
      <c r="M135" s="521"/>
      <c r="N135" s="521"/>
      <c r="O135" s="521"/>
      <c r="P135" s="521"/>
    </row>
    <row customHeight="1" ht="14.25">
      <c r="A136" s="586"/>
      <c r="B136" s="335"/>
      <c r="C136" s="586"/>
      <c r="D136" s="586"/>
      <c r="E136" s="88"/>
      <c r="F136" s="586"/>
      <c r="G136" s="586"/>
      <c r="H136" s="88"/>
      <c r="I136" s="586"/>
      <c r="J136" s="732"/>
      <c r="K136" s="88"/>
      <c r="L136" s="586"/>
      <c r="M136" s="521"/>
      <c r="N136" s="521"/>
      <c r="O136" s="521"/>
      <c r="P136" s="521"/>
    </row>
    <row customHeight="1" ht="14.25">
      <c r="A137" s="586"/>
      <c r="B137" s="586"/>
      <c r="C137" s="586"/>
      <c r="D137" s="586"/>
      <c r="E137" s="333">
        <v>236.26</v>
      </c>
      <c r="F137" s="586"/>
      <c r="G137" s="586"/>
      <c r="H137" s="333">
        <v>3295.16</v>
      </c>
      <c r="I137" s="586"/>
      <c r="J137" s="731">
        <v>275</v>
      </c>
      <c r="K137" s="333">
        <v>2150</v>
      </c>
      <c r="L137" s="586"/>
      <c r="M137" s="521"/>
      <c r="N137" s="521"/>
      <c r="O137" s="521"/>
      <c r="P137" s="521"/>
    </row>
    <row customHeight="1" ht="14.25">
      <c r="A138" s="586"/>
      <c r="B138" s="661"/>
      <c r="C138" s="586"/>
      <c r="D138" s="586"/>
      <c r="E138" s="88"/>
      <c r="F138" s="586"/>
      <c r="G138" s="586"/>
      <c r="H138" s="88"/>
      <c r="I138" s="586"/>
      <c r="J138" s="732"/>
      <c r="K138" s="88"/>
      <c r="L138" s="586"/>
      <c r="M138" s="521"/>
      <c r="N138" s="521"/>
      <c r="O138" s="521"/>
      <c r="P138" s="521"/>
    </row>
    <row customHeight="1" ht="14.25">
      <c r="A139" s="586"/>
      <c r="B139" s="586"/>
      <c r="C139" s="586"/>
      <c r="D139" s="586"/>
      <c r="E139" s="333"/>
      <c r="F139" s="586"/>
      <c r="G139" s="586"/>
      <c r="H139" s="333"/>
      <c r="I139" s="586"/>
      <c r="J139" s="731"/>
      <c r="K139" s="333"/>
      <c r="L139" s="586"/>
      <c r="M139" s="521"/>
      <c r="N139" s="521"/>
      <c r="O139" s="521"/>
      <c r="P139" s="521"/>
    </row>
    <row customHeight="1" ht="14.25">
      <c r="A140" s="586"/>
      <c r="B140" s="661"/>
      <c r="C140" s="586"/>
      <c r="D140" s="586"/>
      <c r="E140" s="88"/>
      <c r="F140" s="586"/>
      <c r="G140" s="586"/>
      <c r="H140" s="88"/>
      <c r="I140" s="586"/>
      <c r="J140" s="732"/>
      <c r="K140" s="88"/>
      <c r="L140" s="586"/>
      <c r="M140" s="521"/>
      <c r="N140" s="521"/>
      <c r="O140" s="521"/>
      <c r="P140" s="521"/>
    </row>
    <row customHeight="1" ht="14.25">
      <c r="A141" s="586"/>
      <c r="B141" s="661"/>
      <c r="C141" s="586"/>
      <c r="D141" s="586"/>
      <c r="E141" s="333">
        <v>11497</v>
      </c>
      <c r="F141" s="586"/>
      <c r="G141" s="586"/>
      <c r="H141" s="333">
        <v>159824</v>
      </c>
      <c r="I141" s="586"/>
      <c r="J141" s="731">
        <v>14610</v>
      </c>
      <c r="K141" s="333">
        <v>127117</v>
      </c>
      <c r="L141" s="586"/>
      <c r="M141" s="521"/>
      <c r="N141" s="521"/>
      <c r="O141" s="521"/>
      <c r="P141" s="521"/>
    </row>
    <row customHeight="1" ht="14.25">
      <c r="A142" s="586"/>
      <c r="B142" s="661"/>
      <c r="C142" s="586"/>
      <c r="D142" s="586"/>
      <c r="E142" s="88"/>
      <c r="F142" s="586"/>
      <c r="G142" s="586"/>
      <c r="H142" s="88"/>
      <c r="I142" s="586"/>
      <c r="J142" s="732"/>
      <c r="K142" s="88"/>
      <c r="L142" s="586"/>
      <c r="M142" s="521"/>
      <c r="N142" s="521"/>
      <c r="O142" s="521"/>
      <c r="P142" s="521"/>
    </row>
    <row customHeight="1" ht="14.25">
      <c r="A143" s="586"/>
      <c r="B143" s="586"/>
      <c r="C143" s="586"/>
      <c r="D143" s="586"/>
      <c r="E143" s="333"/>
      <c r="F143" s="586"/>
      <c r="G143" s="586"/>
      <c r="H143" s="333"/>
      <c r="I143" s="586"/>
      <c r="J143" s="731"/>
      <c r="K143" s="333"/>
      <c r="L143" s="586"/>
      <c r="M143" s="521"/>
      <c r="N143" s="521"/>
      <c r="O143" s="521"/>
      <c r="P143" s="521"/>
    </row>
    <row customHeight="1" ht="14.25">
      <c r="A144" s="586"/>
      <c r="B144" s="586"/>
      <c r="C144" s="586"/>
      <c r="D144" s="586"/>
      <c r="E144" s="333">
        <v>4562</v>
      </c>
      <c r="F144" s="586"/>
      <c r="G144" s="586"/>
      <c r="H144" s="333">
        <v>46122</v>
      </c>
      <c r="I144" s="586"/>
      <c r="J144" s="731">
        <v>4445</v>
      </c>
      <c r="K144" s="333">
        <v>43570</v>
      </c>
      <c r="L144" s="586"/>
      <c r="M144" s="521"/>
      <c r="N144" s="521"/>
      <c r="O144" s="521"/>
      <c r="P144" s="521"/>
    </row>
    <row customHeight="1" ht="14.25">
      <c r="A145" s="586"/>
      <c r="B145" s="586"/>
      <c r="C145" s="586"/>
      <c r="D145" s="586"/>
      <c r="E145" s="333">
        <v>6598</v>
      </c>
      <c r="F145" s="586"/>
      <c r="G145" s="586"/>
      <c r="H145" s="333">
        <v>79240</v>
      </c>
      <c r="I145" s="586"/>
      <c r="J145" s="731">
        <v>7545</v>
      </c>
      <c r="K145" s="333">
        <v>63806</v>
      </c>
      <c r="L145" s="586"/>
      <c r="M145" s="521"/>
      <c r="N145" s="521"/>
      <c r="O145" s="521"/>
      <c r="P145" s="521"/>
    </row>
    <row customHeight="1" ht="14.25">
      <c r="A146" s="586"/>
      <c r="B146" s="586"/>
      <c r="C146" s="586"/>
      <c r="D146" s="586"/>
      <c r="E146" s="333">
        <v>1266</v>
      </c>
      <c r="F146" s="586"/>
      <c r="G146" s="586"/>
      <c r="H146" s="333">
        <v>36917</v>
      </c>
      <c r="I146" s="586"/>
      <c r="J146" s="731">
        <v>2311</v>
      </c>
      <c r="K146" s="333">
        <v>21660</v>
      </c>
      <c r="L146" s="586"/>
      <c r="M146" s="521"/>
      <c r="N146" s="521"/>
      <c r="O146" s="521"/>
      <c r="P146" s="521"/>
    </row>
    <row customHeight="1" ht="14.25">
      <c r="A147" s="586"/>
      <c r="B147" s="586"/>
      <c r="C147" s="586"/>
      <c r="D147" s="586"/>
      <c r="E147" s="88"/>
      <c r="F147" s="586"/>
      <c r="G147" s="586"/>
      <c r="H147" s="88"/>
      <c r="I147" s="586"/>
      <c r="J147" s="732"/>
      <c r="K147" s="88"/>
      <c r="L147" s="586"/>
      <c r="M147" s="521"/>
      <c r="N147" s="521"/>
      <c r="O147" s="521"/>
      <c r="P147" s="521"/>
    </row>
    <row customHeight="1" ht="14.25">
      <c r="A148" s="586"/>
      <c r="B148" s="586"/>
      <c r="C148" s="586"/>
      <c r="D148" s="586"/>
      <c r="E148" s="333">
        <v>1918</v>
      </c>
      <c r="F148" s="586"/>
      <c r="G148" s="586"/>
      <c r="H148" s="333">
        <v>25322</v>
      </c>
      <c r="I148" s="586"/>
      <c r="J148" s="731">
        <v>2471</v>
      </c>
      <c r="K148" s="333">
        <v>22099</v>
      </c>
      <c r="L148" s="586"/>
      <c r="M148" s="521"/>
      <c r="N148" s="521"/>
      <c r="O148" s="521"/>
      <c r="P148" s="521"/>
    </row>
    <row customHeight="1" ht="14.25">
      <c r="A149" s="586"/>
      <c r="B149" s="586"/>
      <c r="C149" s="586"/>
      <c r="D149" s="586"/>
      <c r="E149" s="333">
        <v>16</v>
      </c>
      <c r="F149" s="586"/>
      <c r="G149" s="586"/>
      <c r="H149" s="333">
        <v>1424</v>
      </c>
      <c r="I149" s="586"/>
      <c r="J149" s="731">
        <v>45</v>
      </c>
      <c r="K149" s="333">
        <v>540</v>
      </c>
      <c r="L149" s="586"/>
      <c r="M149" s="521"/>
      <c r="N149" s="521"/>
      <c r="O149" s="521"/>
      <c r="P149" s="521"/>
    </row>
    <row customHeight="1" ht="14.25">
      <c r="A150" s="586"/>
      <c r="B150" s="586"/>
      <c r="C150" s="586"/>
      <c r="D150" s="586"/>
      <c r="E150" s="333"/>
      <c r="F150" s="586"/>
      <c r="G150" s="586"/>
      <c r="H150" s="333"/>
      <c r="I150" s="586"/>
      <c r="J150" s="731"/>
      <c r="K150" s="333"/>
      <c r="L150" s="586"/>
      <c r="M150" s="521"/>
      <c r="N150" s="521"/>
      <c r="O150" s="521"/>
      <c r="P150" s="521"/>
    </row>
    <row customHeight="1" ht="14.25">
      <c r="A151" s="586"/>
      <c r="B151" s="586"/>
      <c r="C151" s="586"/>
      <c r="D151" s="586"/>
      <c r="E151" s="333"/>
      <c r="F151" s="586"/>
      <c r="G151" s="586"/>
      <c r="H151" s="333"/>
      <c r="I151" s="586"/>
      <c r="J151" s="731"/>
      <c r="K151" s="333"/>
      <c r="L151" s="586"/>
      <c r="M151" s="521"/>
      <c r="N151" s="521"/>
      <c r="O151" s="521"/>
      <c r="P151" s="521"/>
    </row>
    <row customHeight="1" ht="14.25">
      <c r="A152" s="586"/>
      <c r="B152" s="586"/>
      <c r="C152" s="586"/>
      <c r="D152" s="586"/>
      <c r="E152" s="333">
        <v>5</v>
      </c>
      <c r="F152" s="586"/>
      <c r="G152" s="586"/>
      <c r="H152" s="333">
        <v>55</v>
      </c>
      <c r="I152" s="586"/>
      <c r="J152" s="731">
        <v>6</v>
      </c>
      <c r="K152" s="333">
        <v>46</v>
      </c>
      <c r="L152" s="586"/>
      <c r="M152" s="521"/>
      <c r="N152" s="521"/>
      <c r="O152" s="521"/>
      <c r="P152" s="521"/>
    </row>
    <row customHeight="1" ht="14.25">
      <c r="A153" s="586"/>
      <c r="B153" s="586"/>
      <c r="C153" s="586"/>
      <c r="D153" s="586"/>
      <c r="E153" s="88"/>
      <c r="F153" s="586"/>
      <c r="G153" s="586"/>
      <c r="H153" s="88"/>
      <c r="I153" s="586"/>
      <c r="J153" s="732"/>
      <c r="K153" s="88"/>
      <c r="L153" s="586"/>
      <c r="M153" s="521"/>
      <c r="N153" s="521"/>
      <c r="O153" s="521"/>
      <c r="P153" s="521"/>
    </row>
    <row customHeight="1" ht="14.25">
      <c r="A154" s="586"/>
      <c r="B154" s="586"/>
      <c r="C154" s="586"/>
      <c r="D154" s="586"/>
      <c r="E154" s="333">
        <v>14043.47</v>
      </c>
      <c r="F154" s="586"/>
      <c r="G154" s="586"/>
      <c r="H154" s="333">
        <v>165580.77</v>
      </c>
      <c r="I154" s="586"/>
      <c r="J154" s="731">
        <v>15479.5</v>
      </c>
      <c r="K154" s="333">
        <v>969429.12</v>
      </c>
      <c r="L154" s="586"/>
      <c r="M154" s="521"/>
      <c r="N154" s="521"/>
      <c r="O154" s="521"/>
      <c r="P154" s="521"/>
    </row>
    <row customHeight="1" ht="14.25">
      <c r="A155" s="586"/>
      <c r="B155" s="586"/>
      <c r="C155" s="586"/>
      <c r="D155" s="586"/>
      <c r="E155" s="333">
        <v>252343</v>
      </c>
      <c r="F155" s="586"/>
      <c r="G155" s="586"/>
      <c r="H155" s="333">
        <v>3486701</v>
      </c>
      <c r="I155" s="586"/>
      <c r="J155" s="731">
        <v>330378</v>
      </c>
      <c r="K155" s="333">
        <v>18284295</v>
      </c>
      <c r="L155" s="586"/>
      <c r="M155" s="521"/>
      <c r="N155" s="521"/>
      <c r="O155" s="521"/>
      <c r="P155" s="521"/>
    </row>
    <row customHeight="1" ht="14.25">
      <c r="A156" s="586"/>
      <c r="B156" s="586"/>
      <c r="C156" s="586"/>
      <c r="D156" s="586"/>
      <c r="E156" s="88"/>
      <c r="F156" s="586"/>
      <c r="G156" s="586"/>
      <c r="H156" s="88"/>
      <c r="I156" s="586"/>
      <c r="J156" s="732"/>
      <c r="K156" s="88"/>
      <c r="L156" s="586"/>
      <c r="M156" s="521"/>
      <c r="N156" s="521"/>
      <c r="O156" s="521"/>
      <c r="P156" s="521"/>
    </row>
    <row customHeight="1" ht="14.25">
      <c r="A157" s="586"/>
      <c r="B157" s="586"/>
      <c r="C157" s="586"/>
      <c r="D157" s="586"/>
      <c r="E157" s="333">
        <v>125317</v>
      </c>
      <c r="F157" s="586"/>
      <c r="G157" s="586"/>
      <c r="H157" s="333">
        <v>1694679</v>
      </c>
      <c r="I157" s="586"/>
      <c r="J157" s="731">
        <v>159013</v>
      </c>
      <c r="K157" s="333">
        <v>1433855</v>
      </c>
      <c r="L157" s="586"/>
      <c r="M157" s="521"/>
      <c r="N157" s="521"/>
      <c r="O157" s="521"/>
      <c r="P157" s="521"/>
    </row>
    <row customHeight="1" ht="14.25">
      <c r="A158" s="586"/>
      <c r="B158" s="586"/>
      <c r="C158" s="586"/>
      <c r="D158" s="586"/>
      <c r="E158" s="333">
        <v>252343</v>
      </c>
      <c r="F158" s="586"/>
      <c r="G158" s="586"/>
      <c r="H158" s="333">
        <v>3486701</v>
      </c>
      <c r="I158" s="586"/>
      <c r="J158" s="731">
        <v>330378</v>
      </c>
      <c r="K158" s="333">
        <v>2974894</v>
      </c>
      <c r="L158" s="586"/>
      <c r="M158" s="521"/>
      <c r="N158" s="521"/>
      <c r="O158" s="521"/>
      <c r="P158" s="521"/>
    </row>
    <row customHeight="1" ht="14.25">
      <c r="A159" s="586"/>
      <c r="B159" s="586"/>
      <c r="C159" s="586"/>
      <c r="D159" s="586"/>
      <c r="E159" s="88"/>
      <c r="F159" s="586"/>
      <c r="G159" s="586"/>
      <c r="H159" s="88"/>
      <c r="I159" s="586"/>
      <c r="J159" s="732"/>
      <c r="K159" s="88"/>
      <c r="L159" s="586"/>
      <c r="M159" s="521"/>
      <c r="N159" s="521"/>
      <c r="O159" s="521"/>
      <c r="P159" s="521"/>
    </row>
    <row customHeight="1" ht="14.25">
      <c r="A160" s="586"/>
      <c r="B160" s="586"/>
      <c r="C160" s="586"/>
      <c r="D160" s="586"/>
      <c r="E160" s="333">
        <v>90452</v>
      </c>
      <c r="F160" s="586"/>
      <c r="G160" s="586"/>
      <c r="H160" s="333">
        <v>1080580</v>
      </c>
      <c r="I160" s="586"/>
      <c r="J160" s="731">
        <v>100147</v>
      </c>
      <c r="K160" s="333">
        <v>828942</v>
      </c>
      <c r="L160" s="586"/>
      <c r="M160" s="521"/>
      <c r="N160" s="521"/>
      <c r="O160" s="521"/>
      <c r="P160" s="521"/>
    </row>
    <row customHeight="1" ht="14.25">
      <c r="A161" s="586"/>
      <c r="B161" s="586"/>
      <c r="C161" s="586"/>
      <c r="D161" s="586"/>
      <c r="E161" s="333">
        <v>103741</v>
      </c>
      <c r="F161" s="586"/>
      <c r="G161" s="586"/>
      <c r="H161" s="333">
        <v>1239613</v>
      </c>
      <c r="I161" s="586"/>
      <c r="J161" s="731">
        <v>115149</v>
      </c>
      <c r="K161" s="333">
        <v>953245</v>
      </c>
      <c r="L161" s="586"/>
      <c r="M161" s="521"/>
      <c r="N161" s="521"/>
      <c r="O161" s="521"/>
      <c r="P161" s="521"/>
    </row>
    <row customHeight="1" ht="14.25">
      <c r="A162" s="586"/>
      <c r="B162" s="586"/>
      <c r="C162" s="586"/>
      <c r="D162" s="586"/>
      <c r="E162" s="88"/>
      <c r="F162" s="586"/>
      <c r="G162" s="586"/>
      <c r="H162" s="88"/>
      <c r="I162" s="586"/>
      <c r="J162" s="732"/>
      <c r="K162" s="88"/>
      <c r="L162" s="586"/>
      <c r="M162" s="521"/>
      <c r="N162" s="521"/>
      <c r="O162" s="521"/>
      <c r="P162" s="521"/>
    </row>
    <row customHeight="1" ht="14.25">
      <c r="A163" s="586"/>
      <c r="B163" s="586"/>
      <c r="C163" s="586"/>
      <c r="D163" s="586"/>
      <c r="E163" s="333">
        <v>73195</v>
      </c>
      <c r="F163" s="586"/>
      <c r="G163" s="586"/>
      <c r="H163" s="333">
        <v>870090</v>
      </c>
      <c r="I163" s="586"/>
      <c r="J163" s="731">
        <v>80017</v>
      </c>
      <c r="K163" s="333">
        <v>655441</v>
      </c>
      <c r="L163" s="586"/>
      <c r="M163" s="521"/>
      <c r="N163" s="521"/>
      <c r="O163" s="521"/>
      <c r="P163" s="521"/>
    </row>
    <row customHeight="1" ht="14.25">
      <c r="A164" s="586"/>
      <c r="B164" s="586"/>
      <c r="C164" s="586"/>
      <c r="D164" s="586"/>
      <c r="E164" s="333">
        <v>103741</v>
      </c>
      <c r="F164" s="586"/>
      <c r="G164" s="586"/>
      <c r="H164" s="333">
        <v>1239613</v>
      </c>
      <c r="I164" s="586"/>
      <c r="J164" s="731">
        <v>115149</v>
      </c>
      <c r="K164" s="333">
        <v>953245</v>
      </c>
      <c r="L164" s="586"/>
      <c r="M164" s="521"/>
      <c r="N164" s="521"/>
      <c r="O164" s="521"/>
      <c r="P164" s="521"/>
    </row>
    <row customHeight="1" ht="14.25">
      <c r="A165" s="586"/>
      <c r="B165" s="586"/>
      <c r="C165" s="586"/>
      <c r="D165" s="586"/>
      <c r="E165" s="88"/>
      <c r="F165" s="586"/>
      <c r="G165" s="586"/>
      <c r="H165" s="88"/>
      <c r="I165" s="586"/>
      <c r="J165" s="732"/>
      <c r="K165" s="88"/>
      <c r="L165" s="586"/>
      <c r="M165" s="521"/>
      <c r="N165" s="521"/>
      <c r="O165" s="521"/>
      <c r="P165" s="521"/>
    </row>
    <row customHeight="1" ht="14.25">
      <c r="A166" s="586"/>
      <c r="B166" s="586"/>
      <c r="C166" s="586"/>
      <c r="D166" s="586"/>
      <c r="E166" s="333">
        <v>17257</v>
      </c>
      <c r="F166" s="586"/>
      <c r="G166" s="586"/>
      <c r="H166" s="333">
        <v>210490</v>
      </c>
      <c r="I166" s="586"/>
      <c r="J166" s="731">
        <v>20130</v>
      </c>
      <c r="K166" s="333">
        <v>173501</v>
      </c>
      <c r="L166" s="586"/>
      <c r="M166" s="521"/>
      <c r="N166" s="521"/>
      <c r="O166" s="521"/>
      <c r="P166" s="521"/>
    </row>
    <row customHeight="1" ht="14.25">
      <c r="A167" s="586"/>
      <c r="B167" s="586"/>
      <c r="C167" s="586"/>
      <c r="D167" s="586"/>
      <c r="E167" s="333">
        <v>103741</v>
      </c>
      <c r="F167" s="586"/>
      <c r="G167" s="586"/>
      <c r="H167" s="333">
        <v>1239613</v>
      </c>
      <c r="I167" s="586"/>
      <c r="J167" s="731">
        <v>115149</v>
      </c>
      <c r="K167" s="333">
        <v>953245</v>
      </c>
      <c r="L167" s="586"/>
      <c r="M167" s="521"/>
      <c r="N167" s="521"/>
      <c r="O167" s="521"/>
      <c r="P167" s="521"/>
    </row>
    <row customHeight="1" ht="14.25">
      <c r="A168" s="586"/>
      <c r="B168" s="586"/>
      <c r="C168" s="586"/>
      <c r="D168" s="586"/>
      <c r="E168" s="88"/>
      <c r="F168" s="586"/>
      <c r="G168" s="586"/>
      <c r="H168" s="88"/>
      <c r="I168" s="586"/>
      <c r="J168" s="732"/>
      <c r="K168" s="88"/>
      <c r="L168" s="586"/>
      <c r="M168" s="521"/>
      <c r="N168" s="521"/>
      <c r="O168" s="521"/>
      <c r="P168" s="521"/>
    </row>
    <row customHeight="1" ht="14.25">
      <c r="A169" s="586"/>
      <c r="B169" s="586"/>
      <c r="C169" s="586"/>
      <c r="D169" s="586"/>
      <c r="E169" s="333">
        <v>17150</v>
      </c>
      <c r="F169" s="586"/>
      <c r="G169" s="586"/>
      <c r="H169" s="333">
        <v>194394</v>
      </c>
      <c r="I169" s="586"/>
      <c r="J169" s="731">
        <v>17008</v>
      </c>
      <c r="K169" s="333">
        <v>157115</v>
      </c>
      <c r="L169" s="586"/>
      <c r="M169" s="521"/>
      <c r="N169" s="521"/>
      <c r="O169" s="521"/>
      <c r="P169" s="521"/>
    </row>
    <row customHeight="1" ht="14.25">
      <c r="A170" s="586"/>
      <c r="B170" s="586"/>
      <c r="C170" s="586"/>
      <c r="D170" s="586"/>
      <c r="E170" s="333">
        <v>18360</v>
      </c>
      <c r="F170" s="586"/>
      <c r="G170" s="586"/>
      <c r="H170" s="333">
        <v>208122</v>
      </c>
      <c r="I170" s="586"/>
      <c r="J170" s="731">
        <v>18222</v>
      </c>
      <c r="K170" s="333">
        <v>168339</v>
      </c>
      <c r="L170" s="586"/>
      <c r="M170" s="521"/>
      <c r="N170" s="521"/>
      <c r="O170" s="521"/>
      <c r="P170" s="521"/>
    </row>
    <row customHeight="1" ht="14.25">
      <c r="A171" s="586"/>
      <c r="B171" s="586"/>
      <c r="C171" s="586"/>
      <c r="D171" s="586"/>
      <c r="E171" s="88"/>
      <c r="F171" s="586"/>
      <c r="G171" s="586"/>
      <c r="H171" s="88"/>
      <c r="I171" s="586"/>
      <c r="J171" s="732"/>
      <c r="K171" s="88"/>
      <c r="L171" s="586"/>
      <c r="M171" s="521"/>
      <c r="N171" s="521"/>
      <c r="O171" s="521"/>
      <c r="P171" s="521"/>
    </row>
    <row customHeight="1" ht="14.25">
      <c r="A172" s="586"/>
      <c r="B172" s="586"/>
      <c r="C172" s="586"/>
      <c r="D172" s="586"/>
      <c r="E172" s="333">
        <v>50305</v>
      </c>
      <c r="F172" s="586"/>
      <c r="G172" s="586"/>
      <c r="H172" s="333">
        <v>604135</v>
      </c>
      <c r="I172" s="586"/>
      <c r="J172" s="731">
        <v>55357</v>
      </c>
      <c r="K172" s="333">
        <v>473595</v>
      </c>
      <c r="L172" s="586"/>
      <c r="M172" s="521"/>
      <c r="N172" s="521"/>
      <c r="O172" s="521"/>
      <c r="P172" s="521"/>
    </row>
    <row customHeight="1" ht="14.25">
      <c r="A173" s="586"/>
      <c r="B173" s="586"/>
      <c r="C173" s="586"/>
      <c r="D173" s="586"/>
      <c r="E173" s="333">
        <v>50846</v>
      </c>
      <c r="F173" s="586"/>
      <c r="G173" s="586"/>
      <c r="H173" s="333">
        <v>610823</v>
      </c>
      <c r="I173" s="586"/>
      <c r="J173" s="731">
        <v>55968</v>
      </c>
      <c r="K173" s="333">
        <v>478921</v>
      </c>
      <c r="L173" s="586"/>
      <c r="M173" s="521"/>
      <c r="N173" s="521"/>
      <c r="O173" s="521"/>
      <c r="P173" s="521"/>
    </row>
    <row customHeight="1" ht="14.25">
      <c r="A174" s="586"/>
      <c r="B174" s="586"/>
      <c r="C174" s="586"/>
      <c r="D174" s="586"/>
      <c r="E174" s="88"/>
      <c r="F174" s="586"/>
      <c r="G174" s="586"/>
      <c r="H174" s="88"/>
      <c r="I174" s="586"/>
      <c r="J174" s="732"/>
      <c r="K174" s="88"/>
      <c r="L174" s="586"/>
      <c r="M174" s="521"/>
      <c r="N174" s="521"/>
      <c r="O174" s="521"/>
      <c r="P174" s="521"/>
    </row>
    <row customHeight="1" ht="14.25">
      <c r="A175" s="586"/>
      <c r="B175" s="586"/>
      <c r="C175" s="586"/>
      <c r="D175" s="586"/>
      <c r="E175" s="333">
        <v>100215</v>
      </c>
      <c r="F175" s="586"/>
      <c r="G175" s="586"/>
      <c r="H175" s="333">
        <v>1290881</v>
      </c>
      <c r="I175" s="586"/>
      <c r="J175" s="731">
        <v>122783</v>
      </c>
      <c r="K175" s="333">
        <v>1068777</v>
      </c>
      <c r="L175" s="586"/>
      <c r="M175" s="521"/>
      <c r="N175" s="521"/>
      <c r="O175" s="521"/>
      <c r="P175" s="521"/>
    </row>
    <row customHeight="1" ht="14.25">
      <c r="A176" s="586"/>
      <c r="B176" s="586"/>
      <c r="C176" s="586"/>
      <c r="D176" s="586"/>
      <c r="E176" s="333">
        <v>101000</v>
      </c>
      <c r="F176" s="586"/>
      <c r="G176" s="586"/>
      <c r="H176" s="333">
        <v>1302390</v>
      </c>
      <c r="I176" s="586"/>
      <c r="J176" s="731">
        <v>123978</v>
      </c>
      <c r="K176" s="333">
        <v>1079507</v>
      </c>
      <c r="L176" s="586"/>
      <c r="M176" s="521"/>
      <c r="N176" s="521"/>
      <c r="O176" s="521"/>
      <c r="P176" s="521"/>
    </row>
    <row customHeight="1" ht="14.25">
      <c r="A177" s="586"/>
      <c r="B177" s="586"/>
      <c r="C177" s="586"/>
      <c r="D177" s="586"/>
      <c r="E177" s="88"/>
      <c r="F177" s="586"/>
      <c r="G177" s="586"/>
      <c r="H177" s="88"/>
      <c r="I177" s="586"/>
      <c r="J177" s="732"/>
      <c r="K177" s="88"/>
      <c r="L177" s="586"/>
      <c r="M177" s="521"/>
      <c r="N177" s="521"/>
      <c r="O177" s="521"/>
      <c r="P177" s="521"/>
    </row>
    <row customHeight="1" ht="14.25">
      <c r="A178" s="586"/>
      <c r="B178" s="586"/>
      <c r="C178" s="586"/>
      <c r="D178" s="586"/>
      <c r="E178" s="88"/>
      <c r="F178" s="586"/>
      <c r="G178" s="586"/>
      <c r="H178" s="88"/>
      <c r="I178" s="586"/>
      <c r="J178" s="732"/>
      <c r="K178" s="88"/>
      <c r="L178" s="586"/>
      <c r="M178" s="521"/>
      <c r="N178" s="521"/>
      <c r="O178" s="521"/>
      <c r="P178" s="521"/>
    </row>
    <row customHeight="1" ht="14.25">
      <c r="A179" s="586"/>
      <c r="B179" s="586"/>
      <c r="C179" s="586"/>
      <c r="D179" s="586"/>
      <c r="E179" s="88"/>
      <c r="F179" s="586"/>
      <c r="G179" s="586"/>
      <c r="H179" s="88"/>
      <c r="I179" s="586"/>
      <c r="J179" s="732"/>
      <c r="K179" s="88"/>
      <c r="L179" s="586"/>
      <c r="M179" s="521"/>
      <c r="N179" s="521"/>
      <c r="O179" s="521"/>
      <c r="P179" s="521"/>
    </row>
    <row customHeight="1" ht="14.25">
      <c r="A180" s="586"/>
      <c r="B180" s="586"/>
      <c r="C180" s="586"/>
      <c r="D180" s="586"/>
      <c r="E180" s="88">
        <v>249474</v>
      </c>
      <c r="F180" s="586"/>
      <c r="G180" s="586"/>
      <c r="H180" s="88">
        <v>3457436.3</v>
      </c>
      <c r="I180" s="586"/>
      <c r="J180" s="732">
        <v>328164</v>
      </c>
      <c r="K180" s="88">
        <v>2950277</v>
      </c>
      <c r="L180" s="586"/>
      <c r="M180" s="521"/>
      <c r="N180" s="521"/>
      <c r="O180" s="521"/>
      <c r="P180" s="521"/>
    </row>
    <row customHeight="1" ht="14.25">
      <c r="A181" s="586"/>
      <c r="B181" s="586"/>
      <c r="C181" s="586"/>
      <c r="D181" s="586"/>
      <c r="E181" s="88">
        <v>263840</v>
      </c>
      <c r="F181" s="586"/>
      <c r="G181" s="586"/>
      <c r="H181" s="88">
        <v>3646525</v>
      </c>
      <c r="I181" s="586"/>
      <c r="J181" s="732">
        <v>344988</v>
      </c>
      <c r="K181" s="88">
        <v>3102011</v>
      </c>
      <c r="L181" s="586"/>
      <c r="M181" s="521"/>
      <c r="N181" s="521"/>
      <c r="O181" s="521"/>
      <c r="P181" s="521"/>
    </row>
    <row customHeight="1" ht="14.25">
      <c r="A182" s="586"/>
      <c r="B182" s="586"/>
      <c r="C182" s="586"/>
      <c r="D182" s="586"/>
      <c r="E182" s="88"/>
      <c r="F182" s="586"/>
      <c r="G182" s="586"/>
      <c r="H182" s="88"/>
      <c r="I182" s="586"/>
      <c r="J182" s="732"/>
      <c r="K182" s="88"/>
      <c r="L182" s="586"/>
      <c r="M182" s="521"/>
      <c r="N182" s="521"/>
      <c r="O182" s="521"/>
      <c r="P182" s="521"/>
    </row>
    <row customHeight="1" ht="14.25">
      <c r="A183" s="586"/>
      <c r="B183" s="586"/>
      <c r="C183" s="586"/>
      <c r="D183" s="586"/>
      <c r="E183" s="88"/>
      <c r="F183" s="586"/>
      <c r="G183" s="586"/>
      <c r="H183" s="88"/>
      <c r="I183" s="586"/>
      <c r="J183" s="732"/>
      <c r="K183" s="88"/>
      <c r="L183" s="586"/>
      <c r="M183" s="521"/>
      <c r="N183" s="521"/>
      <c r="O183" s="521"/>
      <c r="P183" s="521"/>
    </row>
    <row customHeight="1" ht="14.25">
      <c r="A184" s="586"/>
      <c r="B184" s="586"/>
      <c r="C184" s="586"/>
      <c r="D184" s="586"/>
      <c r="E184" s="88">
        <v>12426</v>
      </c>
      <c r="F184" s="586"/>
      <c r="G184" s="586"/>
      <c r="H184" s="88">
        <v>162286</v>
      </c>
      <c r="I184" s="586"/>
      <c r="J184" s="732">
        <v>14301</v>
      </c>
      <c r="K184" s="88">
        <v>129036</v>
      </c>
      <c r="L184" s="586"/>
      <c r="M184" s="521"/>
      <c r="N184" s="521"/>
      <c r="O184" s="521"/>
      <c r="P184" s="521"/>
    </row>
    <row customHeight="1" ht="14.25">
      <c r="A185" s="586"/>
      <c r="B185" s="586"/>
      <c r="C185" s="586"/>
      <c r="D185" s="586"/>
      <c r="E185" s="88">
        <v>263840</v>
      </c>
      <c r="F185" s="586"/>
      <c r="G185" s="586"/>
      <c r="H185" s="88">
        <v>3646525</v>
      </c>
      <c r="I185" s="586"/>
      <c r="J185" s="732">
        <v>344988</v>
      </c>
      <c r="K185" s="88">
        <v>3102011</v>
      </c>
      <c r="L185" s="586"/>
      <c r="M185" s="521"/>
      <c r="N185" s="521"/>
      <c r="O185" s="521"/>
      <c r="P185" s="521"/>
    </row>
    <row customHeight="1" ht="14.25">
      <c r="A186" s="586"/>
      <c r="B186" s="586"/>
      <c r="C186" s="586"/>
      <c r="D186" s="586"/>
      <c r="E186" s="88"/>
      <c r="F186" s="586"/>
      <c r="G186" s="586"/>
      <c r="H186" s="88"/>
      <c r="I186" s="586"/>
      <c r="J186" s="732"/>
      <c r="K186" s="88"/>
      <c r="L186" s="586"/>
      <c r="M186" s="521"/>
      <c r="N186" s="521"/>
      <c r="O186" s="521"/>
      <c r="P186" s="521"/>
    </row>
    <row customHeight="1" ht="14.25">
      <c r="A187" s="586"/>
      <c r="B187" s="586"/>
      <c r="C187" s="586"/>
      <c r="D187" s="586"/>
      <c r="E187" s="88">
        <v>1939</v>
      </c>
      <c r="F187" s="586"/>
      <c r="G187" s="586"/>
      <c r="H187" s="88">
        <v>26801</v>
      </c>
      <c r="I187" s="586"/>
      <c r="J187" s="732">
        <v>2522</v>
      </c>
      <c r="K187" s="88">
        <v>22685</v>
      </c>
      <c r="L187" s="586"/>
      <c r="M187" s="521"/>
      <c r="N187" s="521"/>
      <c r="O187" s="521"/>
      <c r="P187" s="521"/>
    </row>
    <row customHeight="1" ht="14.25">
      <c r="A188" s="586"/>
      <c r="B188" s="586"/>
      <c r="C188" s="586"/>
      <c r="D188" s="586"/>
      <c r="E188" s="88">
        <v>263840</v>
      </c>
      <c r="F188" s="586"/>
      <c r="G188" s="586"/>
      <c r="H188" s="88">
        <v>3646525</v>
      </c>
      <c r="I188" s="586"/>
      <c r="J188" s="732">
        <v>344988</v>
      </c>
      <c r="K188" s="88">
        <v>3102011</v>
      </c>
      <c r="L188" s="586"/>
      <c r="M188" s="521"/>
      <c r="N188" s="521"/>
      <c r="O188" s="521"/>
      <c r="P188" s="521"/>
    </row>
    <row customHeight="1" ht="14.25">
      <c r="A189" s="586"/>
      <c r="B189" s="586"/>
      <c r="C189" s="586"/>
      <c r="D189" s="586"/>
      <c r="E189" s="88"/>
      <c r="F189" s="586"/>
      <c r="G189" s="586"/>
      <c r="H189" s="88"/>
      <c r="I189" s="586"/>
      <c r="J189" s="732"/>
      <c r="K189" s="88"/>
      <c r="L189" s="586"/>
      <c r="M189" s="521"/>
      <c r="N189" s="521"/>
      <c r="O189" s="521"/>
      <c r="P189" s="521"/>
    </row>
    <row customHeight="1" ht="14.25">
      <c r="A190" s="586"/>
      <c r="B190" s="586"/>
      <c r="C190" s="586"/>
      <c r="D190" s="586"/>
      <c r="E190" s="88"/>
      <c r="F190" s="586"/>
      <c r="G190" s="586"/>
      <c r="H190" s="88"/>
      <c r="I190" s="586"/>
      <c r="J190" s="732"/>
      <c r="K190" s="88"/>
      <c r="L190" s="586"/>
      <c r="M190" s="521"/>
      <c r="N190" s="521"/>
      <c r="O190" s="521"/>
      <c r="P190" s="521"/>
    </row>
    <row customHeight="1" ht="14.25">
      <c r="A191" s="586"/>
      <c r="B191" s="586"/>
      <c r="C191" s="586"/>
      <c r="D191" s="586"/>
      <c r="E191" s="88">
        <v>1939</v>
      </c>
      <c r="F191" s="586"/>
      <c r="G191" s="586"/>
      <c r="H191" s="88">
        <v>26801</v>
      </c>
      <c r="I191" s="586"/>
      <c r="J191" s="732">
        <v>2522</v>
      </c>
      <c r="K191" s="88">
        <v>22685</v>
      </c>
      <c r="L191" s="586"/>
      <c r="M191" s="521"/>
      <c r="N191" s="521"/>
      <c r="O191" s="521"/>
      <c r="P191" s="521"/>
    </row>
    <row customHeight="1" ht="14.25">
      <c r="A192" s="586"/>
      <c r="B192" s="586"/>
      <c r="C192" s="586"/>
      <c r="D192" s="586"/>
      <c r="E192" s="88">
        <v>263840</v>
      </c>
      <c r="F192" s="586"/>
      <c r="G192" s="586"/>
      <c r="H192" s="88">
        <v>3646525</v>
      </c>
      <c r="I192" s="586"/>
      <c r="J192" s="732">
        <v>344988</v>
      </c>
      <c r="K192" s="88">
        <v>3102011</v>
      </c>
      <c r="L192" s="586"/>
      <c r="M192" s="521"/>
      <c r="N192" s="521"/>
      <c r="O192" s="521"/>
      <c r="P192" s="521"/>
    </row>
    <row customHeight="1" ht="14.25">
      <c r="A193" s="586"/>
      <c r="B193" s="586"/>
      <c r="C193" s="586"/>
      <c r="D193" s="586"/>
      <c r="E193" s="88"/>
      <c r="F193" s="586"/>
      <c r="G193" s="586"/>
      <c r="H193" s="88"/>
      <c r="I193" s="586"/>
      <c r="J193" s="732"/>
      <c r="K193" s="88"/>
      <c r="L193" s="586"/>
      <c r="M193" s="521"/>
      <c r="N193" s="521"/>
      <c r="O193" s="521"/>
      <c r="P193" s="521"/>
    </row>
    <row customHeight="1" ht="14.25">
      <c r="A194" s="586"/>
      <c r="B194" s="586"/>
      <c r="C194" s="586"/>
      <c r="D194" s="586"/>
      <c r="E194" s="88">
        <v>259963.26</v>
      </c>
      <c r="F194" s="586"/>
      <c r="G194" s="586"/>
      <c r="H194" s="88">
        <v>3444219.56</v>
      </c>
      <c r="I194" s="586"/>
      <c r="J194" s="732">
        <v>320677</v>
      </c>
      <c r="K194" s="88">
        <v>2924408</v>
      </c>
      <c r="L194" s="586"/>
      <c r="M194" s="521"/>
      <c r="N194" s="521"/>
      <c r="O194" s="521"/>
      <c r="P194" s="521"/>
    </row>
    <row customHeight="1" ht="14.25">
      <c r="A195" s="586"/>
      <c r="B195" s="586"/>
      <c r="C195" s="586"/>
      <c r="D195" s="586"/>
      <c r="E195" s="88"/>
      <c r="F195" s="586"/>
      <c r="G195" s="586"/>
      <c r="H195" s="88"/>
      <c r="I195" s="586"/>
      <c r="J195" s="732"/>
      <c r="K195" s="88"/>
      <c r="L195" s="586"/>
      <c r="M195" s="521"/>
      <c r="N195" s="521"/>
      <c r="O195" s="521"/>
      <c r="P195" s="521"/>
    </row>
    <row customHeight="1" ht="14.25">
      <c r="A196" s="586"/>
      <c r="B196" s="586"/>
      <c r="C196" s="586"/>
      <c r="D196" s="586"/>
      <c r="E196" s="88"/>
      <c r="F196" s="586"/>
      <c r="G196" s="586"/>
      <c r="H196" s="88"/>
      <c r="I196" s="586"/>
      <c r="J196" s="732"/>
      <c r="K196" s="88"/>
      <c r="L196" s="586"/>
      <c r="M196" s="521"/>
      <c r="N196" s="521"/>
      <c r="O196" s="521"/>
      <c r="P196" s="521"/>
    </row>
    <row customHeight="1" ht="14.25">
      <c r="A197" s="586"/>
      <c r="B197" s="586"/>
      <c r="C197" s="586"/>
      <c r="D197" s="586"/>
      <c r="E197" s="88">
        <v>4589</v>
      </c>
      <c r="F197" s="586"/>
      <c r="G197" s="586"/>
      <c r="H197" s="88">
        <v>18254</v>
      </c>
      <c r="I197" s="586"/>
      <c r="J197" s="732">
        <v>5335</v>
      </c>
      <c r="K197" s="88">
        <v>16271</v>
      </c>
      <c r="L197" s="586"/>
      <c r="M197" s="521"/>
      <c r="N197" s="521"/>
      <c r="O197" s="521"/>
      <c r="P197" s="521"/>
    </row>
    <row customHeight="1" ht="14.25">
      <c r="A198" s="586"/>
      <c r="B198" s="586"/>
      <c r="C198" s="586"/>
      <c r="D198" s="586"/>
      <c r="E198" s="88"/>
      <c r="F198" s="586"/>
      <c r="G198" s="586"/>
      <c r="H198" s="88"/>
      <c r="I198" s="586"/>
      <c r="J198" s="732"/>
      <c r="K198" s="88"/>
      <c r="L198" s="586"/>
      <c r="M198" s="521"/>
      <c r="N198" s="521"/>
      <c r="O198" s="521"/>
      <c r="P198" s="521"/>
    </row>
    <row customHeight="1" ht="14.25">
      <c r="A199" s="586"/>
      <c r="B199" s="586"/>
      <c r="C199" s="586"/>
      <c r="D199" s="586"/>
      <c r="E199" s="88">
        <v>259963</v>
      </c>
      <c r="F199" s="586"/>
      <c r="G199" s="586"/>
      <c r="H199" s="88">
        <v>3444219.26</v>
      </c>
      <c r="I199" s="586"/>
      <c r="J199" s="732">
        <v>320677</v>
      </c>
      <c r="K199" s="88">
        <v>2924408</v>
      </c>
      <c r="L199" s="586"/>
      <c r="M199" s="521"/>
      <c r="N199" s="521"/>
      <c r="O199" s="521"/>
      <c r="P199" s="521"/>
    </row>
    <row customHeight="1" ht="14.25">
      <c r="A200" s="586"/>
      <c r="B200" s="586"/>
      <c r="C200" s="586"/>
      <c r="D200" s="586"/>
      <c r="E200" s="88">
        <v>259963</v>
      </c>
      <c r="F200" s="586"/>
      <c r="G200" s="586"/>
      <c r="H200" s="88">
        <v>3444219.26</v>
      </c>
      <c r="I200" s="586"/>
      <c r="J200" s="732">
        <v>320677</v>
      </c>
      <c r="K200" s="88">
        <v>2924408</v>
      </c>
      <c r="L200" s="586"/>
      <c r="M200" s="521"/>
      <c r="N200" s="521"/>
      <c r="O200" s="521"/>
      <c r="P200" s="521"/>
    </row>
    <row customHeight="1" ht="14.25">
      <c r="A201" s="586"/>
      <c r="B201" s="586"/>
      <c r="C201" s="586"/>
      <c r="D201" s="586"/>
      <c r="E201" s="133"/>
      <c r="F201" s="586"/>
      <c r="G201" s="586"/>
      <c r="H201" s="133"/>
      <c r="I201" s="586"/>
      <c r="J201" s="586"/>
      <c r="K201" s="133"/>
      <c r="L201" s="586"/>
      <c r="M201" s="521"/>
      <c r="N201" s="521"/>
      <c r="O201" s="521"/>
      <c r="P201" s="521"/>
    </row>
    <row customHeight="1" ht="14.25">
      <c r="A202" s="586"/>
      <c r="B202" s="586"/>
      <c r="C202" s="586"/>
      <c r="D202" s="586"/>
      <c r="E202" s="133"/>
      <c r="F202" s="586"/>
      <c r="G202" s="586"/>
      <c r="H202" s="133"/>
      <c r="I202" s="586"/>
      <c r="J202" s="586"/>
      <c r="K202" s="133"/>
      <c r="L202" s="586"/>
      <c r="M202" s="521"/>
      <c r="N202" s="521"/>
      <c r="O202" s="521"/>
      <c r="P202" s="521"/>
    </row>
    <row customHeight="1" ht="14.25">
      <c r="A203" s="586"/>
      <c r="B203" s="586"/>
      <c r="C203" s="586"/>
      <c r="D203" s="586"/>
      <c r="E203" s="133"/>
      <c r="F203" s="586"/>
      <c r="G203" s="586"/>
      <c r="H203" s="133"/>
      <c r="I203" s="586"/>
      <c r="J203" s="586"/>
      <c r="K203" s="133"/>
      <c r="L203" s="586"/>
      <c r="M203" s="521"/>
      <c r="N203" s="521"/>
      <c r="O203" s="521"/>
      <c r="P203" s="521"/>
    </row>
    <row customHeight="1" ht="14.25">
      <c r="A204" s="586"/>
      <c r="B204" s="586"/>
      <c r="C204" s="586"/>
      <c r="D204" s="586"/>
      <c r="E204" s="133" t="s">
        <v>155</v>
      </c>
      <c r="F204" s="586"/>
      <c r="G204" s="586"/>
      <c r="H204" s="133"/>
      <c r="I204" s="586"/>
      <c r="J204" s="586"/>
      <c r="K204" s="133"/>
      <c r="L204" s="586"/>
      <c r="M204" s="521"/>
      <c r="N204" s="521"/>
      <c r="O204" s="521"/>
      <c r="P204" s="521"/>
    </row>
    <row customHeight="1" ht="14.25">
      <c r="A205" s="586"/>
      <c r="B205" s="335"/>
      <c r="C205" s="586"/>
      <c r="D205" s="586"/>
      <c r="E205" s="333">
        <v>2428</v>
      </c>
      <c r="F205" s="586"/>
      <c r="G205" s="586"/>
      <c r="H205" s="333">
        <v>12811.74</v>
      </c>
      <c r="I205" s="586"/>
      <c r="J205" s="731"/>
      <c r="K205" s="333"/>
      <c r="L205" s="586"/>
      <c r="M205" s="521"/>
      <c r="N205" s="521"/>
      <c r="O205" s="521"/>
      <c r="P205" s="521"/>
    </row>
    <row customHeight="1" ht="14.25">
      <c r="A206" s="586"/>
      <c r="B206" s="586"/>
      <c r="C206" s="586"/>
      <c r="D206" s="586"/>
      <c r="E206" s="133"/>
      <c r="F206" s="586"/>
      <c r="G206" s="586"/>
      <c r="H206" s="133"/>
      <c r="I206" s="586"/>
      <c r="J206" s="586"/>
      <c r="K206" s="133"/>
      <c r="L206" s="586"/>
      <c r="M206" s="521"/>
      <c r="N206" s="521"/>
      <c r="O206" s="521"/>
      <c r="P206" s="521"/>
    </row>
    <row customHeight="1" ht="14.25">
      <c r="A207" s="586"/>
      <c r="B207" s="586"/>
      <c r="C207" s="586"/>
      <c r="D207" s="586"/>
      <c r="E207" s="133"/>
      <c r="F207" s="586"/>
      <c r="G207" s="586"/>
      <c r="H207" s="133"/>
      <c r="I207" s="586"/>
      <c r="J207" s="88"/>
      <c r="K207" s="88"/>
      <c r="L207" s="586"/>
      <c r="M207" s="521" t="s">
        <v>156</v>
      </c>
      <c r="N207" s="521"/>
      <c r="O207" s="521"/>
      <c r="P207" s="521"/>
    </row>
    <row customHeight="1" ht="14.25">
      <c r="A208" s="586"/>
      <c r="B208" s="586"/>
      <c r="C208" s="586"/>
      <c r="D208" s="586"/>
      <c r="E208" s="133"/>
      <c r="F208" s="586"/>
      <c r="G208" s="586"/>
      <c r="H208" s="133"/>
      <c r="I208" s="586"/>
      <c r="J208" s="586"/>
      <c r="K208" s="133"/>
      <c r="L208" s="586"/>
      <c r="M208" s="521"/>
      <c r="N208" s="521"/>
      <c r="O208" s="521"/>
      <c r="P208" s="521"/>
    </row>
    <row customHeight="1" ht="14.25">
      <c r="A209" s="586"/>
      <c r="B209" s="586"/>
      <c r="C209" s="586"/>
      <c r="D209" s="586"/>
      <c r="E209" s="133"/>
      <c r="F209" s="586"/>
      <c r="G209" s="586"/>
      <c r="H209" s="133"/>
      <c r="I209" s="586"/>
      <c r="J209" s="586"/>
      <c r="K209" s="133"/>
      <c r="L209" s="586"/>
      <c r="M209" s="521"/>
      <c r="N209" s="521"/>
      <c r="O209" s="521"/>
      <c r="P209" s="521"/>
    </row>
    <row customHeight="1" ht="14.25">
      <c r="A210" s="586"/>
      <c r="B210" s="586"/>
      <c r="C210" s="586"/>
      <c r="D210" s="586"/>
      <c r="E210" s="133"/>
      <c r="F210" s="586"/>
      <c r="G210" s="586"/>
      <c r="H210" s="133"/>
      <c r="I210" s="586"/>
      <c r="J210" s="586"/>
      <c r="K210" s="133"/>
      <c r="L210" s="586"/>
      <c r="M210" s="521"/>
      <c r="N210" s="521"/>
      <c r="O210" s="521"/>
      <c r="P210" s="521"/>
    </row>
  </sheetData>
  <mergeCells count="12">
    <mergeCell ref="B1:L1"/>
    <mergeCell ref="C2:I2"/>
    <mergeCell ref="J2:L2"/>
    <mergeCell ref="D3:F3"/>
    <mergeCell ref="G3:I3"/>
    <mergeCell ref="J3:K3"/>
    <mergeCell ref="C93:F93"/>
    <mergeCell ref="G93:I93"/>
    <mergeCell ref="K93:L93"/>
    <mergeCell ref="B3:B4"/>
    <mergeCell ref="C3:C4"/>
    <mergeCell ref="L3:L4"/>
  </mergeCells>
  <conditionalFormatting sqref="J100:K100">
    <cfRule type="cellIs" priority="6" dxfId="0" operator="equal">
      <formula>"#SQL(""LH_PRO_ONE_MTD"",""VALUE"","":where{NAME="</formula>
    </cfRule>
  </conditionalFormatting>
  <conditionalFormatting sqref="J102:K102">
    <cfRule type="cellIs" priority="5" dxfId="1" operator="equal">
      <formula>"#SQL(""LH_PRO_ONE_MTD"",""VALUE"","":where{NAME="</formula>
    </cfRule>
  </conditionalFormatting>
  <conditionalFormatting sqref="J104:K104">
    <cfRule type="cellIs" priority="3" dxfId="2" operator="equal">
      <formula>"#SQL(""LH_PRO_ONE_MTD"",""VALUE"","":where{NAME="</formula>
    </cfRule>
  </conditionalFormatting>
  <conditionalFormatting sqref="J105:K105">
    <cfRule type="cellIs" priority="4" dxfId="3" operator="equal">
      <formula>"#SQL(""LH_PRO_ONE_MTD"",""VALUE"","":where{NAME="</formula>
    </cfRule>
  </conditionalFormatting>
  <conditionalFormatting sqref="J205:K205">
    <cfRule type="cellIs" priority="1" dxfId="4" operator="equal">
      <formula>"#SQL(""LH_PRO_ONE_MTD"",""VALUE"","":where{NAME="</formula>
    </cfRule>
  </conditionalFormatting>
  <conditionalFormatting sqref="A1:XFD4 A5:C99 H5:XFD66 E5:F99 G44:G45 G208:G1048576 A206:F1048576 H206:XFD1048576 A201:XFD204 L106:XFD200 A106:I200 M104:XFD105 A104:D105 L103:XFD103 A103:I103 M102:XFD102 A102:D102 L101:XFD101 A101:I101 M100:XFD100 A100:D100 D89:D99 I67:XFD67 L96:XFD99 H96:I99 H68:XFD95 G89:G99">
    <cfRule type="cellIs" priority="13" dxfId="5" operator="equal">
      <formula>"#SQL(""LH_PRO_ONE_MTD"",""VALUE"","":where{NAME="</formula>
    </cfRule>
  </conditionalFormatting>
  <conditionalFormatting sqref="H205:I205 G43 L205:XFD205 A205:F205">
    <cfRule type="cellIs" priority="2" dxfId="6" operator="equal">
      <formula>"#SQL(""LH_PRO_ONE_MTD"",""VALUE"","":where{NAME="</formula>
    </cfRule>
  </conditionalFormatting>
  <conditionalFormatting sqref="J96:K99 J106:K200 J101:K101 J103:K103">
    <cfRule type="cellIs" priority="7" dxfId="7" operator="equal">
      <formula>"#SQL(""LH_PRO_ONE_MTD"",""VALUE"","":where{NAME="</formula>
    </cfRule>
  </conditionalFormatting>
  <conditionalFormatting sqref="E100:I100 L100">
    <cfRule type="cellIs" priority="11" dxfId="8" operator="equal">
      <formula>"#SQL(""LH_PRO_ONE_MTD"",""VALUE"","":where{NAME="</formula>
    </cfRule>
  </conditionalFormatting>
  <conditionalFormatting sqref="E102:I102 L102">
    <cfRule type="cellIs" priority="10" dxfId="9" operator="equal">
      <formula>"#SQL(""LH_PRO_ONE_MTD"",""VALUE"","":where{NAME="</formula>
    </cfRule>
  </conditionalFormatting>
  <conditionalFormatting sqref="E104:I104 L104">
    <cfRule type="cellIs" priority="8" dxfId="10" operator="equal">
      <formula>"#SQL(""LH_PRO_ONE_MTD"",""VALUE"","":where{NAME="</formula>
    </cfRule>
  </conditionalFormatting>
  <conditionalFormatting sqref="E105:I105 L105">
    <cfRule type="cellIs" priority="9" dxfId="11" operator="equal">
      <formula>"#SQL(""LH_PRO_ONE_MTD"",""VALUE"","":where{NAME="</formula>
    </cfRule>
  </conditionalFormatting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6C3ABEC-1268-6BD9-660F-1DADA5CBCF1B}" mc:Ignorable="x14ac xr xr2 xr3">
  <dimension ref="A1:N147"/>
  <sheetViews>
    <sheetView showGridLines="0"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defaultColWidth="9.00390625" customHeight="1" defaultRowHeight="14.4525"/>
  <cols>
    <col min="1" max="1" style="179" width="2.7109375" customWidth="1"/>
    <col min="2" max="2" style="179" width="31.00390625" customWidth="1"/>
    <col min="3" max="3" style="179" width="7.7109375" customWidth="1"/>
    <col min="4" max="12" style="179" width="10.7109375" customWidth="1"/>
    <col min="13" max="14" style="52" width="9.00390625" hidden="1"/>
  </cols>
  <sheetData>
    <row customHeight="1" ht="25.5">
      <c r="A1" s="384"/>
      <c r="B1" s="432" t="s">
        <v>157</v>
      </c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4"/>
      <c r="N1" s="434"/>
    </row>
    <row s="178" customFormat="1" customHeight="1" ht="18.75">
      <c r="A2" s="435"/>
      <c r="B2" s="546" t="s">
        <v>1</v>
      </c>
      <c r="C2" s="547" t="s">
        <v>2</v>
      </c>
      <c r="D2" s="547"/>
      <c r="E2" s="547"/>
      <c r="F2" s="547"/>
      <c r="G2" s="547"/>
      <c r="H2" s="547"/>
      <c r="I2" s="547"/>
      <c r="J2" s="550" t="s">
        <v>3</v>
      </c>
      <c r="K2" s="550"/>
      <c r="L2" s="550"/>
      <c r="M2" s="439"/>
      <c r="N2" s="439"/>
    </row>
    <row customHeight="1" ht="14.25">
      <c r="A3" s="384"/>
      <c r="B3" s="185" t="s">
        <v>4</v>
      </c>
      <c r="C3" s="186" t="s">
        <v>5</v>
      </c>
      <c r="D3" s="186" t="s">
        <v>6</v>
      </c>
      <c r="E3" s="186"/>
      <c r="F3" s="186"/>
      <c r="G3" s="186" t="s">
        <v>7</v>
      </c>
      <c r="H3" s="186"/>
      <c r="I3" s="186"/>
      <c r="J3" s="693" t="s">
        <v>8</v>
      </c>
      <c r="K3" s="693"/>
      <c r="L3" s="215" t="s">
        <v>9</v>
      </c>
      <c r="M3" s="434"/>
      <c r="N3" s="434"/>
    </row>
    <row customHeight="1" ht="14.25">
      <c r="A4" s="384"/>
      <c r="B4" s="188"/>
      <c r="C4" s="189"/>
      <c r="D4" s="189" t="s">
        <v>10</v>
      </c>
      <c r="E4" s="189" t="s">
        <v>11</v>
      </c>
      <c r="F4" s="189" t="s">
        <v>12</v>
      </c>
      <c r="G4" s="189" t="s">
        <v>13</v>
      </c>
      <c r="H4" s="189" t="s">
        <v>14</v>
      </c>
      <c r="I4" s="189" t="s">
        <v>12</v>
      </c>
      <c r="J4" s="451" t="s">
        <v>15</v>
      </c>
      <c r="K4" s="451" t="s">
        <v>16</v>
      </c>
      <c r="L4" s="452"/>
      <c r="M4" s="434"/>
      <c r="N4" s="434"/>
    </row>
    <row customHeight="1" ht="14.25">
      <c r="A5" s="384"/>
      <c r="B5" s="453" t="s">
        <v>17</v>
      </c>
      <c r="C5" s="500"/>
      <c r="D5" s="695"/>
      <c r="E5" s="451"/>
      <c r="F5" s="501"/>
      <c r="G5" s="695"/>
      <c r="H5" s="459"/>
      <c r="I5" s="501"/>
      <c r="J5" s="451"/>
      <c r="K5" s="451"/>
      <c r="L5" s="460"/>
      <c r="M5" s="434"/>
      <c r="N5" s="434"/>
    </row>
    <row customHeight="1" ht="14.25">
      <c r="A6" s="384"/>
      <c r="B6" s="461" t="s">
        <v>18</v>
      </c>
      <c r="C6" s="454" t="s">
        <v>19</v>
      </c>
      <c r="D6" s="462" t="str">
        <f>_xlfn.IFERROR(IF(榆炼取值!D6=0,"",榆炼取值!D6),"")</f>
        <v/>
      </c>
      <c r="E6" s="481">
        <f>_xlfn.IFERROR(SUM(E7:E15),"")</f>
        <v>556890</v>
      </c>
      <c r="F6" s="463"/>
      <c r="G6" s="462" t="str">
        <f>_xlfn.IFERROR(IF(榆炼取值!G6=0,"",榆炼取值!G6),"")</f>
        <v/>
      </c>
      <c r="H6" s="456">
        <f>_xlfn.IFERROR(SUM(H7:H15),"")</f>
        <v>4627070</v>
      </c>
      <c r="I6" s="501"/>
      <c r="J6" s="464">
        <v>438402</v>
      </c>
      <c r="K6" s="464">
        <v>5230269</v>
      </c>
      <c r="L6" s="460">
        <f>_xlfn.IFERROR(H6-K6,"")</f>
        <v>-603199</v>
      </c>
      <c r="M6" s="434"/>
      <c r="N6" s="434"/>
    </row>
    <row customHeight="1" ht="14.25">
      <c r="A7" s="384"/>
      <c r="B7" s="461" t="s">
        <v>20</v>
      </c>
      <c r="C7" s="454" t="s">
        <v>19</v>
      </c>
      <c r="D7" s="462">
        <v>515000</v>
      </c>
      <c r="E7" s="481">
        <f>_xlfn.IFERROR(榆炼取值!E7,"")</f>
        <v>550368</v>
      </c>
      <c r="F7" s="463">
        <f>_xlfn.IFERROR(E7/榆炼取值!D7*100,"")</f>
        <v>106.867572815534</v>
      </c>
      <c r="G7" s="462">
        <v>5100000</v>
      </c>
      <c r="H7" s="456">
        <f>_xlfn.IFERROR(榆炼取值!H7,"")</f>
        <v>4553852</v>
      </c>
      <c r="I7" s="501">
        <f>_xlfn.IFERROR(H7/榆炼取值!G7*100,"")</f>
        <v>89.2912156862745</v>
      </c>
      <c r="J7" s="464">
        <v>433198</v>
      </c>
      <c r="K7" s="464">
        <v>5100900</v>
      </c>
      <c r="L7" s="460">
        <f>_xlfn.IFERROR(H7-K7,"")</f>
        <v>-547048</v>
      </c>
      <c r="M7" s="434"/>
      <c r="N7" s="434"/>
    </row>
    <row customHeight="1" ht="14.25">
      <c r="A8" s="384"/>
      <c r="B8" s="461" t="s">
        <v>21</v>
      </c>
      <c r="C8" s="454" t="s">
        <v>19</v>
      </c>
      <c r="D8" s="462" t="str">
        <f>_xlfn.IFERROR(IF(榆炼取值!D8=0,"",榆炼取值!D8),"")</f>
        <v/>
      </c>
      <c r="E8" s="481">
        <f>_xlfn.IFERROR(榆炼取值!E8,"")</f>
        <v>0</v>
      </c>
      <c r="F8" s="463" t="str">
        <f>_xlfn.IFERROR(E8/榆炼取值!D8*100,"")</f>
        <v/>
      </c>
      <c r="G8" s="462" t="str">
        <f>_xlfn.IFERROR(IF(榆炼取值!G8=0,"",榆炼取值!G8),"")</f>
        <v/>
      </c>
      <c r="H8" s="456">
        <f>_xlfn.IFERROR(榆炼取值!H8,"")</f>
        <v>0</v>
      </c>
      <c r="I8" s="501" t="str">
        <f>_xlfn.IFERROR(H8/榆炼取值!G8*100,"")</f>
        <v/>
      </c>
      <c r="J8" s="464">
        <v>0</v>
      </c>
      <c r="K8" s="464">
        <v>0</v>
      </c>
      <c r="L8" s="460">
        <f>_xlfn.IFERROR(H8-K8,"")</f>
        <v>0</v>
      </c>
      <c r="M8" s="434"/>
      <c r="N8" s="434"/>
    </row>
    <row customHeight="1" ht="14.25">
      <c r="A9" s="384"/>
      <c r="B9" s="461" t="s">
        <v>22</v>
      </c>
      <c r="C9" s="454" t="s">
        <v>19</v>
      </c>
      <c r="D9" s="462" t="str">
        <f>_xlfn.IFERROR(IF(榆炼取值!D9=0,"",榆炼取值!D9),"")</f>
        <v/>
      </c>
      <c r="E9" s="481">
        <f>_xlfn.IFERROR(榆炼取值!E9,"")</f>
        <v>6041</v>
      </c>
      <c r="F9" s="463" t="str">
        <f>_xlfn.IFERROR(E9/榆炼取值!D9*100,"")</f>
        <v/>
      </c>
      <c r="G9" s="462">
        <v>40000</v>
      </c>
      <c r="H9" s="456">
        <f>_xlfn.IFERROR(榆炼取值!H9,"")</f>
        <v>72737</v>
      </c>
      <c r="I9" s="501">
        <f>_xlfn.IFERROR(H9/榆炼取值!G9*100,"")</f>
        <v>181.8425</v>
      </c>
      <c r="J9" s="464">
        <v>5204</v>
      </c>
      <c r="K9" s="464">
        <v>63651</v>
      </c>
      <c r="L9" s="460">
        <f>_xlfn.IFERROR(H9-K9,"")</f>
        <v>9086</v>
      </c>
      <c r="M9" s="434"/>
      <c r="N9" s="434"/>
    </row>
    <row customHeight="1" ht="14.25">
      <c r="A10" s="384"/>
      <c r="B10" s="461" t="s">
        <v>23</v>
      </c>
      <c r="C10" s="454" t="s">
        <v>19</v>
      </c>
      <c r="D10" s="462" t="str">
        <f>_xlfn.IFERROR(IF(榆炼取值!D10=0,"",榆炼取值!D10),"")</f>
        <v/>
      </c>
      <c r="E10" s="481">
        <f>_xlfn.IFERROR(榆炼取值!E10,"")</f>
        <v>0</v>
      </c>
      <c r="F10" s="463" t="str">
        <f>_xlfn.IFERROR(E10/榆炼取值!D10*100,"")</f>
        <v/>
      </c>
      <c r="G10" s="462" t="str">
        <f>_xlfn.IFERROR(IF(榆炼取值!G10=0,"",榆炼取值!G10),"")</f>
        <v/>
      </c>
      <c r="H10" s="456">
        <f>_xlfn.IFERROR(榆炼取值!H10,"")</f>
        <v>0</v>
      </c>
      <c r="I10" s="501" t="str">
        <f>_xlfn.IFERROR(H10/榆炼取值!G10*100,"")</f>
        <v/>
      </c>
      <c r="J10" s="464">
        <v>0</v>
      </c>
      <c r="K10" s="464">
        <v>0</v>
      </c>
      <c r="L10" s="460">
        <f>_xlfn.IFERROR(H10-K10,"")</f>
        <v>0</v>
      </c>
      <c r="M10" s="434"/>
      <c r="N10" s="434"/>
    </row>
    <row customHeight="1" ht="14.25">
      <c r="A11" s="384"/>
      <c r="B11" s="461" t="s">
        <v>24</v>
      </c>
      <c r="C11" s="454" t="s">
        <v>19</v>
      </c>
      <c r="D11" s="462" t="str">
        <f>_xlfn.IFERROR(IF(榆炼取值!D11=0,"",榆炼取值!D11),"")</f>
        <v/>
      </c>
      <c r="E11" s="481">
        <f>_xlfn.IFERROR(榆炼取值!E11,"")</f>
        <v>481</v>
      </c>
      <c r="F11" s="463" t="str">
        <f>_xlfn.IFERROR(E11/榆炼取值!D11*100,"")</f>
        <v/>
      </c>
      <c r="G11" s="462" t="str">
        <f>_xlfn.IFERROR(IF(榆炼取值!G11=0,"",榆炼取值!G11),"")</f>
        <v/>
      </c>
      <c r="H11" s="456">
        <f>_xlfn.IFERROR(榆炼取值!H11,"")</f>
        <v>481</v>
      </c>
      <c r="I11" s="501" t="str">
        <f>_xlfn.IFERROR(H11/榆炼取值!G11*100,"")</f>
        <v/>
      </c>
      <c r="J11" s="464">
        <v>0</v>
      </c>
      <c r="K11" s="464">
        <v>65718</v>
      </c>
      <c r="L11" s="460">
        <f>_xlfn.IFERROR(H11-K11,"")</f>
        <v>-65237</v>
      </c>
      <c r="M11" s="434"/>
      <c r="N11" s="434"/>
    </row>
    <row customHeight="1" ht="14.25">
      <c r="A12" s="384"/>
      <c r="B12" s="461" t="s">
        <v>25</v>
      </c>
      <c r="C12" s="454" t="s">
        <v>19</v>
      </c>
      <c r="D12" s="462" t="str">
        <f>_xlfn.IFERROR(IF(榆炼取值!D12=0,"",榆炼取值!D12),"")</f>
        <v/>
      </c>
      <c r="E12" s="481">
        <f>_xlfn.IFERROR(榆炼取值!E12,"")</f>
        <v>0</v>
      </c>
      <c r="F12" s="463" t="str">
        <f>_xlfn.IFERROR(E12/榆炼取值!D12*100,"")</f>
        <v/>
      </c>
      <c r="G12" s="462" t="str">
        <f>_xlfn.IFERROR(IF(榆炼取值!G12=0,"",榆炼取值!G12),"")</f>
        <v/>
      </c>
      <c r="H12" s="456">
        <f>_xlfn.IFERROR(榆炼取值!H12,"")</f>
        <v>0</v>
      </c>
      <c r="I12" s="501" t="str">
        <f>_xlfn.IFERROR(H12/榆炼取值!G12*100,"")</f>
        <v/>
      </c>
      <c r="J12" s="464">
        <v>0</v>
      </c>
      <c r="K12" s="464">
        <v>0</v>
      </c>
      <c r="L12" s="460">
        <f>_xlfn.IFERROR(H12-K12,"")</f>
        <v>0</v>
      </c>
      <c r="M12" s="434"/>
      <c r="N12" s="434"/>
    </row>
    <row customHeight="1" ht="14.25">
      <c r="A13" s="384"/>
      <c r="B13" s="461" t="s">
        <v>26</v>
      </c>
      <c r="C13" s="454" t="s">
        <v>19</v>
      </c>
      <c r="D13" s="462" t="str">
        <f>_xlfn.IFERROR(IF(榆炼取值!D13=0,"",榆炼取值!D13),"")</f>
        <v/>
      </c>
      <c r="E13" s="481">
        <f>_xlfn.IFERROR(榆炼取值!E13,"")</f>
        <v>0</v>
      </c>
      <c r="F13" s="463" t="str">
        <f>_xlfn.IFERROR(E13/榆炼取值!D13*100,"")</f>
        <v/>
      </c>
      <c r="G13" s="462" t="str">
        <f>_xlfn.IFERROR(IF(榆炼取值!G13=0,"",榆炼取值!G13),"")</f>
        <v/>
      </c>
      <c r="H13" s="456">
        <f>_xlfn.IFERROR(榆炼取值!H13,"")</f>
        <v>0</v>
      </c>
      <c r="I13" s="501" t="str">
        <f>_xlfn.IFERROR(H13/榆炼取值!G13*100,"")</f>
        <v/>
      </c>
      <c r="J13" s="464">
        <v>0</v>
      </c>
      <c r="K13" s="464">
        <v>0</v>
      </c>
      <c r="L13" s="460">
        <f>_xlfn.IFERROR(H13-K13,"")</f>
        <v>0</v>
      </c>
      <c r="M13" s="434"/>
      <c r="N13" s="434"/>
    </row>
    <row customHeight="1" ht="14.25">
      <c r="A14" s="384"/>
      <c r="B14" s="461" t="s">
        <v>27</v>
      </c>
      <c r="C14" s="454" t="s">
        <v>19</v>
      </c>
      <c r="D14" s="462" t="str">
        <f>_xlfn.IFERROR(IF(榆炼取值!D14=0,"",榆炼取值!D14),"")</f>
        <v/>
      </c>
      <c r="E14" s="481">
        <f>_xlfn.IFERROR(榆炼取值!E14,"")</f>
        <v>0</v>
      </c>
      <c r="F14" s="463" t="str">
        <f>_xlfn.IFERROR(E14/榆炼取值!D14*100,"")</f>
        <v/>
      </c>
      <c r="G14" s="462" t="str">
        <f>_xlfn.IFERROR(IF(榆炼取值!G14=0,"",榆炼取值!G14),"")</f>
        <v/>
      </c>
      <c r="H14" s="456">
        <f>_xlfn.IFERROR(榆炼取值!H14,"")</f>
        <v>0</v>
      </c>
      <c r="I14" s="501" t="str">
        <f>_xlfn.IFERROR(H14/榆炼取值!G14*100,"")</f>
        <v/>
      </c>
      <c r="J14" s="464">
        <v>0</v>
      </c>
      <c r="K14" s="464">
        <v>0</v>
      </c>
      <c r="L14" s="460">
        <f>_xlfn.IFERROR(H14-K14,"")</f>
        <v>0</v>
      </c>
      <c r="M14" s="434"/>
      <c r="N14" s="434"/>
    </row>
    <row customHeight="1" ht="14.25">
      <c r="A15" s="384"/>
      <c r="B15" s="461" t="s">
        <v>28</v>
      </c>
      <c r="C15" s="454" t="s">
        <v>19</v>
      </c>
      <c r="D15" s="462" t="str">
        <f>_xlfn.IFERROR(IF(榆炼取值!D15=0,"",榆炼取值!D15),"")</f>
        <v/>
      </c>
      <c r="E15" s="481">
        <f>_xlfn.IFERROR(榆炼取值!E15,"")</f>
        <v>0</v>
      </c>
      <c r="F15" s="463" t="str">
        <f>_xlfn.IFERROR(E15/榆炼取值!D15*100,"")</f>
        <v/>
      </c>
      <c r="G15" s="462" t="str">
        <f>_xlfn.IFERROR(IF(榆炼取值!G15=0,"",榆炼取值!G15),"")</f>
        <v/>
      </c>
      <c r="H15" s="456">
        <f>_xlfn.IFERROR(榆炼取值!H15,"")</f>
        <v>0</v>
      </c>
      <c r="I15" s="501" t="str">
        <f>_xlfn.IFERROR(H15/榆炼取值!G15*100,"")</f>
        <v/>
      </c>
      <c r="J15" s="464">
        <v>0</v>
      </c>
      <c r="K15" s="464">
        <v>0</v>
      </c>
      <c r="L15" s="460">
        <f>_xlfn.IFERROR(H15-K15,"")</f>
        <v>0</v>
      </c>
      <c r="M15" s="434"/>
      <c r="N15" s="434"/>
    </row>
    <row customHeight="1" ht="14.25">
      <c r="A16" s="384"/>
      <c r="B16" s="461" t="s">
        <v>29</v>
      </c>
      <c r="C16" s="454" t="s">
        <v>19</v>
      </c>
      <c r="D16" s="462" t="str">
        <f>_xlfn.IFERROR(IF(榆炼取值!D16=0,"",榆炼取值!D16),"")</f>
        <v/>
      </c>
      <c r="E16" s="481">
        <f>_xlfn.IFERROR(榆炼取值!E16,"")</f>
        <v>550368</v>
      </c>
      <c r="F16" s="463" t="str">
        <f>_xlfn.IFERROR(E16/榆炼取值!D16*100,"")</f>
        <v/>
      </c>
      <c r="G16" s="462" t="str">
        <f>_xlfn.IFERROR(IF(榆炼取值!G16=0,"",榆炼取值!G16),"")</f>
        <v/>
      </c>
      <c r="H16" s="456">
        <f>_xlfn.IFERROR(榆炼取值!H16,"")</f>
        <v>4553852</v>
      </c>
      <c r="I16" s="501" t="str">
        <f>_xlfn.IFERROR(H16/榆炼取值!G16*100,"")</f>
        <v/>
      </c>
      <c r="J16" s="464">
        <v>433198</v>
      </c>
      <c r="K16" s="464">
        <v>5100900</v>
      </c>
      <c r="L16" s="460">
        <f>_xlfn.IFERROR(H16-K16,"")</f>
        <v>-547048</v>
      </c>
      <c r="M16" s="434" t="s">
        <v>152</v>
      </c>
      <c r="N16" s="434"/>
    </row>
    <row customHeight="1" ht="14.25">
      <c r="A17" s="384"/>
      <c r="B17" s="461" t="s">
        <v>30</v>
      </c>
      <c r="C17" s="454" t="s">
        <v>19</v>
      </c>
      <c r="D17" s="462">
        <v>515000</v>
      </c>
      <c r="E17" s="481">
        <f>_xlfn.IFERROR(榆炼取值!E17,"")</f>
        <v>550368</v>
      </c>
      <c r="F17" s="463">
        <f>_xlfn.IFERROR(E17/榆炼取值!D17*100,"")</f>
        <v>106.867572815534</v>
      </c>
      <c r="G17" s="462">
        <v>5100000</v>
      </c>
      <c r="H17" s="456">
        <f>_xlfn.IFERROR(榆炼取值!H17,"")</f>
        <v>4553852</v>
      </c>
      <c r="I17" s="501">
        <f>_xlfn.IFERROR(H17/榆炼取值!G17*100,"")</f>
        <v>89.2912156862745</v>
      </c>
      <c r="J17" s="464">
        <v>433198</v>
      </c>
      <c r="K17" s="464">
        <v>5100900</v>
      </c>
      <c r="L17" s="460">
        <f>_xlfn.IFERROR(H17-K17,"")</f>
        <v>-547048</v>
      </c>
      <c r="M17" s="567">
        <f>E17</f>
        <v>550368</v>
      </c>
      <c r="N17" s="567">
        <f>H17</f>
        <v>4553852</v>
      </c>
    </row>
    <row customHeight="1" ht="14.25">
      <c r="A18" s="384"/>
      <c r="B18" s="465" t="s">
        <v>158</v>
      </c>
      <c r="C18" s="466" t="s">
        <v>19</v>
      </c>
      <c r="D18" s="462" t="str">
        <f>_xlfn.IFERROR(IF(榆炼取值!D18=0,"",榆炼取值!D18),"")</f>
        <v/>
      </c>
      <c r="E18" s="735">
        <v>0</v>
      </c>
      <c r="F18" s="468" t="str">
        <f>_xlfn.IFERROR(E18/榆炼取值!D18*100,"")</f>
        <v/>
      </c>
      <c r="G18" s="462" t="str">
        <f>_xlfn.IFERROR(IF(榆炼取值!G18=0,"",榆炼取值!G18),"")</f>
        <v/>
      </c>
      <c r="H18" s="467">
        <v>0</v>
      </c>
      <c r="I18" s="565" t="str">
        <f>_xlfn.IFERROR(H18/榆炼取值!G18*100,"")</f>
        <v/>
      </c>
      <c r="J18" s="470">
        <v>0</v>
      </c>
      <c r="K18" s="470">
        <v>0</v>
      </c>
      <c r="L18" s="471">
        <f>_xlfn.IFERROR(H18-K18,"")</f>
        <v>0</v>
      </c>
      <c r="M18" s="434"/>
      <c r="N18" s="434"/>
    </row>
    <row customHeight="1" ht="14.25">
      <c r="A19" s="384"/>
      <c r="B19" s="461" t="s">
        <v>32</v>
      </c>
      <c r="C19" s="454" t="s">
        <v>19</v>
      </c>
      <c r="D19" s="462" t="str">
        <f>_xlfn.IFERROR(IF(榆炼取值!D19=0,"",榆炼取值!D19),"")</f>
        <v/>
      </c>
      <c r="E19" s="481">
        <f>_xlfn.IFERROR(榆炼取值!E19,"")</f>
        <v>174870</v>
      </c>
      <c r="F19" s="463" t="str">
        <f>_xlfn.IFERROR(E19/榆炼取值!D19*100,"")</f>
        <v/>
      </c>
      <c r="G19" s="462" t="str">
        <f>_xlfn.IFERROR(IF(榆炼取值!G19=0,"",榆炼取值!G19),"")</f>
        <v/>
      </c>
      <c r="H19" s="456">
        <f>_xlfn.IFERROR(榆炼取值!H19,"")</f>
        <v>1591516</v>
      </c>
      <c r="I19" s="501" t="str">
        <f>_xlfn.IFERROR(H19/榆炼取值!G19*100,"")</f>
        <v/>
      </c>
      <c r="J19" s="464">
        <v>153134</v>
      </c>
      <c r="K19" s="464">
        <v>1667450</v>
      </c>
      <c r="L19" s="460">
        <f>_xlfn.IFERROR(H19-K19,"")</f>
        <v>-75934</v>
      </c>
      <c r="M19" s="434"/>
      <c r="N19" s="434"/>
    </row>
    <row customHeight="1" ht="14.25">
      <c r="A20" s="384"/>
      <c r="B20" s="461" t="s">
        <v>33</v>
      </c>
      <c r="C20" s="454" t="s">
        <v>19</v>
      </c>
      <c r="D20" s="462">
        <v>141000</v>
      </c>
      <c r="E20" s="481">
        <f>_xlfn.IFERROR(榆炼取值!E20,"")</f>
        <v>171606</v>
      </c>
      <c r="F20" s="463">
        <f>_xlfn.IFERROR(E20/榆炼取值!D20*100,"")</f>
        <v>121.706382978723</v>
      </c>
      <c r="G20" s="462">
        <v>1780000</v>
      </c>
      <c r="H20" s="456">
        <f>_xlfn.IFERROR(榆炼取值!H20,"")</f>
        <v>1575046</v>
      </c>
      <c r="I20" s="501">
        <f>_xlfn.IFERROR(H20/榆炼取值!G20*100,"")</f>
        <v>88.4857303370786</v>
      </c>
      <c r="J20" s="464">
        <v>149057</v>
      </c>
      <c r="K20" s="464">
        <v>1626265</v>
      </c>
      <c r="L20" s="460">
        <f>_xlfn.IFERROR(H20-K20,"")</f>
        <v>-51219</v>
      </c>
      <c r="M20" s="567">
        <f>E20</f>
        <v>171606</v>
      </c>
      <c r="N20" s="567">
        <f>H20</f>
        <v>1575046</v>
      </c>
    </row>
    <row customHeight="1" ht="14.25">
      <c r="A21" s="384"/>
      <c r="B21" s="461" t="s">
        <v>34</v>
      </c>
      <c r="C21" s="454" t="s">
        <v>19</v>
      </c>
      <c r="D21" s="462">
        <v>84000</v>
      </c>
      <c r="E21" s="481">
        <f>_xlfn.IFERROR(榆炼取值!E21,"")</f>
        <v>110093</v>
      </c>
      <c r="F21" s="463">
        <f>_xlfn.IFERROR(E21/榆炼取值!D21*100,"")</f>
        <v>131.063095238095</v>
      </c>
      <c r="G21" s="462">
        <v>950000</v>
      </c>
      <c r="H21" s="456">
        <f>_xlfn.IFERROR(榆炼取值!H21,"")</f>
        <v>907947</v>
      </c>
      <c r="I21" s="501">
        <f>_xlfn.IFERROR(H21/榆炼取值!G21*100,"")</f>
        <v>95.5733684210526</v>
      </c>
      <c r="J21" s="464">
        <v>93966</v>
      </c>
      <c r="K21" s="464">
        <v>1019022</v>
      </c>
      <c r="L21" s="460">
        <f>_xlfn.IFERROR(H21-K21,"")</f>
        <v>-111075</v>
      </c>
      <c r="M21" s="434"/>
      <c r="N21" s="434"/>
    </row>
    <row customHeight="1" ht="14.25">
      <c r="A22" s="384"/>
      <c r="B22" s="461" t="s">
        <v>35</v>
      </c>
      <c r="C22" s="454" t="s">
        <v>19</v>
      </c>
      <c r="D22" s="462" t="str">
        <f>_xlfn.IFERROR(IF(榆炼取值!D22=0,"",榆炼取值!D22),"")</f>
        <v/>
      </c>
      <c r="E22" s="481">
        <f>_xlfn.IFERROR(榆炼取值!E22,"")</f>
        <v>0</v>
      </c>
      <c r="F22" s="463" t="str">
        <f>_xlfn.IFERROR(E22/榆炼取值!D22*100,"")</f>
        <v/>
      </c>
      <c r="G22" s="462" t="str">
        <f>_xlfn.IFERROR(IF(榆炼取值!G22=0,"",榆炼取值!G22),"")</f>
        <v/>
      </c>
      <c r="H22" s="456">
        <f>_xlfn.IFERROR(榆炼取值!H22,"")</f>
        <v>0</v>
      </c>
      <c r="I22" s="501" t="str">
        <f>_xlfn.IFERROR(H22/榆炼取值!G22*100,"")</f>
        <v/>
      </c>
      <c r="J22" s="464">
        <v>0</v>
      </c>
      <c r="K22" s="464">
        <v>80968</v>
      </c>
      <c r="L22" s="460">
        <f>_xlfn.IFERROR(H22-K22,"")</f>
        <v>-80968</v>
      </c>
      <c r="M22" s="434"/>
      <c r="N22" s="434"/>
    </row>
    <row customHeight="1" ht="14.25">
      <c r="A23" s="384"/>
      <c r="B23" s="461" t="s">
        <v>36</v>
      </c>
      <c r="C23" s="454" t="s">
        <v>19</v>
      </c>
      <c r="D23" s="462" t="str">
        <f>_xlfn.IFERROR(IF(榆炼取值!D23=0,"",榆炼取值!D23),"")</f>
        <v/>
      </c>
      <c r="E23" s="481">
        <f>_xlfn.IFERROR(榆炼取值!E23,"")</f>
        <v>0</v>
      </c>
      <c r="F23" s="463" t="str">
        <f>_xlfn.IFERROR(E23/榆炼取值!D23*100,"")</f>
        <v/>
      </c>
      <c r="G23" s="462" t="str">
        <f>_xlfn.IFERROR(IF(榆炼取值!G23=0,"",榆炼取值!G23),"")</f>
        <v/>
      </c>
      <c r="H23" s="456">
        <f>_xlfn.IFERROR(榆炼取值!H23,"")</f>
        <v>0</v>
      </c>
      <c r="I23" s="501" t="str">
        <f>_xlfn.IFERROR(H23/榆炼取值!G23*100,"")</f>
        <v/>
      </c>
      <c r="J23" s="464">
        <v>0</v>
      </c>
      <c r="K23" s="464">
        <v>0</v>
      </c>
      <c r="L23" s="460">
        <f>_xlfn.IFERROR(H23-K23,"")</f>
        <v>0</v>
      </c>
      <c r="M23" s="434"/>
      <c r="N23" s="434"/>
    </row>
    <row customHeight="1" ht="14.25">
      <c r="A24" s="384"/>
      <c r="B24" s="461" t="s">
        <v>37</v>
      </c>
      <c r="C24" s="454" t="s">
        <v>19</v>
      </c>
      <c r="D24" s="462">
        <v>67000</v>
      </c>
      <c r="E24" s="481">
        <f>_xlfn.IFERROR(榆炼取值!E24,"")</f>
        <v>99150</v>
      </c>
      <c r="F24" s="463">
        <f>_xlfn.IFERROR(E24/榆炼取值!D24*100,"")</f>
        <v>147.985074626866</v>
      </c>
      <c r="G24" s="462">
        <v>880000</v>
      </c>
      <c r="H24" s="456">
        <f>_xlfn.IFERROR(榆炼取值!H24,"")</f>
        <v>769527</v>
      </c>
      <c r="I24" s="501">
        <f>_xlfn.IFERROR(H24/榆炼取值!G24*100,"")</f>
        <v>87.44625</v>
      </c>
      <c r="J24" s="464">
        <v>75564</v>
      </c>
      <c r="K24" s="464">
        <v>823073</v>
      </c>
      <c r="L24" s="460">
        <f>_xlfn.IFERROR(H24-K24,"")</f>
        <v>-53546</v>
      </c>
      <c r="M24" s="434"/>
      <c r="N24" s="434"/>
    </row>
    <row customHeight="1" ht="14.25">
      <c r="A25" s="384"/>
      <c r="B25" s="461" t="s">
        <v>38</v>
      </c>
      <c r="C25" s="454" t="s">
        <v>19</v>
      </c>
      <c r="D25" s="462">
        <v>177000</v>
      </c>
      <c r="E25" s="481">
        <f>_xlfn.IFERROR(榆炼取值!E25,"")</f>
        <v>202494</v>
      </c>
      <c r="F25" s="463">
        <f>_xlfn.IFERROR(E25/榆炼取值!D25*100,"")</f>
        <v>114.403389830508</v>
      </c>
      <c r="G25" s="462">
        <v>1800000</v>
      </c>
      <c r="H25" s="456">
        <f>_xlfn.IFERROR(榆炼取值!H25,"")</f>
        <v>1736966</v>
      </c>
      <c r="I25" s="501">
        <f>_xlfn.IFERROR(H25/榆炼取值!G25*100,"")</f>
        <v>96.4981111111111</v>
      </c>
      <c r="J25" s="464">
        <v>172264</v>
      </c>
      <c r="K25" s="464">
        <v>1933004</v>
      </c>
      <c r="L25" s="460">
        <f>_xlfn.IFERROR(H25-K25,"")</f>
        <v>-196038</v>
      </c>
      <c r="M25" s="434"/>
      <c r="N25" s="434"/>
    </row>
    <row customHeight="1" ht="14.25">
      <c r="A26" s="384"/>
      <c r="B26" s="461" t="s">
        <v>39</v>
      </c>
      <c r="C26" s="454" t="s">
        <v>19</v>
      </c>
      <c r="D26" s="462" t="str">
        <f>_xlfn.IFERROR(IF(榆炼取值!D26=0,"",榆炼取值!D26),"")</f>
        <v/>
      </c>
      <c r="E26" s="481">
        <f>_xlfn.IFERROR(榆炼取值!E26,"")</f>
        <v>0</v>
      </c>
      <c r="F26" s="463" t="str">
        <f>_xlfn.IFERROR(E26/榆炼取值!D26*100,"")</f>
        <v/>
      </c>
      <c r="G26" s="462" t="str">
        <f>_xlfn.IFERROR(IF(榆炼取值!G26=0,"",榆炼取值!G26),"")</f>
        <v/>
      </c>
      <c r="H26" s="456">
        <f>_xlfn.IFERROR(榆炼取值!H26,"")</f>
        <v>0</v>
      </c>
      <c r="I26" s="501" t="str">
        <f>_xlfn.IFERROR(H26/榆炼取值!G26*100,"")</f>
        <v/>
      </c>
      <c r="J26" s="464">
        <v>0</v>
      </c>
      <c r="K26" s="464">
        <v>0</v>
      </c>
      <c r="L26" s="460">
        <f>_xlfn.IFERROR(H26-K26,"")</f>
        <v>0</v>
      </c>
      <c r="M26" s="434"/>
      <c r="N26" s="434"/>
    </row>
    <row customHeight="1" ht="14.25">
      <c r="A27" s="384"/>
      <c r="B27" s="461" t="s">
        <v>40</v>
      </c>
      <c r="C27" s="454" t="s">
        <v>19</v>
      </c>
      <c r="D27" s="462" t="str">
        <f>_xlfn.IFERROR(IF(榆炼取值!D27=0,"",榆炼取值!D27),"")</f>
        <v/>
      </c>
      <c r="E27" s="481">
        <f>_xlfn.IFERROR(榆炼取值!E27,"")</f>
        <v>28452</v>
      </c>
      <c r="F27" s="463" t="str">
        <f>_xlfn.IFERROR(E27/榆炼取值!D27*100,"")</f>
        <v/>
      </c>
      <c r="G27" s="462">
        <v>263158</v>
      </c>
      <c r="H27" s="456">
        <f>_xlfn.IFERROR(榆炼取值!H27,"")</f>
        <v>252643</v>
      </c>
      <c r="I27" s="501">
        <f>_xlfn.IFERROR(H27/榆炼取值!G27*100,"")</f>
        <v>96.0043015982794</v>
      </c>
      <c r="J27" s="481">
        <f>_xlfn.IFERROR(榆炼取值!J27,"")</f>
        <v>24702</v>
      </c>
      <c r="K27" s="481">
        <f>_xlfn.IFERROR(榆炼取值!K27,"")</f>
        <v>289635</v>
      </c>
      <c r="L27" s="460">
        <f>_xlfn.IFERROR(H27-K27,"")</f>
        <v>-36992</v>
      </c>
      <c r="M27" s="434"/>
      <c r="N27" s="434"/>
    </row>
    <row customHeight="1" ht="14.25">
      <c r="A28" s="384"/>
      <c r="B28" s="461" t="s">
        <v>41</v>
      </c>
      <c r="C28" s="454" t="s">
        <v>19</v>
      </c>
      <c r="D28" s="462" t="str">
        <f>_xlfn.IFERROR(IF(榆炼取值!D28=0,"",榆炼取值!D28),"")</f>
        <v/>
      </c>
      <c r="E28" s="481">
        <f>_xlfn.IFERROR(榆炼取值!E28,"")</f>
        <v>0</v>
      </c>
      <c r="F28" s="463" t="str">
        <f>_xlfn.IFERROR(E28/榆炼取值!D28*100,"")</f>
        <v/>
      </c>
      <c r="G28" s="462" t="str">
        <f>_xlfn.IFERROR(IF(榆炼取值!G28=0,"",榆炼取值!G28),"")</f>
        <v/>
      </c>
      <c r="H28" s="456">
        <f>_xlfn.IFERROR(榆炼取值!H28,"")</f>
        <v>0</v>
      </c>
      <c r="I28" s="501" t="str">
        <f>_xlfn.IFERROR(H28/榆炼取值!G28*100,"")</f>
        <v/>
      </c>
      <c r="J28" s="736">
        <v>0</v>
      </c>
      <c r="K28" s="736">
        <v>0</v>
      </c>
      <c r="L28" s="460">
        <f>_xlfn.IFERROR(H28-K28,"")</f>
        <v>0</v>
      </c>
      <c r="M28" s="434"/>
      <c r="N28" s="434"/>
    </row>
    <row customHeight="1" ht="14.25">
      <c r="A29" s="384"/>
      <c r="B29" s="461" t="s">
        <v>42</v>
      </c>
      <c r="C29" s="454" t="s">
        <v>19</v>
      </c>
      <c r="D29" s="462" t="str">
        <f>_xlfn.IFERROR(IF(榆炼取值!D29=0,"",榆炼取值!D29),"")</f>
        <v/>
      </c>
      <c r="E29" s="481">
        <f>_xlfn.IFERROR(榆炼取值!E29,"")</f>
        <v>0</v>
      </c>
      <c r="F29" s="463" t="str">
        <f>_xlfn.IFERROR(E29/榆炼取值!D29*100,"")</f>
        <v/>
      </c>
      <c r="G29" s="462" t="str">
        <f>_xlfn.IFERROR(IF(榆炼取值!G29=0,"",榆炼取值!G29),"")</f>
        <v/>
      </c>
      <c r="H29" s="456">
        <f>_xlfn.IFERROR(榆炼取值!H29,"")</f>
        <v>0</v>
      </c>
      <c r="I29" s="501" t="str">
        <f>_xlfn.IFERROR(H29/榆炼取值!G29*100,"")</f>
        <v/>
      </c>
      <c r="J29" s="736">
        <v>0</v>
      </c>
      <c r="K29" s="736">
        <v>0</v>
      </c>
      <c r="L29" s="460">
        <f>_xlfn.IFERROR(H29-K29,"")</f>
        <v>0</v>
      </c>
      <c r="M29" s="434"/>
      <c r="N29" s="434"/>
    </row>
    <row customHeight="1" ht="14.25">
      <c r="A30" s="384"/>
      <c r="B30" s="453" t="s">
        <v>43</v>
      </c>
      <c r="C30" s="454"/>
      <c r="D30" s="472"/>
      <c r="E30" s="481"/>
      <c r="F30" s="463"/>
      <c r="G30" s="472"/>
      <c r="H30" s="456"/>
      <c r="I30" s="501"/>
      <c r="J30" s="459"/>
      <c r="K30" s="459"/>
      <c r="L30" s="460"/>
      <c r="M30" s="434"/>
      <c r="N30" s="434"/>
    </row>
    <row customHeight="1" ht="14.25">
      <c r="A31" s="384"/>
      <c r="B31" s="473" t="s">
        <v>44</v>
      </c>
      <c r="C31" s="454" t="s">
        <v>19</v>
      </c>
      <c r="D31" s="462">
        <v>170000</v>
      </c>
      <c r="E31" s="481">
        <f>_xlfn.IFERROR(榆炼取值!E31,"")</f>
        <v>180869</v>
      </c>
      <c r="F31" s="463">
        <f>_xlfn.IFERROR(E31/榆炼取值!D31*100,"")</f>
        <v>106.393529411765</v>
      </c>
      <c r="G31" s="462">
        <v>1500000</v>
      </c>
      <c r="H31" s="456">
        <f>_xlfn.IFERROR(榆炼取值!H31,"")</f>
        <v>1520716</v>
      </c>
      <c r="I31" s="501">
        <f>_xlfn.IFERROR(H31/榆炼取值!G31*100,"")</f>
        <v>101.381066666667</v>
      </c>
      <c r="J31" s="464">
        <v>142767</v>
      </c>
      <c r="K31" s="464">
        <v>1623821</v>
      </c>
      <c r="L31" s="460">
        <f>_xlfn.IFERROR(H31-K31,"")</f>
        <v>-103105</v>
      </c>
      <c r="M31" s="567">
        <f>E31</f>
        <v>180869</v>
      </c>
      <c r="N31" s="567">
        <f>H31</f>
        <v>1520716</v>
      </c>
    </row>
    <row customHeight="1" ht="14.25">
      <c r="A32" s="384"/>
      <c r="B32" s="461" t="s">
        <v>45</v>
      </c>
      <c r="C32" s="454" t="s">
        <v>19</v>
      </c>
      <c r="D32" s="462" t="str">
        <f>_xlfn.IFERROR(IF(榆炼取值!D32=0,"",榆炼取值!D32),"")</f>
        <v/>
      </c>
      <c r="E32" s="481">
        <f>_xlfn.IFERROR(榆炼取值!E32,"")</f>
        <v>168869</v>
      </c>
      <c r="F32" s="463" t="str">
        <f>_xlfn.IFERROR(E32/榆炼取值!D32*100,"")</f>
        <v/>
      </c>
      <c r="G32" s="462">
        <v>1305400</v>
      </c>
      <c r="H32" s="456">
        <f>_xlfn.IFERROR(榆炼取值!H32,"")</f>
        <v>1350244</v>
      </c>
      <c r="I32" s="501">
        <f>_xlfn.IFERROR(H32/榆炼取值!G32*100,"")</f>
        <v>103.435268883101</v>
      </c>
      <c r="J32" s="464">
        <v>122717</v>
      </c>
      <c r="K32" s="464">
        <v>1422443</v>
      </c>
      <c r="L32" s="460">
        <f>_xlfn.IFERROR(H32-K32,"")</f>
        <v>-72199</v>
      </c>
      <c r="M32" s="434"/>
      <c r="N32" s="434"/>
    </row>
    <row customHeight="1" ht="14.25">
      <c r="A33" s="384"/>
      <c r="B33" s="473" t="s">
        <v>46</v>
      </c>
      <c r="C33" s="454" t="s">
        <v>19</v>
      </c>
      <c r="D33" s="462" t="str">
        <f>_xlfn.IFERROR(IF(榆炼取值!D33=0,"",榆炼取值!D33),"")</f>
        <v/>
      </c>
      <c r="E33" s="481">
        <f>_xlfn.IFERROR(榆炼取值!E33,"")</f>
        <v>12000</v>
      </c>
      <c r="F33" s="463" t="str">
        <f>_xlfn.IFERROR(E33/榆炼取值!D33*100,"")</f>
        <v/>
      </c>
      <c r="G33" s="462">
        <v>194600</v>
      </c>
      <c r="H33" s="456">
        <f>_xlfn.IFERROR(榆炼取值!H33,"")</f>
        <v>170472</v>
      </c>
      <c r="I33" s="501">
        <f>_xlfn.IFERROR(H33/榆炼取值!G33*100,"")</f>
        <v>87.601233299075</v>
      </c>
      <c r="J33" s="464">
        <v>20050</v>
      </c>
      <c r="K33" s="464">
        <v>201378</v>
      </c>
      <c r="L33" s="460">
        <f>_xlfn.IFERROR(H33-K33,"")</f>
        <v>-30906</v>
      </c>
      <c r="M33" s="434"/>
      <c r="N33" s="434"/>
    </row>
    <row customHeight="1" ht="14.25">
      <c r="A34" s="384"/>
      <c r="B34" s="473" t="s">
        <v>47</v>
      </c>
      <c r="C34" s="454"/>
      <c r="D34" s="462" t="str">
        <f>_xlfn.IFERROR(IF(榆炼取值!D34=0,"",榆炼取值!D34),"")</f>
        <v/>
      </c>
      <c r="E34" s="481">
        <f>_xlfn.IFERROR(榆炼取值!E34,"")</f>
        <v>0</v>
      </c>
      <c r="F34" s="463" t="str">
        <f>_xlfn.IFERROR(E34/榆炼取值!D34*100,"")</f>
        <v/>
      </c>
      <c r="G34" s="462" t="str">
        <f>_xlfn.IFERROR(IF(榆炼取值!G34=0,"",榆炼取值!G34),"")</f>
        <v/>
      </c>
      <c r="H34" s="456">
        <f>_xlfn.IFERROR(榆炼取值!H34,"")</f>
        <v>0</v>
      </c>
      <c r="I34" s="501" t="str">
        <f>_xlfn.IFERROR(H34/榆炼取值!G34*100,"")</f>
        <v/>
      </c>
      <c r="J34" s="464">
        <v>0</v>
      </c>
      <c r="K34" s="464">
        <v>0</v>
      </c>
      <c r="L34" s="460">
        <f>_xlfn.IFERROR(H34-K34,"")</f>
        <v>0</v>
      </c>
      <c r="M34" s="434"/>
      <c r="N34" s="434"/>
    </row>
    <row customHeight="1" ht="14.25">
      <c r="A35" s="384"/>
      <c r="B35" s="461" t="s">
        <v>48</v>
      </c>
      <c r="C35" s="454" t="s">
        <v>19</v>
      </c>
      <c r="D35" s="462">
        <v>160000</v>
      </c>
      <c r="E35" s="481">
        <f>_xlfn.IFERROR(榆炼取值!E35,"")</f>
        <v>169541</v>
      </c>
      <c r="F35" s="463">
        <f>_xlfn.IFERROR(E35/榆炼取值!D35*100,"")</f>
        <v>105.963125</v>
      </c>
      <c r="G35" s="462">
        <v>1641452</v>
      </c>
      <c r="H35" s="456">
        <f>_xlfn.IFERROR(榆炼取值!H35,"")</f>
        <v>1539988</v>
      </c>
      <c r="I35" s="501">
        <f>_xlfn.IFERROR(H35/榆炼取值!G35*100,"")</f>
        <v>93.8186434936873</v>
      </c>
      <c r="J35" s="464">
        <v>152928</v>
      </c>
      <c r="K35" s="464">
        <v>1736786</v>
      </c>
      <c r="L35" s="460">
        <f>_xlfn.IFERROR(H35-K35,"")</f>
        <v>-196798</v>
      </c>
      <c r="M35" s="567">
        <f>E35</f>
        <v>169541</v>
      </c>
      <c r="N35" s="567">
        <f>H35</f>
        <v>1539988</v>
      </c>
    </row>
    <row customHeight="1" ht="14.25">
      <c r="A36" s="384"/>
      <c r="B36" s="474" t="s">
        <v>49</v>
      </c>
      <c r="C36" s="454" t="s">
        <v>19</v>
      </c>
      <c r="D36" s="462" t="str">
        <f>_xlfn.IFERROR(IF(榆炼取值!D36=0,"",榆炼取值!D36),"")</f>
        <v/>
      </c>
      <c r="E36" s="481">
        <f>_xlfn.IFERROR(榆炼取值!E36,"")</f>
        <v>0</v>
      </c>
      <c r="F36" s="463" t="str">
        <f>_xlfn.IFERROR(E36/榆炼取值!D36*100,"")</f>
        <v/>
      </c>
      <c r="G36" s="462" t="str">
        <f>_xlfn.IFERROR(IF(榆炼取值!G36=0,"",榆炼取值!G36),"")</f>
        <v/>
      </c>
      <c r="H36" s="456">
        <f>_xlfn.IFERROR(榆炼取值!H36,"")</f>
        <v>0</v>
      </c>
      <c r="I36" s="501" t="str">
        <f>_xlfn.IFERROR(H36/榆炼取值!G36*100,"")</f>
        <v/>
      </c>
      <c r="J36" s="464">
        <v>0</v>
      </c>
      <c r="K36" s="464">
        <v>0</v>
      </c>
      <c r="L36" s="460">
        <f>_xlfn.IFERROR(H36-K36,"")</f>
        <v>0</v>
      </c>
      <c r="M36" s="434"/>
      <c r="N36" s="434"/>
    </row>
    <row customHeight="1" ht="14.25">
      <c r="A37" s="384"/>
      <c r="B37" s="461" t="s">
        <v>50</v>
      </c>
      <c r="C37" s="454" t="s">
        <v>19</v>
      </c>
      <c r="D37" s="462" t="str">
        <f>_xlfn.IFERROR(IF(榆炼取值!D37=0,"",榆炼取值!D37),"")</f>
        <v/>
      </c>
      <c r="E37" s="481">
        <f>_xlfn.IFERROR(榆炼取值!E37,"")</f>
        <v>125230</v>
      </c>
      <c r="F37" s="463" t="str">
        <f>_xlfn.IFERROR(E37/榆炼取值!D37*100,"")</f>
        <v/>
      </c>
      <c r="G37" s="462" t="str">
        <f>_xlfn.IFERROR(IF(榆炼取值!G37=0,"",榆炼取值!G37),"")</f>
        <v/>
      </c>
      <c r="H37" s="456">
        <f>_xlfn.IFERROR(榆炼取值!H37,"")</f>
        <v>1454677</v>
      </c>
      <c r="I37" s="501" t="str">
        <f>_xlfn.IFERROR(H37/榆炼取值!G37*100,"")</f>
        <v/>
      </c>
      <c r="J37" s="464">
        <v>111439</v>
      </c>
      <c r="K37" s="464">
        <v>1677765</v>
      </c>
      <c r="L37" s="460">
        <f>_xlfn.IFERROR(H37-K37,"")</f>
        <v>-223088</v>
      </c>
      <c r="M37" s="434"/>
      <c r="N37" s="434"/>
    </row>
    <row customHeight="1" ht="14.25">
      <c r="A38" s="384"/>
      <c r="B38" s="461" t="s">
        <v>51</v>
      </c>
      <c r="C38" s="454" t="s">
        <v>19</v>
      </c>
      <c r="D38" s="462">
        <v>30000</v>
      </c>
      <c r="E38" s="481">
        <f>_xlfn.IFERROR(榆炼取值!E38,"")</f>
        <v>35700</v>
      </c>
      <c r="F38" s="463">
        <f>_xlfn.IFERROR(E38/榆炼取值!D38*100,"")</f>
        <v>119</v>
      </c>
      <c r="G38" s="462" t="str">
        <f>_xlfn.IFERROR(IF(榆炼取值!G38=0,"",榆炼取值!G38),"")</f>
        <v/>
      </c>
      <c r="H38" s="456">
        <f>_xlfn.IFERROR(榆炼取值!H38,"")</f>
        <v>76700</v>
      </c>
      <c r="I38" s="501" t="str">
        <f>_xlfn.IFERROR(H38/榆炼取值!G38*100,"")</f>
        <v/>
      </c>
      <c r="J38" s="464">
        <v>41489</v>
      </c>
      <c r="K38" s="464">
        <v>59021</v>
      </c>
      <c r="L38" s="460">
        <f>_xlfn.IFERROR(H38-K38,"")</f>
        <v>17679</v>
      </c>
      <c r="M38" s="434"/>
      <c r="N38" s="434"/>
    </row>
    <row customHeight="1" ht="14.25">
      <c r="A39" s="384"/>
      <c r="B39" s="461" t="s">
        <v>52</v>
      </c>
      <c r="C39" s="454" t="s">
        <v>19</v>
      </c>
      <c r="D39" s="462" t="str">
        <f>_xlfn.IFERROR(IF(榆炼取值!D39=0,"",榆炼取值!D39),"")</f>
        <v/>
      </c>
      <c r="E39" s="481">
        <f>_xlfn.IFERROR(榆炼取值!E39,"")</f>
        <v>8611</v>
      </c>
      <c r="F39" s="463" t="str">
        <f>_xlfn.IFERROR(E39/榆炼取值!D39*100,"")</f>
        <v/>
      </c>
      <c r="G39" s="462" t="str">
        <f>_xlfn.IFERROR(IF(榆炼取值!G39=0,"",榆炼取值!G39),"")</f>
        <v/>
      </c>
      <c r="H39" s="456">
        <f>_xlfn.IFERROR(榆炼取值!H39,"")</f>
        <v>8611</v>
      </c>
      <c r="I39" s="501" t="str">
        <f>_xlfn.IFERROR(H39/榆炼取值!G39*100,"")</f>
        <v/>
      </c>
      <c r="J39" s="464">
        <v>0</v>
      </c>
      <c r="K39" s="464">
        <v>0</v>
      </c>
      <c r="L39" s="460">
        <f>_xlfn.IFERROR(H39-K39,"")</f>
        <v>8611</v>
      </c>
      <c r="M39" s="434"/>
      <c r="N39" s="434"/>
    </row>
    <row customHeight="1" ht="14.25">
      <c r="A40" s="384"/>
      <c r="B40" s="461" t="s">
        <v>53</v>
      </c>
      <c r="C40" s="454" t="s">
        <v>19</v>
      </c>
      <c r="D40" s="462" t="str">
        <f>_xlfn.IFERROR(IF(榆炼取值!D40=0,"",榆炼取值!D40),"")</f>
        <v/>
      </c>
      <c r="E40" s="481">
        <f>_xlfn.IFERROR(榆炼取值!E40,"")</f>
        <v>0</v>
      </c>
      <c r="F40" s="463" t="str">
        <f>_xlfn.IFERROR(E40/榆炼取值!D40*100,"")</f>
        <v/>
      </c>
      <c r="G40" s="462" t="str">
        <f>_xlfn.IFERROR(IF(榆炼取值!G40=0,"",榆炼取值!G40),"")</f>
        <v/>
      </c>
      <c r="H40" s="456">
        <f>_xlfn.IFERROR(榆炼取值!H40,"")</f>
        <v>0</v>
      </c>
      <c r="I40" s="501" t="str">
        <f>_xlfn.IFERROR(H40/榆炼取值!G40*100,"")</f>
        <v/>
      </c>
      <c r="J40" s="464">
        <v>0</v>
      </c>
      <c r="K40" s="464">
        <v>0</v>
      </c>
      <c r="L40" s="460">
        <f>_xlfn.IFERROR(H40-K40,"")</f>
        <v>0</v>
      </c>
      <c r="M40" s="434"/>
      <c r="N40" s="434"/>
    </row>
    <row customHeight="1" ht="14.25">
      <c r="A41" s="384"/>
      <c r="B41" s="461" t="s">
        <v>54</v>
      </c>
      <c r="C41" s="454" t="s">
        <v>19</v>
      </c>
      <c r="D41" s="462">
        <v>18000</v>
      </c>
      <c r="E41" s="481">
        <f>_xlfn.IFERROR(榆炼取值!E41,"")</f>
        <v>19594</v>
      </c>
      <c r="F41" s="463">
        <f>_xlfn.IFERROR(E41/榆炼取值!D41*100,"")</f>
        <v>108.855555555556</v>
      </c>
      <c r="G41" s="462" t="str">
        <f>_xlfn.IFERROR(IF(榆炼取值!G41=0,"",榆炼取值!G41),"")</f>
        <v/>
      </c>
      <c r="H41" s="456">
        <f>_xlfn.IFERROR(榆炼取值!H41,"")</f>
        <v>229011</v>
      </c>
      <c r="I41" s="501" t="str">
        <f>_xlfn.IFERROR(H41/榆炼取值!G41*100,"")</f>
        <v/>
      </c>
      <c r="J41" s="464">
        <v>24095</v>
      </c>
      <c r="K41" s="464">
        <v>262867</v>
      </c>
      <c r="L41" s="460">
        <f>_xlfn.IFERROR(H41-K41,"")</f>
        <v>-33856</v>
      </c>
      <c r="M41" s="434"/>
      <c r="N41" s="434"/>
    </row>
    <row customHeight="1" ht="14.25">
      <c r="A42" s="384"/>
      <c r="B42" s="461" t="s">
        <v>55</v>
      </c>
      <c r="C42" s="454" t="s">
        <v>19</v>
      </c>
      <c r="D42" s="462" t="str">
        <f>_xlfn.IFERROR(IF(榆炼取值!D42=0,"",榆炼取值!D42),"")</f>
        <v/>
      </c>
      <c r="E42" s="481">
        <f>_xlfn.IFERROR(榆炼取值!E42,"")</f>
        <v>0</v>
      </c>
      <c r="F42" s="463" t="str">
        <f>_xlfn.IFERROR(E42/榆炼取值!D42*100,"")</f>
        <v/>
      </c>
      <c r="G42" s="462" t="str">
        <f>_xlfn.IFERROR(IF(榆炼取值!G42=0,"",榆炼取值!G42),"")</f>
        <v/>
      </c>
      <c r="H42" s="456">
        <f>_xlfn.IFERROR(榆炼取值!H42,"")</f>
        <v>0</v>
      </c>
      <c r="I42" s="501" t="str">
        <f>_xlfn.IFERROR(H42/榆炼取值!G42*100,"")</f>
        <v/>
      </c>
      <c r="J42" s="464">
        <v>0</v>
      </c>
      <c r="K42" s="464">
        <v>0</v>
      </c>
      <c r="L42" s="460">
        <f>_xlfn.IFERROR(H42-K42,"")</f>
        <v>0</v>
      </c>
      <c r="M42" s="434"/>
      <c r="N42" s="434"/>
    </row>
    <row customHeight="1" ht="14.25">
      <c r="A43" s="384"/>
      <c r="B43" s="461" t="s">
        <v>56</v>
      </c>
      <c r="C43" s="454" t="s">
        <v>19</v>
      </c>
      <c r="D43" s="462" t="str">
        <f>_xlfn.IFERROR(IF(榆炼取值!D43=0,"",榆炼取值!D43),"")</f>
        <v/>
      </c>
      <c r="E43" s="481">
        <f>_xlfn.IFERROR(榆炼取值!E43,"")</f>
        <v>0</v>
      </c>
      <c r="F43" s="463" t="str">
        <f>_xlfn.IFERROR(E43/榆炼取值!D43*100,"")</f>
        <v/>
      </c>
      <c r="G43" s="558">
        <v>62185</v>
      </c>
      <c r="H43" s="456">
        <f>_xlfn.IFERROR(榆炼取值!H43,"")</f>
        <v>0</v>
      </c>
      <c r="I43" s="501" t="str">
        <f>_xlfn.IFERROR(H43/榆炼取值!#REF!*100,"")</f>
        <v/>
      </c>
      <c r="J43" s="464">
        <v>0</v>
      </c>
      <c r="K43" s="464">
        <v>0</v>
      </c>
      <c r="L43" s="460">
        <f>_xlfn.IFERROR(H43-K43,"")</f>
        <v>0</v>
      </c>
      <c r="M43" s="434"/>
      <c r="N43" s="434"/>
    </row>
    <row customHeight="1" ht="14.25">
      <c r="A44" s="384"/>
      <c r="B44" s="461" t="s">
        <v>57</v>
      </c>
      <c r="C44" s="454" t="s">
        <v>19</v>
      </c>
      <c r="D44" s="462" t="str">
        <f>_xlfn.IFERROR(IF(榆炼取值!D44=0,"",榆炼取值!D44),"")</f>
        <v/>
      </c>
      <c r="E44" s="481">
        <f>_xlfn.IFERROR(榆炼取值!E44,"")</f>
        <v>0</v>
      </c>
      <c r="F44" s="463" t="str">
        <f>_xlfn.IFERROR(E44/榆炼取值!D44*100,"")</f>
        <v/>
      </c>
      <c r="G44" s="558" t="str">
        <f>_xlfn.IFERROR(IF(榆炼取值!G44=0,"",榆炼取值!G44),"")</f>
        <v/>
      </c>
      <c r="H44" s="456">
        <f>_xlfn.IFERROR(榆炼取值!H44,"")</f>
        <v>0</v>
      </c>
      <c r="I44" s="501" t="str">
        <f>_xlfn.IFERROR(H44/榆炼取值!#REF!*100,"")</f>
        <v/>
      </c>
      <c r="J44" s="464">
        <v>0</v>
      </c>
      <c r="K44" s="464">
        <v>0</v>
      </c>
      <c r="L44" s="460">
        <f>_xlfn.IFERROR(H44-K44,"")</f>
        <v>0</v>
      </c>
      <c r="M44" s="434"/>
      <c r="N44" s="434"/>
    </row>
    <row customHeight="1" ht="14.25">
      <c r="A45" s="384"/>
      <c r="B45" s="461" t="s">
        <v>58</v>
      </c>
      <c r="C45" s="454" t="s">
        <v>19</v>
      </c>
      <c r="D45" s="462" t="str">
        <f>_xlfn.IFERROR(IF(榆炼取值!D45=0,"",榆炼取值!D45),"")</f>
        <v/>
      </c>
      <c r="E45" s="481">
        <f>_xlfn.IFERROR(榆炼取值!E45,"")</f>
        <v>0</v>
      </c>
      <c r="F45" s="463" t="str">
        <f>_xlfn.IFERROR(E45/榆炼取值!D45*100,"")</f>
        <v/>
      </c>
      <c r="G45" s="558" t="str">
        <f>_xlfn.IFERROR(IF(榆炼取值!G45=0,"",榆炼取值!G45),"")</f>
        <v/>
      </c>
      <c r="H45" s="456">
        <f>_xlfn.IFERROR(榆炼取值!H45,"")</f>
        <v>0</v>
      </c>
      <c r="I45" s="501" t="str">
        <f>_xlfn.IFERROR(H45/榆炼取值!#REF!*100,"")</f>
        <v/>
      </c>
      <c r="J45" s="464">
        <v>0</v>
      </c>
      <c r="K45" s="464">
        <v>0</v>
      </c>
      <c r="L45" s="460">
        <f>_xlfn.IFERROR(H45-K45,"")</f>
        <v>0</v>
      </c>
      <c r="M45" s="434"/>
      <c r="N45" s="434"/>
    </row>
    <row customHeight="1" ht="14.25">
      <c r="A46" s="384"/>
      <c r="B46" s="461" t="s">
        <v>59</v>
      </c>
      <c r="C46" s="454" t="s">
        <v>19</v>
      </c>
      <c r="D46" s="462" t="str">
        <f>_xlfn.IFERROR(IF(榆炼取值!D46=0,"",榆炼取值!D46),"")</f>
        <v/>
      </c>
      <c r="E46" s="481">
        <f>_xlfn.IFERROR(榆炼取值!E46,"")</f>
        <v>2540</v>
      </c>
      <c r="F46" s="463" t="str">
        <f>_xlfn.IFERROR(E46/榆炼取值!D46*100,"")</f>
        <v/>
      </c>
      <c r="G46" s="462" t="str">
        <f>_xlfn.IFERROR(IF(榆炼取值!G46=0,"",榆炼取值!G46),"")</f>
        <v/>
      </c>
      <c r="H46" s="456">
        <f>_xlfn.IFERROR(榆炼取值!H46,"")</f>
        <v>78654</v>
      </c>
      <c r="I46" s="501" t="str">
        <f>_xlfn.IFERROR(H46/榆炼取值!G46*100,"")</f>
        <v/>
      </c>
      <c r="J46" s="464">
        <v>9658</v>
      </c>
      <c r="K46" s="464">
        <v>57860</v>
      </c>
      <c r="L46" s="460">
        <f>_xlfn.IFERROR(H46-K46,"")</f>
        <v>20794</v>
      </c>
      <c r="M46" s="434"/>
      <c r="N46" s="434"/>
    </row>
    <row customHeight="1" ht="14.25">
      <c r="A47" s="384"/>
      <c r="B47" s="461" t="s">
        <v>60</v>
      </c>
      <c r="C47" s="454" t="s">
        <v>19</v>
      </c>
      <c r="D47" s="462" t="str">
        <f>_xlfn.IFERROR(IF(榆炼取值!D47=0,"",榆炼取值!D47),"")</f>
        <v/>
      </c>
      <c r="E47" s="481">
        <f>_xlfn.IFERROR(榆炼取值!E47,"")</f>
        <v>1467</v>
      </c>
      <c r="F47" s="463" t="str">
        <f>_xlfn.IFERROR(E47/榆炼取值!D47*100,"")</f>
        <v/>
      </c>
      <c r="G47" s="462" t="str">
        <f>_xlfn.IFERROR(IF(榆炼取值!G47=0,"",榆炼取值!G47),"")</f>
        <v/>
      </c>
      <c r="H47" s="456">
        <f>_xlfn.IFERROR(榆炼取值!H47,"")</f>
        <v>40209</v>
      </c>
      <c r="I47" s="501" t="str">
        <f>_xlfn.IFERROR(H47/榆炼取值!G47*100,"")</f>
        <v/>
      </c>
      <c r="J47" s="464">
        <v>6111</v>
      </c>
      <c r="K47" s="464">
        <v>41139</v>
      </c>
      <c r="L47" s="460">
        <f>_xlfn.IFERROR(H47-K47,"")</f>
        <v>-930</v>
      </c>
      <c r="M47" s="434"/>
      <c r="N47" s="434"/>
    </row>
    <row customHeight="1" ht="14.25">
      <c r="A48" s="384"/>
      <c r="B48" s="461" t="s">
        <v>61</v>
      </c>
      <c r="C48" s="454" t="s">
        <v>19</v>
      </c>
      <c r="D48" s="462" t="str">
        <f>_xlfn.IFERROR(IF(榆炼取值!D48=0,"",榆炼取值!D48),"")</f>
        <v/>
      </c>
      <c r="E48" s="481">
        <f>_xlfn.IFERROR(榆炼取值!E48,"")</f>
        <v>0</v>
      </c>
      <c r="F48" s="463" t="str">
        <f>_xlfn.IFERROR(E48/榆炼取值!D48*100,"")</f>
        <v/>
      </c>
      <c r="G48" s="462" t="str">
        <f>_xlfn.IFERROR(IF(榆炼取值!G48=0,"",榆炼取值!G48),"")</f>
        <v/>
      </c>
      <c r="H48" s="456">
        <f>_xlfn.IFERROR(榆炼取值!H48,"")</f>
        <v>0</v>
      </c>
      <c r="I48" s="501" t="str">
        <f>_xlfn.IFERROR(H48/榆炼取值!G48*100,"")</f>
        <v/>
      </c>
      <c r="J48" s="464">
        <v>0</v>
      </c>
      <c r="K48" s="464">
        <v>0</v>
      </c>
      <c r="L48" s="460">
        <f>_xlfn.IFERROR(H48-K48,"")</f>
        <v>0</v>
      </c>
      <c r="M48" s="434"/>
      <c r="N48" s="434"/>
    </row>
    <row customHeight="1" ht="14.25">
      <c r="A49" s="384"/>
      <c r="B49" s="461" t="s">
        <v>62</v>
      </c>
      <c r="C49" s="454" t="s">
        <v>19</v>
      </c>
      <c r="D49" s="462" t="str">
        <f>_xlfn.IFERROR(IF(榆炼取值!D49=0,"",榆炼取值!D49),"")</f>
        <v/>
      </c>
      <c r="E49" s="481">
        <f>_xlfn.IFERROR(榆炼取值!E49,"")</f>
        <v>1073</v>
      </c>
      <c r="F49" s="463" t="str">
        <f>_xlfn.IFERROR(E49/榆炼取值!D49*100,"")</f>
        <v/>
      </c>
      <c r="G49" s="462">
        <v>32996</v>
      </c>
      <c r="H49" s="456">
        <f>_xlfn.IFERROR(榆炼取值!H49,"")</f>
        <v>38445</v>
      </c>
      <c r="I49" s="501">
        <f>_xlfn.IFERROR(H49/榆炼取值!G49*100,"")</f>
        <v>116.514122923991</v>
      </c>
      <c r="J49" s="464">
        <v>3547</v>
      </c>
      <c r="K49" s="464">
        <v>16721</v>
      </c>
      <c r="L49" s="460">
        <f>_xlfn.IFERROR(H49-K49,"")</f>
        <v>21724</v>
      </c>
      <c r="M49" s="434"/>
      <c r="N49" s="434"/>
    </row>
    <row customHeight="1" ht="14.25">
      <c r="A50" s="384"/>
      <c r="B50" s="461" t="s">
        <v>63</v>
      </c>
      <c r="C50" s="454" t="s">
        <v>19</v>
      </c>
      <c r="D50" s="462" t="str">
        <f>_xlfn.IFERROR(IF(榆炼取值!D50=0,"",榆炼取值!D50),"")</f>
        <v/>
      </c>
      <c r="E50" s="481">
        <f>_xlfn.IFERROR(榆炼取值!E50,"")</f>
        <v>0</v>
      </c>
      <c r="F50" s="463" t="str">
        <f>_xlfn.IFERROR(E50/榆炼取值!D50*100,"")</f>
        <v/>
      </c>
      <c r="G50" s="462" t="str">
        <f>_xlfn.IFERROR(IF(榆炼取值!G50=0,"",榆炼取值!G50),"")</f>
        <v/>
      </c>
      <c r="H50" s="456">
        <f>_xlfn.IFERROR(榆炼取值!H50,"")</f>
        <v>0</v>
      </c>
      <c r="I50" s="501" t="str">
        <f>_xlfn.IFERROR(H50/榆炼取值!G50*100,"")</f>
        <v/>
      </c>
      <c r="J50" s="464">
        <v>0</v>
      </c>
      <c r="K50" s="464">
        <v>0</v>
      </c>
      <c r="L50" s="460">
        <f>_xlfn.IFERROR(H50-K50,"")</f>
        <v>0</v>
      </c>
      <c r="M50" s="434"/>
      <c r="N50" s="434"/>
    </row>
    <row customHeight="1" ht="14.25">
      <c r="A51" s="384"/>
      <c r="B51" s="461" t="s">
        <v>64</v>
      </c>
      <c r="C51" s="454" t="s">
        <v>19</v>
      </c>
      <c r="D51" s="462">
        <v>110000</v>
      </c>
      <c r="E51" s="481">
        <f>_xlfn.IFERROR(榆炼取值!E51,"")</f>
        <v>93177</v>
      </c>
      <c r="F51" s="463">
        <f>_xlfn.IFERROR(E51/榆炼取值!D51*100,"")</f>
        <v>84.7063636363636</v>
      </c>
      <c r="G51" s="462">
        <v>500000</v>
      </c>
      <c r="H51" s="456">
        <f>_xlfn.IFERROR(榆炼取值!H51,"")</f>
        <v>680848</v>
      </c>
      <c r="I51" s="501">
        <f>_xlfn.IFERROR(H51/榆炼取值!G51*100,"")</f>
        <v>136.1696</v>
      </c>
      <c r="J51" s="464">
        <v>60056</v>
      </c>
      <c r="K51" s="464">
        <v>824602</v>
      </c>
      <c r="L51" s="460">
        <f>_xlfn.IFERROR(H51-K51,"")</f>
        <v>-143754</v>
      </c>
      <c r="M51" s="434"/>
      <c r="N51" s="434"/>
    </row>
    <row customHeight="1" ht="14.25">
      <c r="A52" s="384"/>
      <c r="B52" s="461" t="s">
        <v>65</v>
      </c>
      <c r="C52" s="454" t="s">
        <v>19</v>
      </c>
      <c r="D52" s="462">
        <v>3200</v>
      </c>
      <c r="E52" s="481">
        <f>_xlfn.IFERROR(榆炼取值!E52,"")</f>
        <v>4742</v>
      </c>
      <c r="F52" s="463">
        <f>_xlfn.IFERROR(E52/榆炼取值!D52*100,"")</f>
        <v>148.1875</v>
      </c>
      <c r="G52" s="462">
        <v>58740</v>
      </c>
      <c r="H52" s="456">
        <f>_xlfn.IFERROR(榆炼取值!H52,"")</f>
        <v>56479.34</v>
      </c>
      <c r="I52" s="501">
        <f>_xlfn.IFERROR(H52/榆炼取值!G52*100,"")</f>
        <v>96.1514130064692</v>
      </c>
      <c r="J52" s="464">
        <v>4723.6</v>
      </c>
      <c r="K52" s="464">
        <v>57831.44</v>
      </c>
      <c r="L52" s="460">
        <f>_xlfn.IFERROR(H52-K52,"")</f>
        <v>-1352.10000000001</v>
      </c>
      <c r="M52" s="434"/>
      <c r="N52" s="434"/>
    </row>
    <row customHeight="1" ht="14.25">
      <c r="A53" s="384"/>
      <c r="B53" s="461" t="s">
        <v>66</v>
      </c>
      <c r="C53" s="454" t="s">
        <v>19</v>
      </c>
      <c r="D53" s="462" t="str">
        <f>_xlfn.IFERROR(IF(榆炼取值!D53=0,"",榆炼取值!D53),"")</f>
        <v/>
      </c>
      <c r="E53" s="481">
        <f>_xlfn.IFERROR(榆炼取值!E53,"")</f>
        <v>0</v>
      </c>
      <c r="F53" s="463" t="str">
        <f>_xlfn.IFERROR(E53/榆炼取值!D53*100,"")</f>
        <v/>
      </c>
      <c r="G53" s="462" t="str">
        <f>_xlfn.IFERROR(IF(榆炼取值!G53=0,"",榆炼取值!G53),"")</f>
        <v/>
      </c>
      <c r="H53" s="456">
        <f>_xlfn.IFERROR(榆炼取值!H53,"")</f>
        <v>0</v>
      </c>
      <c r="I53" s="501" t="str">
        <f>_xlfn.IFERROR(H53/榆炼取值!G53*100,"")</f>
        <v/>
      </c>
      <c r="J53" s="464">
        <v>0</v>
      </c>
      <c r="K53" s="464">
        <v>0</v>
      </c>
      <c r="L53" s="460">
        <f>_xlfn.IFERROR(H53-K53,"")</f>
        <v>0</v>
      </c>
      <c r="M53" s="434"/>
      <c r="N53" s="434"/>
    </row>
    <row customHeight="1" ht="14.25">
      <c r="A54" s="384"/>
      <c r="B54" s="461" t="s">
        <v>67</v>
      </c>
      <c r="C54" s="454" t="s">
        <v>19</v>
      </c>
      <c r="D54" s="462" t="str">
        <f>_xlfn.IFERROR(IF(榆炼取值!D54=0,"",榆炼取值!D54),"")</f>
        <v/>
      </c>
      <c r="E54" s="481">
        <f>_xlfn.IFERROR(榆炼取值!E54,"")</f>
        <v>0</v>
      </c>
      <c r="F54" s="463" t="str">
        <f>_xlfn.IFERROR(E54/榆炼取值!D54*100,"")</f>
        <v/>
      </c>
      <c r="G54" s="462" t="str">
        <f>_xlfn.IFERROR(IF(榆炼取值!G54=0,"",榆炼取值!G54),"")</f>
        <v/>
      </c>
      <c r="H54" s="456">
        <f>_xlfn.IFERROR(榆炼取值!H54,"")</f>
        <v>0</v>
      </c>
      <c r="I54" s="501" t="str">
        <f>_xlfn.IFERROR(H54/榆炼取值!G54*100,"")</f>
        <v/>
      </c>
      <c r="J54" s="464">
        <v>0</v>
      </c>
      <c r="K54" s="464">
        <v>0</v>
      </c>
      <c r="L54" s="460">
        <f>_xlfn.IFERROR(H54-K54,"")</f>
        <v>0</v>
      </c>
      <c r="M54" s="434"/>
      <c r="N54" s="434"/>
    </row>
    <row customHeight="1" ht="14.25">
      <c r="A55" s="384"/>
      <c r="B55" s="461" t="s">
        <v>68</v>
      </c>
      <c r="C55" s="454" t="s">
        <v>19</v>
      </c>
      <c r="D55" s="462">
        <v>4000</v>
      </c>
      <c r="E55" s="481">
        <f>_xlfn.IFERROR(榆炼取值!E55,"")</f>
        <v>3671</v>
      </c>
      <c r="F55" s="463">
        <f>_xlfn.IFERROR(E55/榆炼取值!D55*100,"")</f>
        <v>91.775</v>
      </c>
      <c r="G55" s="462">
        <v>29726</v>
      </c>
      <c r="H55" s="456">
        <f>_xlfn.IFERROR(榆炼取值!H55,"")</f>
        <v>37648</v>
      </c>
      <c r="I55" s="501">
        <f>_xlfn.IFERROR(H55/榆炼取值!G55*100,"")</f>
        <v>126.650070645226</v>
      </c>
      <c r="J55" s="464">
        <v>4036</v>
      </c>
      <c r="K55" s="464">
        <v>49569</v>
      </c>
      <c r="L55" s="460">
        <f>_xlfn.IFERROR(H55-K55,"")</f>
        <v>-11921</v>
      </c>
      <c r="M55" s="434"/>
      <c r="N55" s="434"/>
    </row>
    <row customHeight="1" ht="14.25">
      <c r="A56" s="384"/>
      <c r="B56" s="461" t="s">
        <v>69</v>
      </c>
      <c r="C56" s="454" t="s">
        <v>19</v>
      </c>
      <c r="D56" s="462" t="str">
        <f>_xlfn.IFERROR(IF(榆炼取值!D56=0,"",榆炼取值!D56),"")</f>
        <v/>
      </c>
      <c r="E56" s="481">
        <f>_xlfn.IFERROR(榆炼取值!E56,"")</f>
        <v>6938.88</v>
      </c>
      <c r="F56" s="463" t="str">
        <f>_xlfn.IFERROR(E56/榆炼取值!D56*100,"")</f>
        <v/>
      </c>
      <c r="G56" s="462">
        <v>66500</v>
      </c>
      <c r="H56" s="456">
        <f>_xlfn.IFERROR(榆炼取值!H56,"")</f>
        <v>6938.88</v>
      </c>
      <c r="I56" s="501">
        <f>_xlfn.IFERROR(H56/榆炼取值!G56*100,"")</f>
        <v>10.4344060150376</v>
      </c>
      <c r="J56" s="464">
        <v>5079.1</v>
      </c>
      <c r="K56" s="464">
        <v>49370.66</v>
      </c>
      <c r="L56" s="460">
        <f>_xlfn.IFERROR(H56-K56,"")</f>
        <v>-42431.78</v>
      </c>
      <c r="M56" s="434"/>
      <c r="N56" s="434"/>
    </row>
    <row customHeight="1" ht="14.25">
      <c r="A57" s="384"/>
      <c r="B57" s="461" t="s">
        <v>153</v>
      </c>
      <c r="C57" s="454" t="s">
        <v>19</v>
      </c>
      <c r="D57" s="462" t="str">
        <f>_xlfn.IFERROR(IF(榆炼取值!D57=0,"",榆炼取值!D57),"")</f>
        <v/>
      </c>
      <c r="E57" s="481">
        <f>_xlfn.IFERROR(榆炼取值!E57,"")</f>
        <v>0</v>
      </c>
      <c r="F57" s="463" t="str">
        <f>_xlfn.IFERROR(E57/榆炼取值!D57*100,"")</f>
        <v/>
      </c>
      <c r="G57" s="462" t="str">
        <f>_xlfn.IFERROR(IF(榆炼取值!G57=0,"",榆炼取值!G57),"")</f>
        <v/>
      </c>
      <c r="H57" s="456">
        <f>_xlfn.IFERROR(榆炼取值!H57,"")</f>
        <v>0</v>
      </c>
      <c r="I57" s="501" t="str">
        <f>_xlfn.IFERROR(H57/榆炼取值!G57*100,"")</f>
        <v/>
      </c>
      <c r="J57" s="464">
        <v>0</v>
      </c>
      <c r="K57" s="464">
        <v>0</v>
      </c>
      <c r="L57" s="460">
        <f>_xlfn.IFERROR(H57-K57,"")</f>
        <v>0</v>
      </c>
      <c r="M57" s="434"/>
      <c r="N57" s="434"/>
    </row>
    <row customHeight="1" ht="14.25">
      <c r="A58" s="384"/>
      <c r="B58" s="461" t="s">
        <v>71</v>
      </c>
      <c r="C58" s="454" t="s">
        <v>19</v>
      </c>
      <c r="D58" s="462" t="str">
        <f>_xlfn.IFERROR(IF(榆炼取值!D58=0,"",榆炼取值!D58),"")</f>
        <v/>
      </c>
      <c r="E58" s="481">
        <f>_xlfn.IFERROR(榆炼取值!E58,"")</f>
        <v>666.74</v>
      </c>
      <c r="F58" s="463" t="str">
        <f>_xlfn.IFERROR(E58/榆炼取值!D58*100,"")</f>
        <v/>
      </c>
      <c r="G58" s="462">
        <v>2000</v>
      </c>
      <c r="H58" s="456">
        <f>_xlfn.IFERROR(榆炼取值!H58,"")</f>
        <v>5098.36</v>
      </c>
      <c r="I58" s="501">
        <f>_xlfn.IFERROR(H58/榆炼取值!G58*100,"")</f>
        <v>254.918</v>
      </c>
      <c r="J58" s="464">
        <v>521.56</v>
      </c>
      <c r="K58" s="464">
        <v>6177.67</v>
      </c>
      <c r="L58" s="460">
        <f>_xlfn.IFERROR(H58-K58,"")</f>
        <v>-1079.31</v>
      </c>
      <c r="M58" s="434"/>
      <c r="N58" s="434"/>
    </row>
    <row customHeight="1" ht="14.25">
      <c r="A59" s="384"/>
      <c r="B59" s="461" t="s">
        <v>72</v>
      </c>
      <c r="C59" s="454" t="s">
        <v>19</v>
      </c>
      <c r="D59" s="462" t="str">
        <f>_xlfn.IFERROR(IF(榆炼取值!D59=0,"",榆炼取值!D59),"")</f>
        <v/>
      </c>
      <c r="E59" s="481">
        <f>_xlfn.IFERROR(榆炼取值!E59,"")</f>
        <v>0</v>
      </c>
      <c r="F59" s="463" t="str">
        <f>_xlfn.IFERROR(E59/榆炼取值!D59*100,"")</f>
        <v/>
      </c>
      <c r="G59" s="462" t="str">
        <f>_xlfn.IFERROR(IF(榆炼取值!G59=0,"",榆炼取值!G59),"")</f>
        <v/>
      </c>
      <c r="H59" s="456">
        <f>_xlfn.IFERROR(榆炼取值!H59,"")</f>
        <v>0</v>
      </c>
      <c r="I59" s="501" t="str">
        <f>_xlfn.IFERROR(H59/榆炼取值!G59*100,"")</f>
        <v/>
      </c>
      <c r="J59" s="464">
        <v>0</v>
      </c>
      <c r="K59" s="464">
        <v>0</v>
      </c>
      <c r="L59" s="460">
        <f>_xlfn.IFERROR(H59-K59,"")</f>
        <v>0</v>
      </c>
      <c r="M59" s="434"/>
      <c r="N59" s="434"/>
    </row>
    <row customHeight="1" ht="14.25">
      <c r="A60" s="384"/>
      <c r="B60" s="478" t="s">
        <v>73</v>
      </c>
      <c r="C60" s="454" t="s">
        <v>19</v>
      </c>
      <c r="D60" s="462" t="str">
        <f>_xlfn.IFERROR(IF(榆炼取值!D60=0,"",榆炼取值!D60),"")</f>
        <v/>
      </c>
      <c r="E60" s="481">
        <f>_xlfn.IFERROR(榆炼取值!E60,"")</f>
        <v>0</v>
      </c>
      <c r="F60" s="463" t="str">
        <f>_xlfn.IFERROR(E60/榆炼取值!D60*100,"")</f>
        <v/>
      </c>
      <c r="G60" s="462" t="str">
        <f>_xlfn.IFERROR(IF(榆炼取值!G60=0,"",榆炼取值!G60),"")</f>
        <v/>
      </c>
      <c r="H60" s="456">
        <f>_xlfn.IFERROR(榆炼取值!H60,"")</f>
        <v>0</v>
      </c>
      <c r="I60" s="501" t="str">
        <f>_xlfn.IFERROR(H60/榆炼取值!G60*100,"")</f>
        <v/>
      </c>
      <c r="J60" s="464">
        <v>0</v>
      </c>
      <c r="K60" s="464">
        <v>0</v>
      </c>
      <c r="L60" s="460">
        <f>_xlfn.IFERROR(H60-K60,"")</f>
        <v>0</v>
      </c>
      <c r="M60" s="434"/>
      <c r="N60" s="434"/>
    </row>
    <row customHeight="1" ht="14.25">
      <c r="A61" s="384"/>
      <c r="B61" s="478" t="s">
        <v>74</v>
      </c>
      <c r="C61" s="479" t="s">
        <v>19</v>
      </c>
      <c r="D61" s="462" t="str">
        <f>_xlfn.IFERROR(IF(榆炼取值!D61=0,"",榆炼取值!D61),"")</f>
        <v/>
      </c>
      <c r="E61" s="481">
        <f>_xlfn.IFERROR(榆炼取值!E61,"")</f>
        <v>0</v>
      </c>
      <c r="F61" s="463" t="str">
        <f>_xlfn.IFERROR(E61/榆炼取值!D61*100,"")</f>
        <v/>
      </c>
      <c r="G61" s="462" t="str">
        <f>_xlfn.IFERROR(IF(榆炼取值!G61=0,"",榆炼取值!G61),"")</f>
        <v/>
      </c>
      <c r="H61" s="456">
        <f>_xlfn.IFERROR(榆炼取值!H61,"")</f>
        <v>0</v>
      </c>
      <c r="I61" s="501" t="str">
        <f>_xlfn.IFERROR(H61/榆炼取值!G61*100,"")</f>
        <v/>
      </c>
      <c r="J61" s="464">
        <v>0</v>
      </c>
      <c r="K61" s="464">
        <v>0</v>
      </c>
      <c r="L61" s="460">
        <f>_xlfn.IFERROR(H61-K61,"")</f>
        <v>0</v>
      </c>
      <c r="M61" s="434"/>
      <c r="N61" s="434"/>
    </row>
    <row customHeight="1" ht="14.25">
      <c r="A62" s="384"/>
      <c r="B62" s="461" t="s">
        <v>75</v>
      </c>
      <c r="C62" s="454" t="s">
        <v>19</v>
      </c>
      <c r="D62" s="462" t="str">
        <f>_xlfn.IFERROR(IF(榆炼取值!D62=0,"",榆炼取值!D62),"")</f>
        <v/>
      </c>
      <c r="E62" s="481">
        <f>_xlfn.IFERROR(榆炼取值!E62,"")</f>
        <v>0</v>
      </c>
      <c r="F62" s="463" t="str">
        <f>_xlfn.IFERROR(E62/榆炼取值!D62*100,"")</f>
        <v/>
      </c>
      <c r="G62" s="462" t="str">
        <f>_xlfn.IFERROR(IF(榆炼取值!G62=0,"",榆炼取值!G62),"")</f>
        <v/>
      </c>
      <c r="H62" s="456">
        <f>_xlfn.IFERROR(榆炼取值!H62,"")</f>
        <v>0</v>
      </c>
      <c r="I62" s="501" t="str">
        <f>_xlfn.IFERROR(H62/榆炼取值!G62*100,"")</f>
        <v/>
      </c>
      <c r="J62" s="464">
        <v>0</v>
      </c>
      <c r="K62" s="464">
        <v>0</v>
      </c>
      <c r="L62" s="460">
        <f>_xlfn.IFERROR(H62-K62,"")</f>
        <v>0</v>
      </c>
      <c r="M62" s="434"/>
      <c r="N62" s="434"/>
    </row>
    <row customHeight="1" ht="14.25">
      <c r="A63" s="384"/>
      <c r="B63" s="461" t="s">
        <v>76</v>
      </c>
      <c r="C63" s="454" t="s">
        <v>19</v>
      </c>
      <c r="D63" s="462" t="str">
        <f>_xlfn.IFERROR(IF(榆炼取值!D63=0,"",榆炼取值!D63),"")</f>
        <v/>
      </c>
      <c r="E63" s="481">
        <f>_xlfn.IFERROR(榆炼取值!E63,"")</f>
        <v>0</v>
      </c>
      <c r="F63" s="463" t="str">
        <f>_xlfn.IFERROR(E63/榆炼取值!D63*100,"")</f>
        <v/>
      </c>
      <c r="G63" s="462" t="str">
        <f>_xlfn.IFERROR(IF(榆炼取值!G63=0,"",榆炼取值!G63),"")</f>
        <v/>
      </c>
      <c r="H63" s="456">
        <f>_xlfn.IFERROR(榆炼取值!H63,"")</f>
        <v>0</v>
      </c>
      <c r="I63" s="501" t="str">
        <f>_xlfn.IFERROR(H63/榆炼取值!G63*100,"")</f>
        <v/>
      </c>
      <c r="J63" s="464">
        <v>0</v>
      </c>
      <c r="K63" s="464">
        <v>0</v>
      </c>
      <c r="L63" s="460">
        <f>_xlfn.IFERROR(H63-K63,"")</f>
        <v>0</v>
      </c>
      <c r="M63" s="434"/>
      <c r="N63" s="434"/>
    </row>
    <row customHeight="1" ht="14.25">
      <c r="A64" s="384"/>
      <c r="B64" s="461" t="s">
        <v>77</v>
      </c>
      <c r="C64" s="454" t="s">
        <v>19</v>
      </c>
      <c r="D64" s="462" t="str">
        <f>_xlfn.IFERROR(IF(榆炼取值!D64=0,"",榆炼取值!D64),"")</f>
        <v/>
      </c>
      <c r="E64" s="481">
        <f>_xlfn.IFERROR(榆炼取值!E64,"")</f>
        <v>0</v>
      </c>
      <c r="F64" s="463" t="str">
        <f>_xlfn.IFERROR(E64/榆炼取值!D64*100,"")</f>
        <v/>
      </c>
      <c r="G64" s="462" t="str">
        <f>_xlfn.IFERROR(IF(榆炼取值!G64=0,"",榆炼取值!G64),"")</f>
        <v/>
      </c>
      <c r="H64" s="456">
        <f>_xlfn.IFERROR(榆炼取值!H64,"")</f>
        <v>0</v>
      </c>
      <c r="I64" s="501" t="str">
        <f>_xlfn.IFERROR(H64/榆炼取值!G64*100,"")</f>
        <v/>
      </c>
      <c r="J64" s="464">
        <v>0</v>
      </c>
      <c r="K64" s="464">
        <v>0</v>
      </c>
      <c r="L64" s="460">
        <f>_xlfn.IFERROR(H64-K64,"")</f>
        <v>0</v>
      </c>
      <c r="M64" s="434"/>
      <c r="N64" s="434"/>
    </row>
    <row customHeight="1" ht="14.25">
      <c r="A65" s="384"/>
      <c r="B65" s="461" t="s">
        <v>78</v>
      </c>
      <c r="C65" s="454" t="s">
        <v>19</v>
      </c>
      <c r="D65" s="462" t="str">
        <f>_xlfn.IFERROR(IF(榆炼取值!D65=0,"",榆炼取值!D65),"")</f>
        <v/>
      </c>
      <c r="E65" s="481">
        <f>_xlfn.IFERROR(榆炼取值!E65,"")</f>
        <v>0</v>
      </c>
      <c r="F65" s="463" t="str">
        <f>_xlfn.IFERROR(E65/榆炼取值!D65*100,"")</f>
        <v/>
      </c>
      <c r="G65" s="462" t="str">
        <f>_xlfn.IFERROR(IF(榆炼取值!G65=0,"",榆炼取值!G65),"")</f>
        <v/>
      </c>
      <c r="H65" s="456">
        <f>_xlfn.IFERROR(榆炼取值!H65,"")</f>
        <v>0</v>
      </c>
      <c r="I65" s="501" t="str">
        <f>_xlfn.IFERROR(H65/榆炼取值!G65*100,"")</f>
        <v/>
      </c>
      <c r="J65" s="464">
        <v>0</v>
      </c>
      <c r="K65" s="464">
        <v>0</v>
      </c>
      <c r="L65" s="460">
        <f>_xlfn.IFERROR(H65-K65,"")</f>
        <v>0</v>
      </c>
      <c r="M65" s="434"/>
      <c r="N65" s="434"/>
    </row>
    <row customHeight="1" ht="14.25">
      <c r="A66" s="384"/>
      <c r="B66" s="461" t="s">
        <v>79</v>
      </c>
      <c r="C66" s="454" t="s">
        <v>19</v>
      </c>
      <c r="D66" s="462" t="str">
        <f>_xlfn.IFERROR(IF(榆炼取值!D66=0,"",榆炼取值!D66),"")</f>
        <v/>
      </c>
      <c r="E66" s="481">
        <f>_xlfn.IFERROR(榆炼取值!E66,"")</f>
        <v>0</v>
      </c>
      <c r="F66" s="463" t="str">
        <f>_xlfn.IFERROR(E66/榆炼取值!D66*100,"")</f>
        <v/>
      </c>
      <c r="G66" s="462" t="str">
        <f>_xlfn.IFERROR(IF(榆炼取值!G66=0,"",榆炼取值!G66),"")</f>
        <v/>
      </c>
      <c r="H66" s="456">
        <f>_xlfn.IFERROR(榆炼取值!H66,"")</f>
        <v>2830</v>
      </c>
      <c r="I66" s="501" t="str">
        <f>_xlfn.IFERROR(H66/榆炼取值!G66*100,"")</f>
        <v/>
      </c>
      <c r="J66" s="464">
        <v>0</v>
      </c>
      <c r="K66" s="464">
        <v>3152</v>
      </c>
      <c r="L66" s="460">
        <f>_xlfn.IFERROR(H66-K66,"")</f>
        <v>-322</v>
      </c>
      <c r="M66" s="434"/>
      <c r="N66" s="434"/>
    </row>
    <row customHeight="1" ht="14.25">
      <c r="A67" s="384"/>
      <c r="B67" s="461" t="s">
        <v>80</v>
      </c>
      <c r="C67" s="454" t="s">
        <v>19</v>
      </c>
      <c r="D67" s="462" t="str">
        <f>_xlfn.IFERROR(IF(榆炼取值!D67=0,"",榆炼取值!D67),"")</f>
        <v/>
      </c>
      <c r="E67" s="736"/>
      <c r="F67" s="463" t="str">
        <f>_xlfn.IFERROR(E67/榆炼取值!D67*100,"")</f>
        <v/>
      </c>
      <c r="G67" s="462" t="str">
        <f>_xlfn.IFERROR(IF(榆炼取值!G67=0,"",榆炼取值!G67),"")</f>
        <v/>
      </c>
      <c r="H67" s="480"/>
      <c r="I67" s="501" t="str">
        <f>_xlfn.IFERROR(H67/榆炼取值!G67*100,"")</f>
        <v/>
      </c>
      <c r="J67" s="464">
        <v>23787</v>
      </c>
      <c r="K67" s="464">
        <v>259063</v>
      </c>
      <c r="L67" s="460">
        <f>_xlfn.IFERROR(H67-K67,"")</f>
        <v>-259063</v>
      </c>
      <c r="M67" s="434"/>
      <c r="N67" s="434"/>
    </row>
    <row customHeight="1" ht="14.25">
      <c r="A68" s="384"/>
      <c r="B68" s="453" t="s">
        <v>81</v>
      </c>
      <c r="C68" s="454"/>
      <c r="D68" s="472"/>
      <c r="E68" s="481"/>
      <c r="F68" s="463"/>
      <c r="G68" s="472"/>
      <c r="H68" s="456"/>
      <c r="I68" s="501"/>
      <c r="J68" s="451"/>
      <c r="K68" s="451"/>
      <c r="L68" s="460"/>
      <c r="M68" s="434"/>
      <c r="N68" s="434"/>
    </row>
    <row customHeight="1" ht="14.25">
      <c r="A69" s="384"/>
      <c r="B69" s="461" t="s">
        <v>82</v>
      </c>
      <c r="C69" s="454" t="s">
        <v>19</v>
      </c>
      <c r="D69" s="462">
        <v>348000</v>
      </c>
      <c r="E69" s="481">
        <f>_xlfn.IFERROR(榆炼取值!E69,"")</f>
        <v>370004</v>
      </c>
      <c r="F69" s="463">
        <f>_xlfn.IFERROR(E69/榆炼取值!D69*100,"")</f>
        <v>106.322988505747</v>
      </c>
      <c r="G69" s="462">
        <v>3141452</v>
      </c>
      <c r="H69" s="456">
        <f>_xlfn.IFERROR(榆炼取值!H69,"")</f>
        <v>3289715</v>
      </c>
      <c r="I69" s="501">
        <f>_xlfn.IFERROR(H69/榆炼取值!G69*100,"")</f>
        <v>104.719569167379</v>
      </c>
      <c r="J69" s="464">
        <v>319790</v>
      </c>
      <c r="K69" s="464">
        <v>3623474</v>
      </c>
      <c r="L69" s="460">
        <f>_xlfn.IFERROR(H69-K69,"")</f>
        <v>-333759</v>
      </c>
      <c r="M69" s="434"/>
      <c r="N69" s="434"/>
    </row>
    <row customHeight="1" ht="14.25">
      <c r="A70" s="384"/>
      <c r="B70" s="461" t="s">
        <v>83</v>
      </c>
      <c r="C70" s="454" t="s">
        <v>19</v>
      </c>
      <c r="D70" s="482">
        <v>449000</v>
      </c>
      <c r="E70" s="481">
        <f>_xlfn.IFERROR(榆炼取值!E70,"")</f>
        <v>531379.86</v>
      </c>
      <c r="F70" s="463">
        <f>_xlfn.IFERROR(E70/榆炼取值!D70*100,"")</f>
        <v>118.347407572383</v>
      </c>
      <c r="G70" s="482">
        <v>4721773</v>
      </c>
      <c r="H70" s="456">
        <f>_xlfn.IFERROR(榆炼取值!H70,"")</f>
        <v>4457298.6</v>
      </c>
      <c r="I70" s="501">
        <f>_xlfn.IFERROR(H70/榆炼取值!G70*100,"")</f>
        <v>94.398832811319</v>
      </c>
      <c r="J70" s="464">
        <v>433130.56</v>
      </c>
      <c r="K70" s="464">
        <v>5042491.11</v>
      </c>
      <c r="L70" s="460">
        <f>_xlfn.IFERROR(H70-K70,"")</f>
        <v>-585192.510000001</v>
      </c>
      <c r="M70" s="434"/>
      <c r="N70" s="434"/>
    </row>
    <row customHeight="1" ht="14.25">
      <c r="A71" s="384"/>
      <c r="B71" s="461" t="s">
        <v>84</v>
      </c>
      <c r="C71" s="454" t="s">
        <v>85</v>
      </c>
      <c r="D71" s="483">
        <v>93.5</v>
      </c>
      <c r="E71" s="737">
        <f>_xlfn.IFERROR(榆炼取值!E71,"")</f>
        <v>93.8975391008743</v>
      </c>
      <c r="F71" s="463">
        <f>_xlfn.IFERROR(E71-榆炼取值!D71,"")</f>
        <v>0.397539100874297</v>
      </c>
      <c r="G71" s="483">
        <v>92.4</v>
      </c>
      <c r="H71" s="487">
        <f>_xlfn.IFERROR(榆炼取值!H71,"")</f>
        <v>93.5298938553412</v>
      </c>
      <c r="I71" s="501">
        <f>_xlfn.IFERROR(H71-榆炼取值!G71,"")</f>
        <v>1.12989385534119</v>
      </c>
      <c r="J71" s="485">
        <v>93.6730952578578</v>
      </c>
      <c r="K71" s="485">
        <v>94.1242363636652</v>
      </c>
      <c r="L71" s="486">
        <f>_xlfn.IFERROR(H71-K71,"")</f>
        <v>-0.594342508324004</v>
      </c>
      <c r="M71" s="434"/>
      <c r="N71" s="434"/>
    </row>
    <row customHeight="1" ht="14.25">
      <c r="A72" s="384"/>
      <c r="B72" s="461" t="s">
        <v>86</v>
      </c>
      <c r="C72" s="454" t="s">
        <v>85</v>
      </c>
      <c r="D72" s="483">
        <v>5.35</v>
      </c>
      <c r="E72" s="737">
        <f>_xlfn.IFERROR(榆炼取值!E72,"")</f>
        <v>4.58538584947665</v>
      </c>
      <c r="F72" s="463">
        <f>_xlfn.IFERROR(E72-榆炼取值!D72,"")</f>
        <v>-0.764614150523349</v>
      </c>
      <c r="G72" s="483">
        <v>6.4</v>
      </c>
      <c r="H72" s="487">
        <f>_xlfn.IFERROR(榆炼取值!H72,"")</f>
        <v>5.34450315656698</v>
      </c>
      <c r="I72" s="501">
        <f>_xlfn.IFERROR(H72-榆炼取值!G72,"")</f>
        <v>-1.05549684343302</v>
      </c>
      <c r="J72" s="485">
        <v>5.37172840641678</v>
      </c>
      <c r="K72" s="485">
        <v>4.9387604304005</v>
      </c>
      <c r="L72" s="486">
        <f>_xlfn.IFERROR(H72-K72,"")</f>
        <v>0.40574272616648</v>
      </c>
      <c r="M72" s="434"/>
      <c r="N72" s="434"/>
    </row>
    <row customHeight="1" ht="14.25">
      <c r="A73" s="384"/>
      <c r="B73" s="461" t="s">
        <v>87</v>
      </c>
      <c r="C73" s="454" t="s">
        <v>85</v>
      </c>
      <c r="D73" s="483">
        <v>1.15</v>
      </c>
      <c r="E73" s="737">
        <f>_xlfn.IFERROR(榆炼取值!E73,"")</f>
        <v>1.52410366590573</v>
      </c>
      <c r="F73" s="463">
        <f>_xlfn.IFERROR(E73-榆炼取值!D73,"")</f>
        <v>0.37410366590573</v>
      </c>
      <c r="G73" s="483">
        <v>1.2</v>
      </c>
      <c r="H73" s="487">
        <f>_xlfn.IFERROR(榆炼取值!H73,"")</f>
        <v>1.13417183378315</v>
      </c>
      <c r="I73" s="501">
        <f>_xlfn.IFERROR(H73-榆炼取值!G73,"")</f>
        <v>-0.0658281662168501</v>
      </c>
      <c r="J73" s="485">
        <v>0.964297651922852</v>
      </c>
      <c r="K73" s="485">
        <v>0.95627151735143</v>
      </c>
      <c r="L73" s="486">
        <f>_xlfn.IFERROR(H73-K73,"")</f>
        <v>0.17790031643172</v>
      </c>
      <c r="M73" s="434"/>
      <c r="N73" s="434"/>
    </row>
    <row customHeight="1" ht="14.25">
      <c r="A74" s="384"/>
      <c r="B74" s="461" t="s">
        <v>88</v>
      </c>
      <c r="C74" s="488" t="s">
        <v>89</v>
      </c>
      <c r="D74" s="483">
        <v>66</v>
      </c>
      <c r="E74" s="737">
        <f>_xlfn.IFERROR(榆炼取值!E74,"")</f>
        <v>48.8422655386941</v>
      </c>
      <c r="F74" s="463">
        <f>_xlfn.IFERROR(E74-榆炼取值!D74,"")</f>
        <v>-17.1577344613059</v>
      </c>
      <c r="G74" s="483">
        <v>68</v>
      </c>
      <c r="H74" s="487">
        <f>_xlfn.IFERROR(榆炼取值!H74,"")</f>
        <v>61.0876242794013</v>
      </c>
      <c r="I74" s="501">
        <f>_xlfn.IFERROR(H74-榆炼取值!G74,"")</f>
        <v>-6.9123757205987</v>
      </c>
      <c r="J74" s="485">
        <v>59.7884800945526</v>
      </c>
      <c r="K74" s="485">
        <v>58.2965548152481</v>
      </c>
      <c r="L74" s="486">
        <f>_xlfn.IFERROR(H74-K74,"")</f>
        <v>2.7910694641532</v>
      </c>
      <c r="M74" s="434"/>
      <c r="N74" s="434"/>
    </row>
    <row customHeight="1" ht="14.25">
      <c r="A75" s="384"/>
      <c r="B75" s="461" t="s">
        <v>90</v>
      </c>
      <c r="C75" s="488" t="s">
        <v>91</v>
      </c>
      <c r="D75" s="483" t="str">
        <f>_xlfn.IFERROR(IF(榆炼取值!D75=0,"",榆炼取值!D75),"")</f>
        <v/>
      </c>
      <c r="E75" s="737">
        <f>_xlfn.IFERROR(榆炼取值!E75,"")</f>
        <v>0</v>
      </c>
      <c r="F75" s="463">
        <f>_xlfn.IFERROR(E75-榆炼取值!D75,"")</f>
        <v>0</v>
      </c>
      <c r="G75" s="483" t="str">
        <f>_xlfn.IFERROR(IF(榆炼取值!G75=0,"",榆炼取值!G75),"")</f>
        <v/>
      </c>
      <c r="H75" s="487">
        <f>_xlfn.IFERROR(榆炼取值!H75,"")</f>
        <v>0</v>
      </c>
      <c r="I75" s="501">
        <f>_xlfn.IFERROR(H75-榆炼取值!G75,"")</f>
        <v>0</v>
      </c>
      <c r="J75" s="485">
        <v>0</v>
      </c>
      <c r="K75" s="485">
        <v>0</v>
      </c>
      <c r="L75" s="486">
        <f>_xlfn.IFERROR(H75-K75,"")</f>
        <v>0</v>
      </c>
      <c r="M75" s="434"/>
      <c r="N75" s="434"/>
    </row>
    <row customHeight="1" ht="14.25">
      <c r="A76" s="384"/>
      <c r="B76" s="461" t="s">
        <v>92</v>
      </c>
      <c r="C76" s="454" t="s">
        <v>85</v>
      </c>
      <c r="D76" s="483">
        <v>100</v>
      </c>
      <c r="E76" s="737">
        <f>_xlfn.IFERROR(榆炼取值!E76,"")</f>
        <v>100</v>
      </c>
      <c r="F76" s="463">
        <f>_xlfn.IFERROR(E76-榆炼取值!D76,"")</f>
        <v>0</v>
      </c>
      <c r="G76" s="483">
        <v>100</v>
      </c>
      <c r="H76" s="487">
        <f>_xlfn.IFERROR(榆炼取值!H76,"")</f>
        <v>100</v>
      </c>
      <c r="I76" s="501">
        <f>_xlfn.IFERROR(H76-榆炼取值!G76,"")</f>
        <v>0</v>
      </c>
      <c r="J76" s="485">
        <v>100</v>
      </c>
      <c r="K76" s="485">
        <v>100</v>
      </c>
      <c r="L76" s="486">
        <f>_xlfn.IFERROR(H76-K76,"")</f>
        <v>0</v>
      </c>
      <c r="M76" s="434"/>
      <c r="N76" s="434"/>
    </row>
    <row customHeight="1" ht="14.25">
      <c r="A77" s="384"/>
      <c r="B77" s="453" t="s">
        <v>93</v>
      </c>
      <c r="C77" s="491"/>
      <c r="D77" s="492"/>
      <c r="E77" s="737"/>
      <c r="F77" s="463"/>
      <c r="G77" s="492"/>
      <c r="H77" s="487"/>
      <c r="I77" s="501"/>
      <c r="J77" s="457"/>
      <c r="K77" s="457"/>
      <c r="L77" s="486"/>
      <c r="M77" s="434"/>
      <c r="N77" s="434"/>
    </row>
    <row customHeight="1" ht="14.25">
      <c r="A78" s="384"/>
      <c r="B78" s="461" t="s">
        <v>94</v>
      </c>
      <c r="C78" s="454" t="s">
        <v>85</v>
      </c>
      <c r="D78" s="483">
        <v>50.7</v>
      </c>
      <c r="E78" s="737">
        <f>_xlfn.IFERROR(榆炼取值!E78,"")</f>
        <v>52.1196726553869</v>
      </c>
      <c r="F78" s="463">
        <f>_xlfn.IFERROR(E78-榆炼取值!D78,"")</f>
        <v>1.4196726553869</v>
      </c>
      <c r="G78" s="483">
        <v>51</v>
      </c>
      <c r="H78" s="487">
        <f>_xlfn.IFERROR(榆炼取值!H78,"")</f>
        <v>51.729920076454</v>
      </c>
      <c r="I78" s="501">
        <f>_xlfn.IFERROR(H78-榆炼取值!G78,"")</f>
        <v>0.729920076454</v>
      </c>
      <c r="J78" s="485">
        <v>53.5041713027299</v>
      </c>
      <c r="K78" s="485">
        <v>51.5708600443059</v>
      </c>
      <c r="L78" s="486">
        <f>_xlfn.IFERROR(H78-K78,"")</f>
        <v>0.159060032148098</v>
      </c>
      <c r="M78" s="434"/>
      <c r="N78" s="434"/>
    </row>
    <row customHeight="1" ht="14.25">
      <c r="A79" s="384"/>
      <c r="B79" s="461" t="s">
        <v>95</v>
      </c>
      <c r="C79" s="454" t="s">
        <v>85</v>
      </c>
      <c r="D79" s="483">
        <v>84.65</v>
      </c>
      <c r="E79" s="737">
        <f>_xlfn.IFERROR(榆炼取值!E79,"")</f>
        <v>85.3531194601705</v>
      </c>
      <c r="F79" s="463">
        <f>_xlfn.IFERROR(E79-榆炼取值!D79,"")</f>
        <v>0.703119460170498</v>
      </c>
      <c r="G79" s="483">
        <v>84.65</v>
      </c>
      <c r="H79" s="487">
        <f>_xlfn.IFERROR(榆炼取值!H79,"")</f>
        <v>84.6300634112381</v>
      </c>
      <c r="I79" s="501">
        <f>_xlfn.IFERROR(H79-榆炼取值!G79,"")</f>
        <v>-0.0199365887619081</v>
      </c>
      <c r="J79" s="485">
        <v>85.0072485535544</v>
      </c>
      <c r="K79" s="485">
        <v>85.0723559926834</v>
      </c>
      <c r="L79" s="486">
        <f>_xlfn.IFERROR(H79-K79,"")</f>
        <v>-0.442292581445301</v>
      </c>
      <c r="M79" s="434"/>
      <c r="N79" s="434"/>
    </row>
    <row customHeight="1" ht="14.25">
      <c r="A80" s="384"/>
      <c r="B80" s="461" t="s">
        <v>96</v>
      </c>
      <c r="C80" s="454" t="s">
        <v>85</v>
      </c>
      <c r="D80" s="483">
        <v>70.65</v>
      </c>
      <c r="E80" s="737">
        <f>_xlfn.IFERROR(榆炼取值!E80,"")</f>
        <v>73.6169726082233</v>
      </c>
      <c r="F80" s="463">
        <f>_xlfn.IFERROR(E80-榆炼取值!D80,"")</f>
        <v>2.9669726082233</v>
      </c>
      <c r="G80" s="483">
        <v>71.15</v>
      </c>
      <c r="H80" s="487">
        <f>_xlfn.IFERROR(榆炼取值!H80,"")</f>
        <v>71.3921192121223</v>
      </c>
      <c r="I80" s="501">
        <f>_xlfn.IFERROR(H80-榆炼取值!G80,"")</f>
        <v>0.24211921212229</v>
      </c>
      <c r="J80" s="485">
        <v>71.7704755312341</v>
      </c>
      <c r="K80" s="485">
        <v>71.2780593121233</v>
      </c>
      <c r="L80" s="486">
        <f>_xlfn.IFERROR(H80-K80,"")</f>
        <v>0.114059899998992</v>
      </c>
      <c r="M80" s="434"/>
      <c r="N80" s="434"/>
    </row>
    <row customHeight="1" ht="14.25">
      <c r="A81" s="384"/>
      <c r="B81" s="461" t="s">
        <v>97</v>
      </c>
      <c r="C81" s="454" t="s">
        <v>85</v>
      </c>
      <c r="D81" s="483">
        <v>14</v>
      </c>
      <c r="E81" s="737">
        <f>_xlfn.IFERROR(榆炼取值!E81,"")</f>
        <v>11.7361468519472</v>
      </c>
      <c r="F81" s="463">
        <f>_xlfn.IFERROR(E81-榆炼取值!D81,"")</f>
        <v>-2.2638531480528</v>
      </c>
      <c r="G81" s="483">
        <v>13.5</v>
      </c>
      <c r="H81" s="487">
        <f>_xlfn.IFERROR(榆炼取值!H81,"")</f>
        <v>13.2379441991158</v>
      </c>
      <c r="I81" s="501">
        <f>_xlfn.IFERROR(H81-榆炼取值!G81,"")</f>
        <v>-0.2620558008842</v>
      </c>
      <c r="J81" s="485">
        <v>13.2367730223203</v>
      </c>
      <c r="K81" s="485">
        <v>13.7942966805601</v>
      </c>
      <c r="L81" s="486">
        <f>_xlfn.IFERROR(H81-K81,"")</f>
        <v>-0.5563524814443</v>
      </c>
      <c r="M81" s="434"/>
      <c r="N81" s="434"/>
    </row>
    <row customHeight="1" ht="14.25">
      <c r="A82" s="384"/>
      <c r="B82" s="461" t="s">
        <v>98</v>
      </c>
      <c r="C82" s="454" t="s">
        <v>85</v>
      </c>
      <c r="D82" s="483">
        <v>92.9</v>
      </c>
      <c r="E82" s="737">
        <f>_xlfn.IFERROR(榆炼取值!E82,"")</f>
        <v>93.4282833604316</v>
      </c>
      <c r="F82" s="463">
        <f>_xlfn.IFERROR(E82-榆炼取值!D82,"")</f>
        <v>0.528283360431601</v>
      </c>
      <c r="G82" s="483">
        <v>92.9</v>
      </c>
      <c r="H82" s="487">
        <f>_xlfn.IFERROR(榆炼取值!H82,"")</f>
        <v>93.2214105008332</v>
      </c>
      <c r="I82" s="501">
        <f>_xlfn.IFERROR(H82-榆炼取值!G82,"")</f>
        <v>0.321410500833196</v>
      </c>
      <c r="J82" s="485">
        <v>93.3177957984803</v>
      </c>
      <c r="K82" s="485">
        <v>93.290723850908</v>
      </c>
      <c r="L82" s="486">
        <f>_xlfn.IFERROR(H82-K82,"")</f>
        <v>-0.0693133500747933</v>
      </c>
      <c r="M82" s="434"/>
      <c r="N82" s="434"/>
    </row>
    <row customHeight="1" ht="14.25">
      <c r="A83" s="384"/>
      <c r="B83" s="461" t="s">
        <v>99</v>
      </c>
      <c r="C83" s="454" t="s">
        <v>85</v>
      </c>
      <c r="D83" s="483" t="str">
        <f>_xlfn.IFERROR(IF(榆炼取值!D83=0,"",榆炼取值!D83),"")</f>
        <v/>
      </c>
      <c r="E83" s="737">
        <f>_xlfn.IFERROR(榆炼取值!E83,"")</f>
        <v>0</v>
      </c>
      <c r="F83" s="463">
        <f>_xlfn.IFERROR(E83-榆炼取值!D83,"")</f>
        <v>0</v>
      </c>
      <c r="G83" s="483" t="str">
        <f>_xlfn.IFERROR(IF(榆炼取值!G83=0,"",榆炼取值!G83),"")</f>
        <v/>
      </c>
      <c r="H83" s="487">
        <f>_xlfn.IFERROR(榆炼取值!H83,"")</f>
        <v>0</v>
      </c>
      <c r="I83" s="501">
        <f>_xlfn.IFERROR(H83-榆炼取值!G83,"")</f>
        <v>0</v>
      </c>
      <c r="J83" s="485">
        <v>0</v>
      </c>
      <c r="K83" s="485">
        <v>0</v>
      </c>
      <c r="L83" s="486">
        <f>_xlfn.IFERROR(H83-K83,"")</f>
        <v>0</v>
      </c>
      <c r="M83" s="434"/>
      <c r="N83" s="434"/>
    </row>
    <row customHeight="1" ht="14.25">
      <c r="A84" s="384"/>
      <c r="B84" s="461" t="s">
        <v>100</v>
      </c>
      <c r="C84" s="454" t="s">
        <v>85</v>
      </c>
      <c r="D84" s="483" t="str">
        <f>_xlfn.IFERROR(IF(榆炼取值!D84=0,"",榆炼取值!D84),"")</f>
        <v/>
      </c>
      <c r="E84" s="737">
        <f>_xlfn.IFERROR(榆炼取值!E84,"")</f>
        <v>0</v>
      </c>
      <c r="F84" s="463">
        <f>_xlfn.IFERROR(E84-榆炼取值!D84,"")</f>
        <v>0</v>
      </c>
      <c r="G84" s="483" t="str">
        <f>_xlfn.IFERROR(IF(榆炼取值!G84=0,"",榆炼取值!G84),"")</f>
        <v/>
      </c>
      <c r="H84" s="487">
        <f>_xlfn.IFERROR(榆炼取值!H84,"")</f>
        <v>0</v>
      </c>
      <c r="I84" s="501">
        <f>_xlfn.IFERROR(H84-榆炼取值!G84,"")</f>
        <v>0</v>
      </c>
      <c r="J84" s="485">
        <v>0</v>
      </c>
      <c r="K84" s="485">
        <v>0</v>
      </c>
      <c r="L84" s="486">
        <f>_xlfn.IFERROR(H84-K84,"")</f>
        <v>0</v>
      </c>
      <c r="M84" s="434"/>
      <c r="N84" s="434"/>
    </row>
    <row customHeight="1" ht="14.25">
      <c r="A85" s="384"/>
      <c r="B85" s="461" t="s">
        <v>101</v>
      </c>
      <c r="C85" s="454" t="s">
        <v>85</v>
      </c>
      <c r="D85" s="483" t="str">
        <f>_xlfn.IFERROR(IF(榆炼取值!D85=0,"",榆炼取值!D85),"")</f>
        <v/>
      </c>
      <c r="E85" s="737">
        <f>_xlfn.IFERROR(榆炼取值!E85,"")</f>
        <v>0</v>
      </c>
      <c r="F85" s="463">
        <f>_xlfn.IFERROR(E85-榆炼取值!D85,"")</f>
        <v>0</v>
      </c>
      <c r="G85" s="483" t="str">
        <f>_xlfn.IFERROR(IF(榆炼取值!G85=0,"",榆炼取值!G85),"")</f>
        <v/>
      </c>
      <c r="H85" s="487">
        <f>_xlfn.IFERROR(榆炼取值!H85,"")</f>
        <v>0</v>
      </c>
      <c r="I85" s="501">
        <f>_xlfn.IFERROR(H85-榆炼取值!G85,"")</f>
        <v>0</v>
      </c>
      <c r="J85" s="485">
        <v>0</v>
      </c>
      <c r="K85" s="485">
        <v>0</v>
      </c>
      <c r="L85" s="486">
        <f>_xlfn.IFERROR(H85-K85,"")</f>
        <v>0</v>
      </c>
      <c r="M85" s="434"/>
      <c r="N85" s="434"/>
    </row>
    <row customHeight="1" ht="14.25">
      <c r="A86" s="384"/>
      <c r="B86" s="461" t="s">
        <v>102</v>
      </c>
      <c r="C86" s="454" t="s">
        <v>85</v>
      </c>
      <c r="D86" s="483" t="str">
        <f>_xlfn.IFERROR(IF(榆炼取值!D86=0,"",榆炼取值!D86),"")</f>
        <v/>
      </c>
      <c r="E86" s="737">
        <f>_xlfn.IFERROR(榆炼取值!E86,"")</f>
        <v>0</v>
      </c>
      <c r="F86" s="463">
        <f>_xlfn.IFERROR(E86-榆炼取值!D86,"")</f>
        <v>0</v>
      </c>
      <c r="G86" s="483" t="str">
        <f>_xlfn.IFERROR(IF(榆炼取值!G86=0,"",榆炼取值!G86),"")</f>
        <v/>
      </c>
      <c r="H86" s="487">
        <f>_xlfn.IFERROR(榆炼取值!H86,"")</f>
        <v>0</v>
      </c>
      <c r="I86" s="501"/>
      <c r="J86" s="485">
        <v>0</v>
      </c>
      <c r="K86" s="485">
        <v>0</v>
      </c>
      <c r="L86" s="486">
        <f>_xlfn.IFERROR(H86-K86,"")</f>
        <v>0</v>
      </c>
      <c r="M86" s="434"/>
      <c r="N86" s="434"/>
    </row>
    <row customHeight="1" ht="14.25">
      <c r="A87" s="384"/>
      <c r="B87" s="461" t="s">
        <v>103</v>
      </c>
      <c r="C87" s="454" t="s">
        <v>85</v>
      </c>
      <c r="D87" s="483">
        <v>99</v>
      </c>
      <c r="E87" s="487">
        <f>_xlfn.IFERROR(榆炼取值!E87,"")</f>
        <v>99.4311649016641</v>
      </c>
      <c r="F87" s="463">
        <f>_xlfn.IFERROR(E87-榆炼取值!D87,"")</f>
        <v>0.431164901664104</v>
      </c>
      <c r="G87" s="483">
        <v>99</v>
      </c>
      <c r="H87" s="487">
        <f>_xlfn.IFERROR(榆炼取值!H87,"")</f>
        <v>99.2093844660421</v>
      </c>
      <c r="I87" s="501">
        <f>_xlfn.IFERROR(H87-榆炼取值!G87,"")</f>
        <v>0.209384466042096</v>
      </c>
      <c r="J87" s="485">
        <v>99.3224286697369</v>
      </c>
      <c r="K87" s="485">
        <v>99.2621553616751</v>
      </c>
      <c r="L87" s="486">
        <f>_xlfn.IFERROR(H87-K87,"")</f>
        <v>-0.0527708956330031</v>
      </c>
      <c r="M87" s="434"/>
      <c r="N87" s="434"/>
    </row>
    <row customHeight="1" ht="14.25">
      <c r="A88" s="384"/>
      <c r="B88" s="461" t="s">
        <v>104</v>
      </c>
      <c r="C88" s="479" t="s">
        <v>85</v>
      </c>
      <c r="D88" s="493">
        <v>98.9</v>
      </c>
      <c r="E88" s="738">
        <f>_xlfn.IFERROR(榆炼取值!E88,"")</f>
        <v>99.3970191709384</v>
      </c>
      <c r="F88" s="495">
        <f>_xlfn.IFERROR(E88-榆炼取值!D88,"")</f>
        <v>0.497019170938401</v>
      </c>
      <c r="G88" s="493">
        <v>98.9</v>
      </c>
      <c r="H88" s="738">
        <f>_xlfn.IFERROR(榆炼取值!H88,"")</f>
        <v>99.223070572481</v>
      </c>
      <c r="I88" s="578">
        <f>_xlfn.IFERROR(H88-榆炼取值!G88,"")</f>
        <v>0.323070572481001</v>
      </c>
      <c r="J88" s="497">
        <v>99.3225514326847</v>
      </c>
      <c r="K88" s="497">
        <v>99.2397842942901</v>
      </c>
      <c r="L88" s="486">
        <f>_xlfn.IFERROR(H88-K88,"")</f>
        <v>-0.0167137218090971</v>
      </c>
      <c r="M88" s="434"/>
      <c r="N88" s="434"/>
    </row>
    <row customHeight="1" ht="14.25">
      <c r="A89" s="384"/>
      <c r="B89" s="499" t="s">
        <v>105</v>
      </c>
      <c r="C89" s="500" t="s">
        <v>85</v>
      </c>
      <c r="D89" s="500"/>
      <c r="E89" s="500"/>
      <c r="F89" s="500"/>
      <c r="G89" s="500"/>
      <c r="H89" s="500"/>
      <c r="I89" s="500"/>
      <c r="J89" s="500"/>
      <c r="K89" s="500"/>
      <c r="L89" s="583"/>
      <c r="M89" s="434"/>
      <c r="N89" s="434"/>
    </row>
    <row customHeight="1" ht="14.25">
      <c r="A90" s="384"/>
      <c r="B90" s="502" t="s">
        <v>106</v>
      </c>
      <c r="C90" s="503"/>
      <c r="D90" s="504"/>
      <c r="E90" s="504"/>
      <c r="F90" s="504"/>
      <c r="G90" s="504"/>
      <c r="H90" s="504"/>
      <c r="I90" s="504"/>
      <c r="J90" s="504"/>
      <c r="K90" s="504"/>
      <c r="L90" s="583"/>
      <c r="M90" s="434"/>
      <c r="N90" s="434"/>
    </row>
    <row customHeight="1" ht="14.25">
      <c r="A91" s="384"/>
      <c r="B91" s="507"/>
      <c r="C91" s="504"/>
      <c r="D91" s="504"/>
      <c r="E91" s="504"/>
      <c r="F91" s="504"/>
      <c r="G91" s="504"/>
      <c r="H91" s="504"/>
      <c r="I91" s="504"/>
      <c r="J91" s="504"/>
      <c r="K91" s="504"/>
      <c r="L91" s="506"/>
      <c r="M91" s="434"/>
      <c r="N91" s="434"/>
    </row>
    <row customHeight="1" ht="14.25">
      <c r="A92" s="384"/>
      <c r="B92" s="507"/>
      <c r="C92" s="504"/>
      <c r="D92" s="504"/>
      <c r="E92" s="504"/>
      <c r="F92" s="504"/>
      <c r="G92" s="504"/>
      <c r="H92" s="504"/>
      <c r="I92" s="504"/>
      <c r="J92" s="504"/>
      <c r="K92" s="504"/>
      <c r="L92" s="506"/>
      <c r="M92" s="434"/>
      <c r="N92" s="434"/>
    </row>
    <row customHeight="1" ht="15">
      <c r="A93" s="384"/>
      <c r="B93" s="508"/>
      <c r="C93" s="509"/>
      <c r="D93" s="509"/>
      <c r="E93" s="509"/>
      <c r="F93" s="509"/>
      <c r="G93" s="509"/>
      <c r="H93" s="509"/>
      <c r="I93" s="509"/>
      <c r="J93" s="509"/>
      <c r="K93" s="509"/>
      <c r="L93" s="511"/>
      <c r="M93" s="434"/>
      <c r="N93" s="434"/>
    </row>
    <row customHeight="1" ht="18">
      <c r="A94" s="384"/>
      <c r="B94" s="239" t="s">
        <v>107</v>
      </c>
      <c r="C94" s="514" t="s">
        <v>110</v>
      </c>
      <c r="D94" s="239" t="s">
        <v>109</v>
      </c>
      <c r="E94" s="239"/>
      <c r="F94" s="515" t="s">
        <v>110</v>
      </c>
      <c r="G94" s="239" t="s">
        <v>111</v>
      </c>
      <c r="H94" s="516" t="s">
        <v>112</v>
      </c>
      <c r="I94" s="250"/>
      <c r="J94" s="239" t="s">
        <v>113</v>
      </c>
      <c r="K94" s="514" t="s">
        <v>114</v>
      </c>
      <c r="L94" s="518"/>
      <c r="M94" s="434"/>
      <c r="N94" s="434"/>
    </row>
    <row customHeight="1" ht="14.25">
      <c r="A95" s="384"/>
      <c r="B95" s="384"/>
      <c r="C95" s="384"/>
      <c r="D95" s="384"/>
      <c r="E95" s="384"/>
      <c r="F95" s="520"/>
      <c r="G95" s="384"/>
      <c r="H95" s="384"/>
      <c r="I95" s="520"/>
      <c r="J95" s="384"/>
      <c r="K95" s="384"/>
      <c r="L95" s="384"/>
      <c r="M95" s="434"/>
      <c r="N95" s="434"/>
    </row>
    <row customHeight="1" ht="14.25" hidden="1">
      <c r="A96" s="384"/>
      <c r="B96" s="384"/>
      <c r="C96" s="435" t="s">
        <v>110</v>
      </c>
      <c r="D96" s="384"/>
      <c r="E96" s="384"/>
      <c r="F96" s="520" t="s">
        <v>110</v>
      </c>
      <c r="G96" s="384"/>
      <c r="H96" s="435" t="s">
        <v>112</v>
      </c>
      <c r="I96" s="520"/>
      <c r="J96" s="384"/>
      <c r="K96" s="435" t="s">
        <v>114</v>
      </c>
      <c r="L96" s="384"/>
      <c r="M96" s="434"/>
      <c r="N96" s="434"/>
    </row>
    <row customHeight="1" ht="14.25">
      <c r="A97" s="384"/>
      <c r="B97" s="384"/>
      <c r="C97" s="384"/>
      <c r="D97" s="384"/>
      <c r="E97" s="384"/>
      <c r="F97" s="384"/>
      <c r="G97" s="384"/>
      <c r="H97" s="384"/>
      <c r="I97" s="384"/>
      <c r="J97" s="384"/>
      <c r="K97" s="384"/>
      <c r="L97" s="384"/>
      <c r="M97" s="434"/>
      <c r="N97" s="434"/>
    </row>
    <row customHeight="1" ht="14.25">
      <c r="A98" s="384"/>
      <c r="B98" s="384"/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434"/>
      <c r="N98" s="434"/>
    </row>
    <row customHeight="1" ht="14.25">
      <c r="A99" s="384"/>
      <c r="B99" s="384"/>
      <c r="C99" s="384"/>
      <c r="D99" s="384"/>
      <c r="E99" s="384"/>
      <c r="F99" s="384"/>
      <c r="G99" s="384"/>
      <c r="H99" s="384"/>
      <c r="I99" s="384"/>
      <c r="J99" s="384"/>
      <c r="K99" s="384"/>
      <c r="L99" s="384"/>
      <c r="M99" s="434"/>
      <c r="N99" s="434"/>
    </row>
    <row customHeight="1" ht="14.4525">
      <c r="A100" s="384"/>
      <c r="B100" s="384"/>
      <c r="C100" s="384"/>
      <c r="D100" s="384"/>
      <c r="E100" s="384"/>
      <c r="F100" s="384"/>
      <c r="G100" s="384"/>
      <c r="H100" s="384"/>
      <c r="I100" s="384"/>
      <c r="J100" s="384"/>
      <c r="K100" s="384"/>
      <c r="L100" s="384"/>
      <c r="M100" s="434"/>
      <c r="N100" s="434"/>
    </row>
    <row customHeight="1" ht="14.4525">
      <c r="A101" s="384"/>
      <c r="B101" s="384"/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434"/>
      <c r="N101" s="434"/>
    </row>
    <row customHeight="1" ht="14.4525">
      <c r="A102" s="384"/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434"/>
      <c r="N102" s="434"/>
    </row>
    <row customHeight="1" ht="14.4525">
      <c r="A103" s="384"/>
      <c r="B103" s="384"/>
      <c r="C103" s="384"/>
      <c r="D103" s="384"/>
      <c r="E103" s="384"/>
      <c r="F103" s="384"/>
      <c r="G103" s="384"/>
      <c r="H103" s="384"/>
      <c r="I103" s="384"/>
      <c r="J103" s="384"/>
      <c r="K103" s="384"/>
      <c r="L103" s="384"/>
      <c r="M103" s="434"/>
      <c r="N103" s="434"/>
    </row>
    <row customHeight="1" ht="14.4525">
      <c r="A104" s="384"/>
      <c r="B104" s="384"/>
      <c r="C104" s="384"/>
      <c r="D104" s="384"/>
      <c r="E104" s="384"/>
      <c r="F104" s="384"/>
      <c r="G104" s="384"/>
      <c r="H104" s="384"/>
      <c r="I104" s="384"/>
      <c r="J104" s="384"/>
      <c r="K104" s="384"/>
      <c r="L104" s="384"/>
      <c r="M104" s="434"/>
      <c r="N104" s="434"/>
    </row>
    <row customHeight="1" ht="14.4525">
      <c r="A105" s="384"/>
      <c r="B105" s="384"/>
      <c r="C105" s="384"/>
      <c r="D105" s="384"/>
      <c r="E105" s="384"/>
      <c r="F105" s="384"/>
      <c r="G105" s="384"/>
      <c r="H105" s="384"/>
      <c r="I105" s="384"/>
      <c r="J105" s="384"/>
      <c r="K105" s="384"/>
      <c r="L105" s="384"/>
      <c r="M105" s="434"/>
      <c r="N105" s="434"/>
    </row>
    <row customHeight="1" ht="14.4525">
      <c r="A106" s="384"/>
      <c r="B106" s="384"/>
      <c r="C106" s="384"/>
      <c r="D106" s="384"/>
      <c r="E106" s="384"/>
      <c r="F106" s="384"/>
      <c r="G106" s="384"/>
      <c r="H106" s="384"/>
      <c r="I106" s="384"/>
      <c r="J106" s="384"/>
      <c r="K106" s="384"/>
      <c r="L106" s="384"/>
      <c r="M106" s="434"/>
      <c r="N106" s="434"/>
    </row>
    <row customHeight="1" ht="14.4525">
      <c r="A107" s="384"/>
      <c r="B107" s="384"/>
      <c r="C107" s="384"/>
      <c r="D107" s="384"/>
      <c r="E107" s="384"/>
      <c r="F107" s="384"/>
      <c r="G107" s="384"/>
      <c r="H107" s="384"/>
      <c r="I107" s="384"/>
      <c r="J107" s="384"/>
      <c r="K107" s="384"/>
      <c r="L107" s="384"/>
      <c r="M107" s="434"/>
      <c r="N107" s="434"/>
    </row>
    <row customHeight="1" ht="14.4525">
      <c r="A108" s="384"/>
      <c r="B108" s="384"/>
      <c r="C108" s="384"/>
      <c r="D108" s="384"/>
      <c r="E108" s="384"/>
      <c r="F108" s="384"/>
      <c r="G108" s="384"/>
      <c r="H108" s="384"/>
      <c r="I108" s="384"/>
      <c r="J108" s="384"/>
      <c r="K108" s="384"/>
      <c r="L108" s="384"/>
      <c r="M108" s="434"/>
      <c r="N108" s="434"/>
    </row>
    <row customHeight="1" ht="14.4525">
      <c r="A109" s="384"/>
      <c r="B109" s="384"/>
      <c r="C109" s="384"/>
      <c r="D109" s="384"/>
      <c r="E109" s="384"/>
      <c r="F109" s="384"/>
      <c r="G109" s="384"/>
      <c r="H109" s="384"/>
      <c r="I109" s="384"/>
      <c r="J109" s="384"/>
      <c r="K109" s="384"/>
      <c r="L109" s="384"/>
      <c r="M109" s="434"/>
      <c r="N109" s="434"/>
    </row>
    <row customHeight="1" ht="14.4525">
      <c r="A110" s="384"/>
      <c r="B110" s="384"/>
      <c r="C110" s="384"/>
      <c r="D110" s="384"/>
      <c r="E110" s="384"/>
      <c r="F110" s="384"/>
      <c r="G110" s="384"/>
      <c r="H110" s="384"/>
      <c r="I110" s="384"/>
      <c r="J110" s="384"/>
      <c r="K110" s="384"/>
      <c r="L110" s="384"/>
      <c r="M110" s="434"/>
      <c r="N110" s="434"/>
    </row>
    <row customHeight="1" ht="14.4525">
      <c r="A111" s="384"/>
      <c r="B111" s="384"/>
      <c r="C111" s="384"/>
      <c r="D111" s="384"/>
      <c r="E111" s="384"/>
      <c r="F111" s="384"/>
      <c r="G111" s="384"/>
      <c r="H111" s="384"/>
      <c r="I111" s="384"/>
      <c r="J111" s="384"/>
      <c r="K111" s="384"/>
      <c r="L111" s="384"/>
      <c r="M111" s="434"/>
      <c r="N111" s="434"/>
    </row>
    <row customHeight="1" ht="14.4525">
      <c r="A112" s="384"/>
      <c r="B112" s="384"/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434"/>
      <c r="N112" s="434"/>
    </row>
    <row customHeight="1" ht="14.4525">
      <c r="A113" s="384"/>
      <c r="B113" s="384"/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434"/>
      <c r="N113" s="434"/>
    </row>
    <row customHeight="1" ht="14.4525">
      <c r="A114" s="384"/>
      <c r="B114" s="384"/>
      <c r="C114" s="384"/>
      <c r="D114" s="384"/>
      <c r="E114" s="384"/>
      <c r="F114" s="384"/>
      <c r="G114" s="384"/>
      <c r="H114" s="384"/>
      <c r="I114" s="384"/>
      <c r="J114" s="384"/>
      <c r="K114" s="384"/>
      <c r="L114" s="384"/>
      <c r="M114" s="434"/>
      <c r="N114" s="434"/>
    </row>
    <row customHeight="1" ht="14.4525">
      <c r="A115" s="384"/>
      <c r="B115" s="384"/>
      <c r="C115" s="384"/>
      <c r="D115" s="384"/>
      <c r="E115" s="384"/>
      <c r="F115" s="384"/>
      <c r="G115" s="384"/>
      <c r="H115" s="384"/>
      <c r="I115" s="384"/>
      <c r="J115" s="384"/>
      <c r="K115" s="384"/>
      <c r="L115" s="384"/>
      <c r="M115" s="434"/>
      <c r="N115" s="434"/>
    </row>
    <row customHeight="1" ht="14.4525">
      <c r="A116" s="384"/>
      <c r="B116" s="384"/>
      <c r="C116" s="384"/>
      <c r="D116" s="384"/>
      <c r="E116" s="384"/>
      <c r="F116" s="384"/>
      <c r="G116" s="384"/>
      <c r="H116" s="384"/>
      <c r="I116" s="384"/>
      <c r="J116" s="384"/>
      <c r="K116" s="384"/>
      <c r="L116" s="384"/>
      <c r="M116" s="434"/>
      <c r="N116" s="434"/>
    </row>
    <row customHeight="1" ht="14.4525">
      <c r="A117" s="384"/>
      <c r="B117" s="384"/>
      <c r="C117" s="384"/>
      <c r="D117" s="384"/>
      <c r="E117" s="384"/>
      <c r="F117" s="384"/>
      <c r="G117" s="384"/>
      <c r="H117" s="384"/>
      <c r="I117" s="384"/>
      <c r="J117" s="384"/>
      <c r="K117" s="384"/>
      <c r="L117" s="384"/>
      <c r="M117" s="434"/>
      <c r="N117" s="434"/>
    </row>
    <row customHeight="1" ht="14.4525">
      <c r="A118" s="384"/>
      <c r="B118" s="384"/>
      <c r="C118" s="384"/>
      <c r="D118" s="384"/>
      <c r="E118" s="384"/>
      <c r="F118" s="384"/>
      <c r="G118" s="384"/>
      <c r="H118" s="384"/>
      <c r="I118" s="384"/>
      <c r="J118" s="384"/>
      <c r="K118" s="384"/>
      <c r="L118" s="384"/>
      <c r="M118" s="434"/>
      <c r="N118" s="434"/>
    </row>
    <row customHeight="1" ht="14.4525">
      <c r="A119" s="384"/>
      <c r="B119" s="384"/>
      <c r="C119" s="384"/>
      <c r="D119" s="384"/>
      <c r="E119" s="384"/>
      <c r="F119" s="384"/>
      <c r="G119" s="384"/>
      <c r="H119" s="384"/>
      <c r="I119" s="384"/>
      <c r="J119" s="384"/>
      <c r="K119" s="384"/>
      <c r="L119" s="384"/>
      <c r="M119" s="434"/>
      <c r="N119" s="434"/>
    </row>
    <row customHeight="1" ht="14.4525">
      <c r="A120" s="384"/>
      <c r="B120" s="384"/>
      <c r="C120" s="384"/>
      <c r="D120" s="384"/>
      <c r="E120" s="384"/>
      <c r="F120" s="384"/>
      <c r="G120" s="384"/>
      <c r="H120" s="384"/>
      <c r="I120" s="384"/>
      <c r="J120" s="384"/>
      <c r="K120" s="384"/>
      <c r="L120" s="384"/>
      <c r="M120" s="434"/>
      <c r="N120" s="434"/>
    </row>
    <row customHeight="1" ht="14.4525">
      <c r="A121" s="384"/>
      <c r="B121" s="384"/>
      <c r="C121" s="384"/>
      <c r="D121" s="384"/>
      <c r="E121" s="384"/>
      <c r="F121" s="384"/>
      <c r="G121" s="384"/>
      <c r="H121" s="384"/>
      <c r="I121" s="384"/>
      <c r="J121" s="384"/>
      <c r="K121" s="384"/>
      <c r="L121" s="384"/>
      <c r="M121" s="434"/>
      <c r="N121" s="434"/>
    </row>
    <row customHeight="1" ht="14.4525">
      <c r="A122" s="384"/>
      <c r="B122" s="384"/>
      <c r="C122" s="384"/>
      <c r="D122" s="384"/>
      <c r="E122" s="384"/>
      <c r="F122" s="384"/>
      <c r="G122" s="384"/>
      <c r="H122" s="384"/>
      <c r="I122" s="384"/>
      <c r="J122" s="384"/>
      <c r="K122" s="384"/>
      <c r="L122" s="384"/>
      <c r="M122" s="434"/>
      <c r="N122" s="434"/>
    </row>
    <row customHeight="1" ht="14.4525">
      <c r="A123" s="384"/>
      <c r="B123" s="384"/>
      <c r="C123" s="384"/>
      <c r="D123" s="384"/>
      <c r="E123" s="384"/>
      <c r="F123" s="384"/>
      <c r="G123" s="384"/>
      <c r="H123" s="384"/>
      <c r="I123" s="384"/>
      <c r="J123" s="384"/>
      <c r="K123" s="384"/>
      <c r="L123" s="384"/>
      <c r="M123" s="434"/>
      <c r="N123" s="434"/>
    </row>
    <row customHeight="1" ht="14.4525">
      <c r="A124" s="384"/>
      <c r="B124" s="384"/>
      <c r="C124" s="384"/>
      <c r="D124" s="384"/>
      <c r="E124" s="384"/>
      <c r="F124" s="384"/>
      <c r="G124" s="384"/>
      <c r="H124" s="384"/>
      <c r="I124" s="384"/>
      <c r="J124" s="384"/>
      <c r="K124" s="384"/>
      <c r="L124" s="384"/>
      <c r="M124" s="434"/>
      <c r="N124" s="434"/>
    </row>
    <row customHeight="1" ht="14.4525">
      <c r="A125" s="384"/>
      <c r="B125" s="384"/>
      <c r="C125" s="384"/>
      <c r="D125" s="384"/>
      <c r="E125" s="384"/>
      <c r="F125" s="384"/>
      <c r="G125" s="384"/>
      <c r="H125" s="384"/>
      <c r="I125" s="384"/>
      <c r="J125" s="384"/>
      <c r="K125" s="384"/>
      <c r="L125" s="384"/>
      <c r="M125" s="434"/>
      <c r="N125" s="434"/>
    </row>
    <row customHeight="1" ht="14.4525">
      <c r="A126" s="384"/>
      <c r="B126" s="384"/>
      <c r="C126" s="384"/>
      <c r="D126" s="384"/>
      <c r="E126" s="384"/>
      <c r="F126" s="384"/>
      <c r="G126" s="384"/>
      <c r="H126" s="384"/>
      <c r="I126" s="384"/>
      <c r="J126" s="384"/>
      <c r="K126" s="384"/>
      <c r="L126" s="384"/>
      <c r="M126" s="434"/>
      <c r="N126" s="434"/>
    </row>
    <row customHeight="1" ht="14.4525">
      <c r="A127" s="384"/>
      <c r="B127" s="384"/>
      <c r="C127" s="384"/>
      <c r="D127" s="384"/>
      <c r="E127" s="384"/>
      <c r="F127" s="384"/>
      <c r="G127" s="384"/>
      <c r="H127" s="384"/>
      <c r="I127" s="384"/>
      <c r="J127" s="384"/>
      <c r="K127" s="384"/>
      <c r="L127" s="384"/>
      <c r="M127" s="434"/>
      <c r="N127" s="434"/>
    </row>
    <row customHeight="1" ht="14.4525">
      <c r="A128" s="384"/>
      <c r="B128" s="384"/>
      <c r="C128" s="384"/>
      <c r="D128" s="384"/>
      <c r="E128" s="384"/>
      <c r="F128" s="384"/>
      <c r="G128" s="384"/>
      <c r="H128" s="384"/>
      <c r="I128" s="384"/>
      <c r="J128" s="384"/>
      <c r="K128" s="384"/>
      <c r="L128" s="384"/>
      <c r="M128" s="434"/>
      <c r="N128" s="434"/>
    </row>
    <row customHeight="1" ht="14.4525">
      <c r="A129" s="384"/>
      <c r="B129" s="384"/>
      <c r="C129" s="384"/>
      <c r="D129" s="384"/>
      <c r="E129" s="384"/>
      <c r="F129" s="384"/>
      <c r="G129" s="384"/>
      <c r="H129" s="384"/>
      <c r="I129" s="384"/>
      <c r="J129" s="384"/>
      <c r="K129" s="384"/>
      <c r="L129" s="384"/>
      <c r="M129" s="434"/>
      <c r="N129" s="434"/>
    </row>
    <row customHeight="1" ht="14.4525">
      <c r="A130" s="384"/>
      <c r="B130" s="384"/>
      <c r="C130" s="384"/>
      <c r="D130" s="384"/>
      <c r="E130" s="384"/>
      <c r="F130" s="384"/>
      <c r="G130" s="384"/>
      <c r="H130" s="384"/>
      <c r="I130" s="384"/>
      <c r="J130" s="384"/>
      <c r="K130" s="384"/>
      <c r="L130" s="384"/>
      <c r="M130" s="434"/>
      <c r="N130" s="434"/>
    </row>
    <row customHeight="1" ht="14.4525">
      <c r="A131" s="384"/>
      <c r="B131" s="384"/>
      <c r="C131" s="384"/>
      <c r="D131" s="384"/>
      <c r="E131" s="384"/>
      <c r="F131" s="384"/>
      <c r="G131" s="384"/>
      <c r="H131" s="384"/>
      <c r="I131" s="384"/>
      <c r="J131" s="384"/>
      <c r="K131" s="384"/>
      <c r="L131" s="384"/>
      <c r="M131" s="434"/>
      <c r="N131" s="434"/>
    </row>
    <row customHeight="1" ht="14.4525">
      <c r="A132" s="384"/>
      <c r="B132" s="384"/>
      <c r="C132" s="384"/>
      <c r="D132" s="384"/>
      <c r="E132" s="384"/>
      <c r="F132" s="384"/>
      <c r="G132" s="384"/>
      <c r="H132" s="384"/>
      <c r="I132" s="384"/>
      <c r="J132" s="384"/>
      <c r="K132" s="384"/>
      <c r="L132" s="384"/>
      <c r="M132" s="434"/>
      <c r="N132" s="434"/>
    </row>
    <row customHeight="1" ht="14.4525">
      <c r="A133" s="384"/>
      <c r="B133" s="384"/>
      <c r="C133" s="384"/>
      <c r="D133" s="384"/>
      <c r="E133" s="384"/>
      <c r="F133" s="384"/>
      <c r="G133" s="384"/>
      <c r="H133" s="384"/>
      <c r="I133" s="384"/>
      <c r="J133" s="384"/>
      <c r="K133" s="384"/>
      <c r="L133" s="384"/>
      <c r="M133" s="434"/>
      <c r="N133" s="434"/>
    </row>
    <row customHeight="1" ht="14.4525">
      <c r="A134" s="384"/>
      <c r="B134" s="384"/>
      <c r="C134" s="384"/>
      <c r="D134" s="384"/>
      <c r="E134" s="384"/>
      <c r="F134" s="384"/>
      <c r="G134" s="384"/>
      <c r="H134" s="384"/>
      <c r="I134" s="384"/>
      <c r="J134" s="384"/>
      <c r="K134" s="384"/>
      <c r="L134" s="384"/>
      <c r="M134" s="434"/>
      <c r="N134" s="434"/>
    </row>
    <row customHeight="1" ht="14.4525">
      <c r="A135" s="384"/>
      <c r="B135" s="384"/>
      <c r="C135" s="384"/>
      <c r="D135" s="384"/>
      <c r="E135" s="384"/>
      <c r="F135" s="384"/>
      <c r="G135" s="384"/>
      <c r="H135" s="384"/>
      <c r="I135" s="384"/>
      <c r="J135" s="384"/>
      <c r="K135" s="384"/>
      <c r="L135" s="384"/>
      <c r="M135" s="434"/>
      <c r="N135" s="434"/>
    </row>
    <row customHeight="1" ht="14.4525">
      <c r="A136" s="384"/>
      <c r="B136" s="384"/>
      <c r="C136" s="384"/>
      <c r="D136" s="384"/>
      <c r="E136" s="384"/>
      <c r="F136" s="384"/>
      <c r="G136" s="384"/>
      <c r="H136" s="384"/>
      <c r="I136" s="384"/>
      <c r="J136" s="384"/>
      <c r="K136" s="384"/>
      <c r="L136" s="384"/>
      <c r="M136" s="434"/>
      <c r="N136" s="434"/>
    </row>
    <row customHeight="1" ht="14.4525">
      <c r="A137" s="384"/>
      <c r="B137" s="384"/>
      <c r="C137" s="384"/>
      <c r="D137" s="384"/>
      <c r="E137" s="384"/>
      <c r="F137" s="384"/>
      <c r="G137" s="384"/>
      <c r="H137" s="384"/>
      <c r="I137" s="384"/>
      <c r="J137" s="384"/>
      <c r="K137" s="384"/>
      <c r="L137" s="384"/>
      <c r="M137" s="434"/>
      <c r="N137" s="434"/>
    </row>
    <row customHeight="1" ht="14.4525">
      <c r="A138" s="384"/>
      <c r="B138" s="384"/>
      <c r="C138" s="384"/>
      <c r="D138" s="384"/>
      <c r="E138" s="384"/>
      <c r="F138" s="384"/>
      <c r="G138" s="384"/>
      <c r="H138" s="384"/>
      <c r="I138" s="384"/>
      <c r="J138" s="384"/>
      <c r="K138" s="384"/>
      <c r="L138" s="384"/>
      <c r="M138" s="434"/>
      <c r="N138" s="434"/>
    </row>
    <row customHeight="1" ht="14.4525">
      <c r="A139" s="384"/>
      <c r="B139" s="384"/>
      <c r="C139" s="384"/>
      <c r="D139" s="384"/>
      <c r="E139" s="384"/>
      <c r="F139" s="384"/>
      <c r="G139" s="384"/>
      <c r="H139" s="384"/>
      <c r="I139" s="384"/>
      <c r="J139" s="384"/>
      <c r="K139" s="384"/>
      <c r="L139" s="384"/>
      <c r="M139" s="434"/>
      <c r="N139" s="434"/>
    </row>
    <row customHeight="1" ht="14.4525">
      <c r="A140" s="384"/>
      <c r="B140" s="384"/>
      <c r="C140" s="384"/>
      <c r="D140" s="384"/>
      <c r="E140" s="384"/>
      <c r="F140" s="384"/>
      <c r="G140" s="384"/>
      <c r="H140" s="384"/>
      <c r="I140" s="384"/>
      <c r="J140" s="384"/>
      <c r="K140" s="384"/>
      <c r="L140" s="384"/>
      <c r="M140" s="434"/>
      <c r="N140" s="434"/>
    </row>
    <row customHeight="1" ht="14.4525">
      <c r="A141" s="384"/>
      <c r="B141" s="384"/>
      <c r="C141" s="384"/>
      <c r="D141" s="384"/>
      <c r="E141" s="384"/>
      <c r="F141" s="384"/>
      <c r="G141" s="384"/>
      <c r="H141" s="384"/>
      <c r="I141" s="384"/>
      <c r="J141" s="384"/>
      <c r="K141" s="384"/>
      <c r="L141" s="384"/>
      <c r="M141" s="434"/>
      <c r="N141" s="434"/>
    </row>
    <row customHeight="1" ht="14.4525">
      <c r="A142" s="384"/>
      <c r="B142" s="384"/>
      <c r="C142" s="384"/>
      <c r="D142" s="384"/>
      <c r="E142" s="384"/>
      <c r="F142" s="384"/>
      <c r="G142" s="384"/>
      <c r="H142" s="384"/>
      <c r="I142" s="384"/>
      <c r="J142" s="384"/>
      <c r="K142" s="384"/>
      <c r="L142" s="384"/>
      <c r="M142" s="434"/>
      <c r="N142" s="434"/>
    </row>
    <row customHeight="1" ht="14.4525">
      <c r="A143" s="384"/>
      <c r="B143" s="384"/>
      <c r="C143" s="384"/>
      <c r="D143" s="384"/>
      <c r="E143" s="384"/>
      <c r="F143" s="384"/>
      <c r="G143" s="384"/>
      <c r="H143" s="384"/>
      <c r="I143" s="384"/>
      <c r="J143" s="384"/>
      <c r="K143" s="384"/>
      <c r="L143" s="384"/>
      <c r="M143" s="434"/>
      <c r="N143" s="434"/>
    </row>
    <row customHeight="1" ht="14.4525">
      <c r="A144" s="384"/>
      <c r="B144" s="384"/>
      <c r="C144" s="384"/>
      <c r="D144" s="384"/>
      <c r="E144" s="384"/>
      <c r="F144" s="384"/>
      <c r="G144" s="384"/>
      <c r="H144" s="384"/>
      <c r="I144" s="384"/>
      <c r="J144" s="384"/>
      <c r="K144" s="384"/>
      <c r="L144" s="384"/>
      <c r="M144" s="434"/>
      <c r="N144" s="434"/>
    </row>
    <row customHeight="1" ht="14.4525">
      <c r="A145" s="384"/>
      <c r="B145" s="384"/>
      <c r="C145" s="384"/>
      <c r="D145" s="384"/>
      <c r="E145" s="384"/>
      <c r="F145" s="384"/>
      <c r="G145" s="384"/>
      <c r="H145" s="384"/>
      <c r="I145" s="384"/>
      <c r="J145" s="384"/>
      <c r="K145" s="384"/>
      <c r="L145" s="384"/>
      <c r="M145" s="434"/>
      <c r="N145" s="434"/>
    </row>
    <row customHeight="1" ht="14.4525">
      <c r="A146" s="384"/>
      <c r="B146" s="384"/>
      <c r="C146" s="384"/>
      <c r="D146" s="384"/>
      <c r="E146" s="384"/>
      <c r="F146" s="384"/>
      <c r="G146" s="384"/>
      <c r="H146" s="384"/>
      <c r="I146" s="384"/>
      <c r="J146" s="384"/>
      <c r="K146" s="384"/>
      <c r="L146" s="384"/>
      <c r="M146" s="434"/>
      <c r="N146" s="434"/>
    </row>
    <row customHeight="1" ht="14.4525">
      <c r="A147" s="384"/>
      <c r="B147" s="384"/>
      <c r="C147" s="384"/>
      <c r="D147" s="384"/>
      <c r="E147" s="384"/>
      <c r="F147" s="384"/>
      <c r="G147" s="384"/>
      <c r="H147" s="384"/>
      <c r="I147" s="384"/>
      <c r="J147" s="384"/>
      <c r="K147" s="384"/>
      <c r="L147" s="384"/>
      <c r="M147" s="434"/>
      <c r="N147" s="434"/>
    </row>
  </sheetData>
  <mergeCells count="12">
    <mergeCell ref="B1:L1"/>
    <mergeCell ref="C2:I2"/>
    <mergeCell ref="J2:L2"/>
    <mergeCell ref="D3:F3"/>
    <mergeCell ref="G3:I3"/>
    <mergeCell ref="J3:K3"/>
    <mergeCell ref="D94:E94"/>
    <mergeCell ref="B3:B4"/>
    <mergeCell ref="B90:B93"/>
    <mergeCell ref="C3:C4"/>
    <mergeCell ref="L3:L4"/>
    <mergeCell ref="C90:L93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B8488E8-2F08-9AFB-85D8-FC49C277504A}" mc:Ignorable="x14ac xr xr2 xr3">
  <dimension ref="A1:U201"/>
  <sheetViews>
    <sheetView topLeftCell="A1" workbookViewId="0">
      <pane ySplit="4" topLeftCell="A7" activePane="bottomLeft" state="frozen"/>
      <selection pane="bottomLeft" activeCell="H18" sqref="H18"/>
    </sheetView>
  </sheetViews>
  <sheetFormatPr defaultColWidth="9.00390625" customHeight="1" defaultRowHeight="14.4525"/>
  <cols>
    <col min="1" max="1" style="51" width="2.7109375" customWidth="1"/>
    <col min="2" max="2" style="51" width="28.28125" customWidth="1"/>
    <col min="3" max="4" style="51" width="10.7109375" customWidth="1"/>
    <col min="5" max="5" style="252" width="10.7109375" customWidth="1"/>
    <col min="6" max="7" style="51" width="10.7109375" customWidth="1"/>
    <col min="8" max="8" style="252" width="10.7109375" customWidth="1"/>
    <col min="9" max="12" style="51" width="10.7109375" customWidth="1"/>
  </cols>
  <sheetData>
    <row customHeight="1" ht="25.5">
      <c r="A1" s="586"/>
      <c r="B1" s="587" t="s">
        <v>157</v>
      </c>
      <c r="C1" s="587"/>
      <c r="D1" s="587"/>
      <c r="E1" s="739"/>
      <c r="F1" s="587"/>
      <c r="G1" s="587"/>
      <c r="H1" s="739"/>
      <c r="I1" s="587"/>
      <c r="J1" s="587"/>
      <c r="K1" s="587"/>
      <c r="L1" s="587"/>
      <c r="M1" s="521"/>
      <c r="N1" s="521"/>
      <c r="O1" s="521"/>
      <c r="P1" s="521"/>
      <c r="Q1" s="521"/>
      <c r="R1" s="521"/>
      <c r="S1" s="521"/>
      <c r="T1" s="521"/>
      <c r="U1" s="521"/>
    </row>
    <row customHeight="1" ht="15">
      <c r="A2" s="586"/>
      <c r="B2" s="590" t="s">
        <v>1</v>
      </c>
      <c r="C2" s="591">
        <f>#REF!</f>
      </c>
      <c r="D2" s="591"/>
      <c r="E2" s="740"/>
      <c r="F2" s="591"/>
      <c r="G2" s="591"/>
      <c r="H2" s="740"/>
      <c r="I2" s="591"/>
      <c r="J2" s="591" t="s">
        <v>3</v>
      </c>
      <c r="K2" s="591"/>
      <c r="L2" s="591"/>
      <c r="M2" s="521"/>
      <c r="N2" s="521"/>
      <c r="O2" s="521"/>
      <c r="P2" s="521"/>
      <c r="Q2" s="521"/>
      <c r="R2" s="521"/>
      <c r="S2" s="521"/>
      <c r="T2" s="521"/>
      <c r="U2" s="521"/>
    </row>
    <row customHeight="1" ht="14.25">
      <c r="A3" s="586"/>
      <c r="B3" s="57" t="s">
        <v>4</v>
      </c>
      <c r="C3" s="58" t="s">
        <v>5</v>
      </c>
      <c r="D3" s="58" t="s">
        <v>6</v>
      </c>
      <c r="E3" s="255"/>
      <c r="F3" s="58"/>
      <c r="G3" s="58" t="s">
        <v>7</v>
      </c>
      <c r="H3" s="255"/>
      <c r="I3" s="58"/>
      <c r="J3" s="598" t="s">
        <v>8</v>
      </c>
      <c r="K3" s="598"/>
      <c r="L3" s="91" t="s">
        <v>9</v>
      </c>
      <c r="M3" s="521"/>
      <c r="N3" s="521"/>
      <c r="O3" s="521"/>
      <c r="P3" s="521"/>
      <c r="Q3" s="521"/>
      <c r="R3" s="521"/>
      <c r="S3" s="521"/>
      <c r="T3" s="521"/>
      <c r="U3" s="521"/>
    </row>
    <row customHeight="1" ht="14.25">
      <c r="A4" s="586"/>
      <c r="B4" s="59"/>
      <c r="C4" s="60"/>
      <c r="D4" s="60" t="s">
        <v>10</v>
      </c>
      <c r="E4" s="256" t="s">
        <v>11</v>
      </c>
      <c r="F4" s="60" t="s">
        <v>12</v>
      </c>
      <c r="G4" s="60" t="s">
        <v>13</v>
      </c>
      <c r="H4" s="256" t="s">
        <v>14</v>
      </c>
      <c r="I4" s="60" t="s">
        <v>12</v>
      </c>
      <c r="J4" s="604" t="s">
        <v>15</v>
      </c>
      <c r="K4" s="604" t="s">
        <v>16</v>
      </c>
      <c r="L4" s="605"/>
      <c r="M4" s="521"/>
      <c r="N4" s="521"/>
      <c r="O4" s="521"/>
      <c r="P4" s="521"/>
      <c r="Q4" s="521"/>
      <c r="R4" s="521"/>
      <c r="S4" s="521"/>
      <c r="T4" s="521"/>
      <c r="U4" s="521"/>
    </row>
    <row customHeight="1" ht="14.25">
      <c r="A5" s="586"/>
      <c r="B5" s="606" t="s">
        <v>17</v>
      </c>
      <c r="C5" s="607"/>
      <c r="D5" s="608"/>
      <c r="E5" s="743"/>
      <c r="F5" s="608"/>
      <c r="G5" s="608"/>
      <c r="H5" s="743"/>
      <c r="I5" s="608"/>
      <c r="J5" s="608"/>
      <c r="K5" s="608"/>
      <c r="L5" s="610"/>
      <c r="M5" s="521"/>
      <c r="N5" s="521"/>
      <c r="O5" s="521"/>
      <c r="P5" s="521"/>
      <c r="Q5" s="521"/>
      <c r="R5" s="521"/>
      <c r="S5" s="521"/>
      <c r="T5" s="521"/>
      <c r="U5" s="521"/>
    </row>
    <row customHeight="1" ht="14.25">
      <c r="A6" s="586"/>
      <c r="B6" s="611" t="s">
        <v>18</v>
      </c>
      <c r="C6" s="607" t="s">
        <v>19</v>
      </c>
      <c r="D6" s="451"/>
      <c r="E6" s="743"/>
      <c r="F6" s="608"/>
      <c r="G6" s="451"/>
      <c r="H6" s="743"/>
      <c r="I6" s="608"/>
      <c r="J6" s="608"/>
      <c r="K6" s="608"/>
      <c r="L6" s="610"/>
      <c r="M6" s="521"/>
      <c r="N6" s="521"/>
      <c r="O6" s="521"/>
      <c r="P6" s="521"/>
      <c r="Q6" s="521"/>
      <c r="R6" s="521"/>
      <c r="S6" s="521"/>
      <c r="T6" s="521"/>
      <c r="U6" s="521"/>
    </row>
    <row customHeight="1" ht="14.25">
      <c r="A7" s="586"/>
      <c r="B7" s="611" t="s">
        <v>20</v>
      </c>
      <c r="C7" s="607" t="s">
        <v>19</v>
      </c>
      <c r="D7" s="67">
        <v>515000</v>
      </c>
      <c r="E7" s="258">
        <f>E95</f>
        <v>550368</v>
      </c>
      <c r="F7" s="613">
        <f>E7/#REF!*100</f>
      </c>
      <c r="G7" s="67">
        <v>5100000</v>
      </c>
      <c r="H7" s="258">
        <f>H95</f>
        <v>4553852</v>
      </c>
      <c r="I7" s="613">
        <f>H7/#REF!*100</f>
      </c>
      <c r="J7" s="272">
        <f>J95</f>
        <v>433198</v>
      </c>
      <c r="K7" s="272">
        <f>K95</f>
        <v>5100900</v>
      </c>
      <c r="L7" s="610">
        <f>H7-K7</f>
        <v>-547048</v>
      </c>
      <c r="M7" s="521"/>
      <c r="N7" s="521"/>
      <c r="O7" s="521"/>
      <c r="P7" s="521"/>
      <c r="Q7" s="521"/>
      <c r="R7" s="521"/>
      <c r="S7" s="521"/>
      <c r="T7" s="521"/>
      <c r="U7" s="521"/>
    </row>
    <row customHeight="1" ht="14.25">
      <c r="A8" s="586"/>
      <c r="B8" s="611" t="s">
        <v>21</v>
      </c>
      <c r="C8" s="607" t="s">
        <v>19</v>
      </c>
      <c r="D8" s="67"/>
      <c r="E8" s="258"/>
      <c r="F8" s="608"/>
      <c r="G8" s="67"/>
      <c r="H8" s="258"/>
      <c r="I8" s="608"/>
      <c r="J8" s="272"/>
      <c r="K8" s="272"/>
      <c r="L8" s="610"/>
      <c r="M8" s="521"/>
      <c r="N8" s="521"/>
      <c r="O8" s="521"/>
      <c r="P8" s="521"/>
      <c r="Q8" s="521"/>
      <c r="R8" s="521"/>
      <c r="S8" s="521"/>
      <c r="T8" s="521"/>
      <c r="U8" s="521"/>
    </row>
    <row customHeight="1" ht="14.25">
      <c r="A9" s="586"/>
      <c r="B9" s="713" t="s">
        <v>22</v>
      </c>
      <c r="C9" s="607" t="s">
        <v>19</v>
      </c>
      <c r="D9" s="67"/>
      <c r="E9" s="258">
        <f>E97</f>
        <v>6041</v>
      </c>
      <c r="F9" s="608"/>
      <c r="G9" s="67">
        <v>40000</v>
      </c>
      <c r="H9" s="258">
        <f>H97</f>
        <v>72737</v>
      </c>
      <c r="I9" s="608"/>
      <c r="J9" s="272">
        <f>J97</f>
        <v>5204</v>
      </c>
      <c r="K9" s="272">
        <f>K97</f>
        <v>63651</v>
      </c>
      <c r="L9" s="610">
        <f>H9-K9</f>
        <v>9086</v>
      </c>
      <c r="M9" s="521"/>
      <c r="N9" s="521"/>
      <c r="O9" s="521"/>
      <c r="P9" s="521"/>
      <c r="Q9" s="521"/>
      <c r="R9" s="521"/>
      <c r="S9" s="521"/>
      <c r="T9" s="521"/>
      <c r="U9" s="521"/>
    </row>
    <row customHeight="1" ht="14.25">
      <c r="A10" s="586"/>
      <c r="B10" s="611" t="s">
        <v>23</v>
      </c>
      <c r="C10" s="607" t="s">
        <v>19</v>
      </c>
      <c r="D10" s="67"/>
      <c r="E10" s="258"/>
      <c r="F10" s="608"/>
      <c r="G10" s="67"/>
      <c r="H10" s="258"/>
      <c r="I10" s="608"/>
      <c r="J10" s="272"/>
      <c r="K10" s="272"/>
      <c r="L10" s="610"/>
      <c r="M10" s="521"/>
      <c r="N10" s="521"/>
      <c r="O10" s="521"/>
      <c r="P10" s="521"/>
      <c r="Q10" s="521"/>
      <c r="R10" s="521"/>
      <c r="S10" s="521"/>
      <c r="T10" s="521"/>
      <c r="U10" s="521"/>
    </row>
    <row customHeight="1" ht="14.25">
      <c r="A11" s="586"/>
      <c r="B11" s="611" t="s">
        <v>24</v>
      </c>
      <c r="C11" s="607" t="s">
        <v>19</v>
      </c>
      <c r="D11" s="67">
        <v>0</v>
      </c>
      <c r="E11" s="258">
        <f>E99</f>
        <v>481</v>
      </c>
      <c r="F11" s="613">
        <f>E11/#REF!*100</f>
      </c>
      <c r="G11" s="67"/>
      <c r="H11" s="258">
        <f>H99</f>
        <v>481</v>
      </c>
      <c r="I11" s="613">
        <f>H11/#REF!*100</f>
      </c>
      <c r="J11" s="272">
        <f>J99</f>
        <v>0</v>
      </c>
      <c r="K11" s="272">
        <f>K99</f>
        <v>65718</v>
      </c>
      <c r="L11" s="610">
        <f>H11-K11</f>
        <v>-65237</v>
      </c>
      <c r="M11" s="521"/>
      <c r="N11" s="521"/>
      <c r="O11" s="521"/>
      <c r="P11" s="521"/>
      <c r="Q11" s="521"/>
      <c r="R11" s="521"/>
      <c r="S11" s="521"/>
      <c r="T11" s="521"/>
      <c r="U11" s="521"/>
    </row>
    <row customHeight="1" ht="14.25">
      <c r="A12" s="586"/>
      <c r="B12" s="611" t="s">
        <v>25</v>
      </c>
      <c r="C12" s="607" t="s">
        <v>19</v>
      </c>
      <c r="D12" s="67"/>
      <c r="E12" s="258">
        <f>E101</f>
        <v>0</v>
      </c>
      <c r="F12" s="608"/>
      <c r="G12" s="67"/>
      <c r="H12" s="258">
        <f>H101</f>
        <v>0</v>
      </c>
      <c r="I12" s="608"/>
      <c r="J12" s="272">
        <f>J101</f>
        <v>0</v>
      </c>
      <c r="K12" s="272">
        <f>K101</f>
        <v>0</v>
      </c>
      <c r="L12" s="610"/>
      <c r="M12" s="521"/>
      <c r="N12" s="521"/>
      <c r="O12" s="521"/>
      <c r="P12" s="521"/>
      <c r="Q12" s="521"/>
      <c r="R12" s="521"/>
      <c r="S12" s="521"/>
      <c r="T12" s="521"/>
      <c r="U12" s="521"/>
    </row>
    <row customHeight="1" ht="14.25">
      <c r="A13" s="586"/>
      <c r="B13" s="611" t="s">
        <v>26</v>
      </c>
      <c r="C13" s="607" t="s">
        <v>19</v>
      </c>
      <c r="D13" s="67"/>
      <c r="E13" s="258"/>
      <c r="F13" s="608"/>
      <c r="G13" s="67"/>
      <c r="H13" s="743"/>
      <c r="I13" s="608"/>
      <c r="J13" s="272"/>
      <c r="K13" s="272"/>
      <c r="L13" s="610"/>
      <c r="M13" s="521"/>
      <c r="N13" s="521"/>
      <c r="O13" s="521"/>
      <c r="P13" s="521"/>
      <c r="Q13" s="521"/>
      <c r="R13" s="521"/>
      <c r="S13" s="521"/>
      <c r="T13" s="521"/>
      <c r="U13" s="521"/>
    </row>
    <row customHeight="1" ht="14.25">
      <c r="A14" s="586"/>
      <c r="B14" s="611" t="s">
        <v>27</v>
      </c>
      <c r="C14" s="607" t="s">
        <v>19</v>
      </c>
      <c r="D14" s="67"/>
      <c r="E14" s="258"/>
      <c r="F14" s="608"/>
      <c r="G14" s="67"/>
      <c r="H14" s="743"/>
      <c r="I14" s="608"/>
      <c r="J14" s="272"/>
      <c r="K14" s="272"/>
      <c r="L14" s="610"/>
      <c r="M14" s="521"/>
      <c r="N14" s="521"/>
      <c r="O14" s="521"/>
      <c r="P14" s="521"/>
      <c r="Q14" s="521"/>
      <c r="R14" s="521"/>
      <c r="S14" s="521"/>
      <c r="T14" s="521"/>
      <c r="U14" s="521"/>
    </row>
    <row customHeight="1" ht="14.25">
      <c r="A15" s="586"/>
      <c r="B15" s="611" t="s">
        <v>28</v>
      </c>
      <c r="C15" s="607" t="s">
        <v>19</v>
      </c>
      <c r="D15" s="67"/>
      <c r="E15" s="258"/>
      <c r="F15" s="608"/>
      <c r="G15" s="67"/>
      <c r="H15" s="743"/>
      <c r="I15" s="608"/>
      <c r="J15" s="272"/>
      <c r="K15" s="272"/>
      <c r="L15" s="610"/>
      <c r="M15" s="521"/>
      <c r="N15" s="521"/>
      <c r="O15" s="521"/>
      <c r="P15" s="521"/>
      <c r="Q15" s="521"/>
      <c r="R15" s="521"/>
      <c r="S15" s="521"/>
      <c r="T15" s="521"/>
      <c r="U15" s="521"/>
    </row>
    <row customHeight="1" ht="14.25">
      <c r="A16" s="586"/>
      <c r="B16" s="611" t="s">
        <v>29</v>
      </c>
      <c r="C16" s="607" t="s">
        <v>19</v>
      </c>
      <c r="D16" s="69"/>
      <c r="E16" s="258">
        <f>E103</f>
        <v>550368</v>
      </c>
      <c r="F16" s="613"/>
      <c r="G16" s="69"/>
      <c r="H16" s="258">
        <f>H103</f>
        <v>4553852</v>
      </c>
      <c r="I16" s="746"/>
      <c r="J16" s="272">
        <f>J103</f>
        <v>433198</v>
      </c>
      <c r="K16" s="272">
        <f>K103</f>
        <v>5100900</v>
      </c>
      <c r="L16" s="610"/>
      <c r="M16" s="521"/>
      <c r="N16" s="521"/>
      <c r="O16" s="521"/>
      <c r="P16" s="521"/>
      <c r="Q16" s="521"/>
      <c r="R16" s="521"/>
      <c r="S16" s="521"/>
      <c r="T16" s="521"/>
      <c r="U16" s="521"/>
    </row>
    <row customHeight="1" ht="14.25">
      <c r="A17" s="586"/>
      <c r="B17" s="611" t="s">
        <v>130</v>
      </c>
      <c r="C17" s="607" t="s">
        <v>19</v>
      </c>
      <c r="D17" s="72">
        <v>515000</v>
      </c>
      <c r="E17" s="260">
        <f>E104</f>
        <v>550368</v>
      </c>
      <c r="F17" s="620">
        <f>E17/#REF!*100</f>
      </c>
      <c r="G17" s="72">
        <v>5100000</v>
      </c>
      <c r="H17" s="260">
        <f>H104</f>
        <v>4553852</v>
      </c>
      <c r="I17" s="620">
        <f>H17/#REF!*100</f>
      </c>
      <c r="J17" s="273">
        <f>J16</f>
        <v>433198</v>
      </c>
      <c r="K17" s="272">
        <f>K104</f>
        <v>5100900</v>
      </c>
      <c r="L17" s="610">
        <f>H17-K17</f>
        <v>-547048</v>
      </c>
      <c r="M17" s="521"/>
      <c r="N17" s="521"/>
      <c r="O17" s="521"/>
      <c r="P17" s="521"/>
      <c r="Q17" s="521"/>
      <c r="R17" s="521"/>
      <c r="S17" s="521"/>
      <c r="T17" s="521"/>
      <c r="U17" s="521"/>
    </row>
    <row customHeight="1" ht="14.25">
      <c r="A18" s="586"/>
      <c r="B18" s="623" t="s">
        <v>131</v>
      </c>
      <c r="C18" s="624" t="s">
        <v>19</v>
      </c>
      <c r="D18" s="77"/>
      <c r="E18" s="78"/>
      <c r="F18" s="627"/>
      <c r="G18" s="77"/>
      <c r="H18" s="78">
        <f>H200</f>
        <v>0</v>
      </c>
      <c r="I18" s="627"/>
      <c r="J18" s="78">
        <f>J200</f>
        <v>0</v>
      </c>
      <c r="K18" s="274">
        <f>K200</f>
        <v>0</v>
      </c>
      <c r="L18" s="750"/>
      <c r="M18" s="521"/>
      <c r="N18" s="521"/>
      <c r="O18" s="521"/>
      <c r="P18" s="521"/>
      <c r="Q18" s="521"/>
      <c r="R18" s="521"/>
      <c r="S18" s="521"/>
      <c r="T18" s="521"/>
      <c r="U18" s="521"/>
    </row>
    <row customHeight="1" ht="14.25">
      <c r="A19" s="586"/>
      <c r="B19" s="611" t="s">
        <v>32</v>
      </c>
      <c r="C19" s="607" t="s">
        <v>19</v>
      </c>
      <c r="D19" s="69"/>
      <c r="E19" s="263">
        <f>E106</f>
        <v>174870</v>
      </c>
      <c r="F19" s="631"/>
      <c r="G19" s="69"/>
      <c r="H19" s="263">
        <f>H106</f>
        <v>1591516</v>
      </c>
      <c r="I19" s="631"/>
      <c r="J19" s="276">
        <f>J106</f>
        <v>153134</v>
      </c>
      <c r="K19" s="272">
        <f>K106</f>
        <v>1667450</v>
      </c>
      <c r="L19" s="610">
        <f>H19-K19</f>
        <v>-75934</v>
      </c>
      <c r="M19" s="521"/>
      <c r="N19" s="521"/>
      <c r="O19" s="521"/>
      <c r="P19" s="521"/>
      <c r="Q19" s="521"/>
      <c r="R19" s="521"/>
      <c r="S19" s="521"/>
      <c r="T19" s="521"/>
      <c r="U19" s="521"/>
    </row>
    <row customHeight="1" ht="14.25">
      <c r="A20" s="586"/>
      <c r="B20" s="611" t="s">
        <v>132</v>
      </c>
      <c r="C20" s="607" t="s">
        <v>19</v>
      </c>
      <c r="D20" s="67">
        <v>141000</v>
      </c>
      <c r="E20" s="258">
        <f>E108</f>
        <v>171606</v>
      </c>
      <c r="F20" s="613">
        <f>E20/#REF!*100</f>
      </c>
      <c r="G20" s="67">
        <v>1780000</v>
      </c>
      <c r="H20" s="258">
        <f>H108</f>
        <v>1575046</v>
      </c>
      <c r="I20" s="613">
        <f>H20/#REF!*100</f>
      </c>
      <c r="J20" s="272">
        <f>J108</f>
        <v>149057</v>
      </c>
      <c r="K20" s="272">
        <f>K108</f>
        <v>1626265</v>
      </c>
      <c r="L20" s="610">
        <f>H20-K20</f>
        <v>-51219</v>
      </c>
      <c r="M20" s="521"/>
      <c r="N20" s="521"/>
      <c r="O20" s="521"/>
      <c r="P20" s="521"/>
      <c r="Q20" s="521"/>
      <c r="R20" s="521"/>
      <c r="S20" s="521"/>
      <c r="T20" s="521"/>
      <c r="U20" s="521"/>
    </row>
    <row customHeight="1" ht="14.25">
      <c r="A21" s="586"/>
      <c r="B21" s="611" t="s">
        <v>34</v>
      </c>
      <c r="C21" s="607" t="s">
        <v>19</v>
      </c>
      <c r="D21" s="67">
        <v>84000</v>
      </c>
      <c r="E21" s="258">
        <f>E110</f>
        <v>110093</v>
      </c>
      <c r="F21" s="613">
        <f>E21/#REF!*100</f>
      </c>
      <c r="G21" s="67">
        <v>950000</v>
      </c>
      <c r="H21" s="258">
        <f>H110</f>
        <v>907947</v>
      </c>
      <c r="I21" s="613">
        <f>H21/#REF!*100</f>
      </c>
      <c r="J21" s="272">
        <f>J110</f>
        <v>93966</v>
      </c>
      <c r="K21" s="272">
        <f>K110</f>
        <v>1019022</v>
      </c>
      <c r="L21" s="610">
        <f>H21-K21</f>
        <v>-111075</v>
      </c>
      <c r="M21" s="521"/>
      <c r="N21" s="521"/>
      <c r="O21" s="521"/>
      <c r="P21" s="521"/>
      <c r="Q21" s="521"/>
      <c r="R21" s="521"/>
      <c r="S21" s="521"/>
      <c r="T21" s="521"/>
      <c r="U21" s="521"/>
    </row>
    <row customHeight="1" ht="14.25">
      <c r="A22" s="586"/>
      <c r="B22" s="611" t="s">
        <v>35</v>
      </c>
      <c r="C22" s="607" t="s">
        <v>19</v>
      </c>
      <c r="D22" s="67">
        <v>0</v>
      </c>
      <c r="E22" s="258">
        <f>E112</f>
        <v>0</v>
      </c>
      <c r="F22" s="613">
        <f>E22/#REF!*100</f>
      </c>
      <c r="G22" s="67"/>
      <c r="H22" s="258">
        <f>H112</f>
        <v>0</v>
      </c>
      <c r="I22" s="613">
        <f>H22/#REF!*100</f>
      </c>
      <c r="J22" s="272">
        <f>J112</f>
        <v>0</v>
      </c>
      <c r="K22" s="272">
        <f>K112</f>
        <v>80968</v>
      </c>
      <c r="L22" s="610">
        <f>H22-K22</f>
        <v>-80968</v>
      </c>
      <c r="M22" s="521"/>
      <c r="N22" s="521"/>
      <c r="O22" s="521"/>
      <c r="P22" s="521"/>
      <c r="Q22" s="521"/>
      <c r="R22" s="521"/>
      <c r="S22" s="521"/>
      <c r="T22" s="521"/>
      <c r="U22" s="521"/>
    </row>
    <row customHeight="1" ht="14.25">
      <c r="A23" s="586"/>
      <c r="B23" s="611" t="s">
        <v>36</v>
      </c>
      <c r="C23" s="607" t="s">
        <v>19</v>
      </c>
      <c r="D23" s="67">
        <v>0</v>
      </c>
      <c r="E23" s="258"/>
      <c r="F23" s="613"/>
      <c r="G23" s="67"/>
      <c r="H23" s="743"/>
      <c r="I23" s="613"/>
      <c r="J23" s="272"/>
      <c r="K23" s="272"/>
      <c r="L23" s="610"/>
      <c r="M23" s="521"/>
      <c r="N23" s="521"/>
      <c r="O23" s="521"/>
      <c r="P23" s="521"/>
      <c r="Q23" s="521"/>
      <c r="R23" s="521"/>
      <c r="S23" s="521"/>
      <c r="T23" s="521"/>
      <c r="U23" s="521"/>
    </row>
    <row customHeight="1" ht="14.25">
      <c r="A24" s="586"/>
      <c r="B24" s="611" t="s">
        <v>37</v>
      </c>
      <c r="C24" s="607" t="s">
        <v>19</v>
      </c>
      <c r="D24" s="67">
        <v>67000</v>
      </c>
      <c r="E24" s="258">
        <f>E113</f>
        <v>99150</v>
      </c>
      <c r="F24" s="613">
        <f>E24/#REF!*100</f>
      </c>
      <c r="G24" s="67">
        <v>880000</v>
      </c>
      <c r="H24" s="743">
        <f>H113</f>
        <v>769527</v>
      </c>
      <c r="I24" s="613">
        <f>H24/#REF!*100</f>
      </c>
      <c r="J24" s="272">
        <f>J113</f>
        <v>75564</v>
      </c>
      <c r="K24" s="272">
        <f>K113</f>
        <v>823073</v>
      </c>
      <c r="L24" s="610">
        <f>H24-K24</f>
        <v>-53546</v>
      </c>
      <c r="M24" s="521"/>
      <c r="N24" s="521"/>
      <c r="O24" s="521"/>
      <c r="P24" s="521"/>
      <c r="Q24" s="521"/>
      <c r="R24" s="521"/>
      <c r="S24" s="521"/>
      <c r="T24" s="521"/>
      <c r="U24" s="521"/>
    </row>
    <row customHeight="1" ht="14.25">
      <c r="A25" s="586"/>
      <c r="B25" s="611" t="s">
        <v>38</v>
      </c>
      <c r="C25" s="607" t="s">
        <v>19</v>
      </c>
      <c r="D25" s="67">
        <v>177000</v>
      </c>
      <c r="E25" s="258">
        <f>E114</f>
        <v>202494</v>
      </c>
      <c r="F25" s="613">
        <f>E25/#REF!*100</f>
      </c>
      <c r="G25" s="67">
        <v>1800000</v>
      </c>
      <c r="H25" s="258">
        <f>H114</f>
        <v>1736966</v>
      </c>
      <c r="I25" s="613">
        <f>H25/#REF!*100</f>
      </c>
      <c r="J25" s="272">
        <f>J114</f>
        <v>172264</v>
      </c>
      <c r="K25" s="272">
        <f>K114</f>
        <v>1933004</v>
      </c>
      <c r="L25" s="610">
        <f>H25-K25</f>
        <v>-196038</v>
      </c>
      <c r="M25" s="521"/>
      <c r="N25" s="521"/>
      <c r="O25" s="521"/>
      <c r="P25" s="521"/>
      <c r="Q25" s="521"/>
      <c r="R25" s="521"/>
      <c r="S25" s="521"/>
      <c r="T25" s="521"/>
      <c r="U25" s="521"/>
    </row>
    <row customHeight="1" ht="14.25">
      <c r="A26" s="586"/>
      <c r="B26" s="611" t="s">
        <v>39</v>
      </c>
      <c r="C26" s="607" t="s">
        <v>19</v>
      </c>
      <c r="D26" s="67"/>
      <c r="E26" s="258"/>
      <c r="F26" s="613"/>
      <c r="G26" s="67"/>
      <c r="H26" s="258"/>
      <c r="I26" s="613"/>
      <c r="J26" s="272"/>
      <c r="K26" s="272"/>
      <c r="L26" s="610"/>
      <c r="M26" s="521"/>
      <c r="N26" s="521"/>
      <c r="O26" s="521"/>
      <c r="P26" s="521"/>
      <c r="Q26" s="521"/>
      <c r="R26" s="521"/>
      <c r="S26" s="521"/>
      <c r="T26" s="521"/>
      <c r="U26" s="521"/>
    </row>
    <row customHeight="1" ht="14.25">
      <c r="A27" s="586"/>
      <c r="B27" s="611" t="s">
        <v>40</v>
      </c>
      <c r="C27" s="607" t="s">
        <v>19</v>
      </c>
      <c r="D27" s="67"/>
      <c r="E27" s="258">
        <f>E116</f>
        <v>28452</v>
      </c>
      <c r="F27" s="613"/>
      <c r="G27" s="67">
        <v>263158</v>
      </c>
      <c r="H27" s="258">
        <f>H116</f>
        <v>252643</v>
      </c>
      <c r="I27" s="613"/>
      <c r="J27" s="272">
        <f>J116</f>
        <v>24702</v>
      </c>
      <c r="K27" s="272">
        <f>K116</f>
        <v>289635</v>
      </c>
      <c r="L27" s="610">
        <f>H27-K27</f>
        <v>-36992</v>
      </c>
      <c r="M27" s="521"/>
      <c r="N27" s="521"/>
      <c r="O27" s="521"/>
      <c r="P27" s="521"/>
      <c r="Q27" s="521"/>
      <c r="R27" s="521"/>
      <c r="S27" s="521"/>
      <c r="T27" s="521"/>
      <c r="U27" s="521"/>
    </row>
    <row customHeight="1" ht="14.25">
      <c r="A28" s="586"/>
      <c r="B28" s="611" t="s">
        <v>41</v>
      </c>
      <c r="C28" s="607" t="s">
        <v>19</v>
      </c>
      <c r="D28" s="67"/>
      <c r="E28" s="258"/>
      <c r="F28" s="613"/>
      <c r="G28" s="67"/>
      <c r="H28" s="258"/>
      <c r="I28" s="613"/>
      <c r="J28" s="272"/>
      <c r="K28" s="272"/>
      <c r="L28" s="610"/>
      <c r="M28" s="521"/>
      <c r="N28" s="521"/>
      <c r="O28" s="521"/>
      <c r="P28" s="521"/>
      <c r="Q28" s="521"/>
      <c r="R28" s="521"/>
      <c r="S28" s="521"/>
      <c r="T28" s="521"/>
      <c r="U28" s="521"/>
    </row>
    <row customHeight="1" ht="14.25">
      <c r="A29" s="586"/>
      <c r="B29" s="611" t="s">
        <v>42</v>
      </c>
      <c r="C29" s="607" t="s">
        <v>19</v>
      </c>
      <c r="D29" s="67"/>
      <c r="E29" s="258"/>
      <c r="F29" s="613"/>
      <c r="G29" s="67"/>
      <c r="H29" s="258"/>
      <c r="I29" s="613"/>
      <c r="J29" s="272"/>
      <c r="K29" s="272"/>
      <c r="L29" s="610"/>
      <c r="M29" s="521"/>
      <c r="N29" s="521"/>
      <c r="O29" s="521"/>
      <c r="P29" s="521"/>
      <c r="Q29" s="521"/>
      <c r="R29" s="521"/>
      <c r="S29" s="521"/>
      <c r="T29" s="521"/>
      <c r="U29" s="521"/>
    </row>
    <row customHeight="1" ht="14.25">
      <c r="A30" s="586"/>
      <c r="B30" s="606" t="s">
        <v>43</v>
      </c>
      <c r="C30" s="607"/>
      <c r="D30" s="67"/>
      <c r="E30" s="258"/>
      <c r="F30" s="613"/>
      <c r="G30" s="67"/>
      <c r="H30" s="258"/>
      <c r="I30" s="613"/>
      <c r="J30" s="272"/>
      <c r="K30" s="272"/>
      <c r="L30" s="610"/>
      <c r="M30" s="521"/>
      <c r="N30" s="521"/>
      <c r="O30" s="521"/>
      <c r="P30" s="521"/>
      <c r="Q30" s="521"/>
      <c r="R30" s="521"/>
      <c r="S30" s="521"/>
      <c r="T30" s="521"/>
      <c r="U30" s="521"/>
    </row>
    <row customHeight="1" ht="14.25">
      <c r="A31" s="586"/>
      <c r="B31" s="634" t="s">
        <v>44</v>
      </c>
      <c r="C31" s="607" t="s">
        <v>19</v>
      </c>
      <c r="D31" s="67">
        <v>170000</v>
      </c>
      <c r="E31" s="264">
        <f>SUM(E32:E34)</f>
        <v>180869</v>
      </c>
      <c r="F31" s="613">
        <f>E31/#REF!*100</f>
      </c>
      <c r="G31" s="67">
        <v>1500000</v>
      </c>
      <c r="H31" s="264">
        <f>SUM(H32:H34)</f>
        <v>1520716</v>
      </c>
      <c r="I31" s="613">
        <f>H31/#REF!*100</f>
      </c>
      <c r="J31" s="277">
        <f>J32+J33+J34</f>
        <v>142767</v>
      </c>
      <c r="K31" s="278">
        <f>SUM(K32:K34)</f>
        <v>1623821</v>
      </c>
      <c r="L31" s="610">
        <f>H31-K31</f>
        <v>-103105</v>
      </c>
      <c r="M31" s="521"/>
      <c r="N31" s="521"/>
      <c r="O31" s="521"/>
      <c r="P31" s="521"/>
      <c r="Q31" s="521"/>
      <c r="R31" s="521"/>
      <c r="S31" s="521"/>
      <c r="T31" s="521"/>
      <c r="U31" s="521"/>
    </row>
    <row customHeight="1" ht="14.25">
      <c r="A32" s="586"/>
      <c r="B32" s="611" t="s">
        <v>45</v>
      </c>
      <c r="C32" s="607" t="s">
        <v>19</v>
      </c>
      <c r="D32" s="67"/>
      <c r="E32" s="258">
        <f>E118</f>
        <v>168869</v>
      </c>
      <c r="F32" s="613">
        <f>E32/#REF!*100</f>
      </c>
      <c r="G32" s="67">
        <v>1305400</v>
      </c>
      <c r="H32" s="258">
        <f>H118</f>
        <v>1350244</v>
      </c>
      <c r="I32" s="613">
        <f>H32/#REF!*100</f>
      </c>
      <c r="J32" s="272">
        <f>J118</f>
        <v>122717</v>
      </c>
      <c r="K32" s="272">
        <f>K118</f>
        <v>1422443</v>
      </c>
      <c r="L32" s="610">
        <f>H32-K32</f>
        <v>-72199</v>
      </c>
      <c r="M32" s="521"/>
      <c r="N32" s="521"/>
      <c r="O32" s="521"/>
      <c r="P32" s="521"/>
      <c r="Q32" s="521"/>
      <c r="R32" s="521"/>
      <c r="S32" s="521"/>
      <c r="T32" s="521"/>
      <c r="U32" s="521"/>
    </row>
    <row customHeight="1" ht="14.25">
      <c r="A33" s="586"/>
      <c r="B33" s="634" t="s">
        <v>46</v>
      </c>
      <c r="C33" s="607" t="s">
        <v>19</v>
      </c>
      <c r="D33" s="67"/>
      <c r="E33" s="258">
        <f>E120</f>
        <v>12000</v>
      </c>
      <c r="F33" s="613">
        <f>E33/#REF!*100</f>
      </c>
      <c r="G33" s="67">
        <v>194600</v>
      </c>
      <c r="H33" s="258">
        <f>H120</f>
        <v>170472</v>
      </c>
      <c r="I33" s="613">
        <f>H33/#REF!*100</f>
      </c>
      <c r="J33" s="272">
        <f>J120</f>
        <v>20050</v>
      </c>
      <c r="K33" s="272">
        <f>K120</f>
        <v>201378</v>
      </c>
      <c r="L33" s="610">
        <f>H33-K33</f>
        <v>-30906</v>
      </c>
      <c r="M33" s="521"/>
      <c r="N33" s="521"/>
      <c r="O33" s="521"/>
      <c r="P33" s="521"/>
      <c r="Q33" s="521"/>
      <c r="R33" s="521"/>
      <c r="S33" s="521"/>
      <c r="T33" s="521"/>
      <c r="U33" s="521"/>
    </row>
    <row customHeight="1" ht="14.25">
      <c r="A34" s="586"/>
      <c r="B34" s="634" t="s">
        <v>47</v>
      </c>
      <c r="C34" s="607"/>
      <c r="D34" s="67"/>
      <c r="E34" s="258"/>
      <c r="F34" s="613"/>
      <c r="G34" s="67"/>
      <c r="H34" s="258"/>
      <c r="I34" s="613"/>
      <c r="J34" s="272"/>
      <c r="K34" s="272"/>
      <c r="L34" s="610"/>
      <c r="M34" s="521"/>
      <c r="N34" s="521"/>
      <c r="O34" s="521"/>
      <c r="P34" s="521"/>
      <c r="Q34" s="521"/>
      <c r="R34" s="521"/>
      <c r="S34" s="521"/>
      <c r="T34" s="521"/>
      <c r="U34" s="521"/>
    </row>
    <row customHeight="1" ht="14.25">
      <c r="A35" s="586"/>
      <c r="B35" s="611" t="s">
        <v>48</v>
      </c>
      <c r="C35" s="607" t="s">
        <v>19</v>
      </c>
      <c r="D35" s="67">
        <v>160000</v>
      </c>
      <c r="E35" s="258">
        <f>SUM(E36:E40)</f>
        <v>169541</v>
      </c>
      <c r="F35" s="613">
        <f>E35/#REF!*100</f>
      </c>
      <c r="G35" s="67">
        <v>1641452</v>
      </c>
      <c r="H35" s="258">
        <f>SUM(H36:H40)</f>
        <v>1539988</v>
      </c>
      <c r="I35" s="613">
        <f>H35/#REF!*100</f>
      </c>
      <c r="J35" s="272">
        <f>J36+J37+J38+J39+J40</f>
        <v>152928</v>
      </c>
      <c r="K35" s="272">
        <f>SUM(K36:K40)</f>
        <v>1736786</v>
      </c>
      <c r="L35" s="610">
        <f>H35-K35</f>
        <v>-196798</v>
      </c>
      <c r="M35" s="521"/>
      <c r="N35" s="521"/>
      <c r="O35" s="521"/>
      <c r="P35" s="521"/>
      <c r="Q35" s="521"/>
      <c r="R35" s="521"/>
      <c r="S35" s="521"/>
      <c r="T35" s="521"/>
      <c r="U35" s="521"/>
    </row>
    <row customHeight="1" ht="14.25">
      <c r="A36" s="586"/>
      <c r="B36" s="639" t="s">
        <v>49</v>
      </c>
      <c r="C36" s="607" t="s">
        <v>19</v>
      </c>
      <c r="D36" s="67"/>
      <c r="E36" s="258"/>
      <c r="F36" s="613"/>
      <c r="G36" s="67"/>
      <c r="H36" s="258"/>
      <c r="I36" s="613"/>
      <c r="J36" s="272"/>
      <c r="K36" s="272"/>
      <c r="L36" s="610"/>
      <c r="M36" s="521"/>
      <c r="N36" s="521"/>
      <c r="O36" s="521"/>
      <c r="P36" s="521"/>
      <c r="Q36" s="521"/>
      <c r="R36" s="521"/>
      <c r="S36" s="521"/>
      <c r="T36" s="521"/>
      <c r="U36" s="521"/>
    </row>
    <row customHeight="1" ht="14.25">
      <c r="A37" s="586"/>
      <c r="B37" s="611" t="s">
        <v>50</v>
      </c>
      <c r="C37" s="607" t="s">
        <v>19</v>
      </c>
      <c r="D37" s="67"/>
      <c r="E37" s="258">
        <f>E122</f>
        <v>125230</v>
      </c>
      <c r="F37" s="613"/>
      <c r="G37" s="67"/>
      <c r="H37" s="258">
        <f>H122</f>
        <v>1454677</v>
      </c>
      <c r="I37" s="613"/>
      <c r="J37" s="272">
        <f>J122</f>
        <v>111439</v>
      </c>
      <c r="K37" s="272">
        <f>K122</f>
        <v>1677765</v>
      </c>
      <c r="L37" s="610">
        <f>H37-K37</f>
        <v>-223088</v>
      </c>
      <c r="M37" s="521"/>
      <c r="N37" s="521"/>
      <c r="O37" s="521"/>
      <c r="P37" s="521"/>
      <c r="Q37" s="521"/>
      <c r="R37" s="521"/>
      <c r="S37" s="521"/>
      <c r="T37" s="521"/>
      <c r="U37" s="521"/>
    </row>
    <row customHeight="1" ht="14.25">
      <c r="A38" s="586"/>
      <c r="B38" s="611" t="s">
        <v>51</v>
      </c>
      <c r="C38" s="607" t="s">
        <v>19</v>
      </c>
      <c r="D38" s="67">
        <v>30000</v>
      </c>
      <c r="E38" s="258">
        <f>E124</f>
        <v>35700</v>
      </c>
      <c r="F38" s="613"/>
      <c r="G38" s="67"/>
      <c r="H38" s="258">
        <f>H124</f>
        <v>76700</v>
      </c>
      <c r="I38" s="613"/>
      <c r="J38" s="272">
        <f>J124</f>
        <v>41489</v>
      </c>
      <c r="K38" s="272">
        <f>K124</f>
        <v>59021</v>
      </c>
      <c r="L38" s="610">
        <f>H38-K38</f>
        <v>17679</v>
      </c>
      <c r="M38" s="521"/>
      <c r="N38" s="521"/>
      <c r="O38" s="521"/>
      <c r="P38" s="521"/>
      <c r="Q38" s="521"/>
      <c r="R38" s="521"/>
      <c r="S38" s="521"/>
      <c r="T38" s="521"/>
      <c r="U38" s="521"/>
    </row>
    <row customHeight="1" ht="14.25">
      <c r="A39" s="586"/>
      <c r="B39" s="611" t="s">
        <v>52</v>
      </c>
      <c r="C39" s="607" t="s">
        <v>19</v>
      </c>
      <c r="D39" s="67"/>
      <c r="E39" s="258">
        <f>E126</f>
        <v>8611</v>
      </c>
      <c r="F39" s="613"/>
      <c r="G39" s="67"/>
      <c r="H39" s="258">
        <f>H126</f>
        <v>8611</v>
      </c>
      <c r="I39" s="613"/>
      <c r="J39" s="272">
        <f>J126</f>
        <v>0</v>
      </c>
      <c r="K39" s="272">
        <f>K126</f>
        <v>0</v>
      </c>
      <c r="L39" s="610"/>
      <c r="M39" s="521"/>
      <c r="N39" s="521"/>
      <c r="O39" s="521"/>
      <c r="P39" s="521"/>
      <c r="Q39" s="521"/>
      <c r="R39" s="521"/>
      <c r="S39" s="521"/>
      <c r="T39" s="521"/>
      <c r="U39" s="521"/>
    </row>
    <row customHeight="1" ht="14.25">
      <c r="A40" s="586"/>
      <c r="B40" s="611" t="s">
        <v>53</v>
      </c>
      <c r="C40" s="607" t="s">
        <v>19</v>
      </c>
      <c r="D40" s="67"/>
      <c r="E40" s="265"/>
      <c r="F40" s="641"/>
      <c r="G40" s="67"/>
      <c r="H40" s="265"/>
      <c r="I40" s="641"/>
      <c r="J40" s="279"/>
      <c r="K40" s="279"/>
      <c r="L40" s="610"/>
      <c r="M40" s="521"/>
      <c r="N40" s="521"/>
      <c r="O40" s="521"/>
      <c r="P40" s="521"/>
      <c r="Q40" s="521"/>
      <c r="R40" s="521"/>
      <c r="S40" s="521"/>
      <c r="T40" s="521"/>
      <c r="U40" s="521"/>
    </row>
    <row customHeight="1" ht="14.25">
      <c r="A41" s="586"/>
      <c r="B41" s="611" t="s">
        <v>54</v>
      </c>
      <c r="C41" s="607" t="s">
        <v>19</v>
      </c>
      <c r="D41" s="67">
        <v>18000</v>
      </c>
      <c r="E41" s="258">
        <f>E128+E129</f>
        <v>19594</v>
      </c>
      <c r="F41" s="613">
        <f>E41/#REF!*100</f>
      </c>
      <c r="G41" s="67"/>
      <c r="H41" s="258">
        <f>H128+H129</f>
        <v>229011</v>
      </c>
      <c r="I41" s="613"/>
      <c r="J41" s="272">
        <f>J128+J129</f>
        <v>24095</v>
      </c>
      <c r="K41" s="272">
        <f>K128+K129</f>
        <v>262867</v>
      </c>
      <c r="L41" s="610">
        <f>H41-K41</f>
        <v>-33856</v>
      </c>
      <c r="M41" s="521"/>
      <c r="N41" s="521"/>
      <c r="O41" s="521"/>
      <c r="P41" s="521"/>
      <c r="Q41" s="521"/>
      <c r="R41" s="521"/>
      <c r="S41" s="521"/>
      <c r="T41" s="521"/>
      <c r="U41" s="521"/>
    </row>
    <row customHeight="1" ht="14.25">
      <c r="A42" s="586"/>
      <c r="B42" s="611" t="s">
        <v>55</v>
      </c>
      <c r="C42" s="607" t="s">
        <v>19</v>
      </c>
      <c r="D42" s="67">
        <f>D43+D44+D45</f>
        <v>0</v>
      </c>
      <c r="E42" s="258"/>
      <c r="F42" s="613"/>
      <c r="G42" s="72"/>
      <c r="H42" s="258"/>
      <c r="I42" s="613"/>
      <c r="J42" s="272"/>
      <c r="K42" s="272"/>
      <c r="L42" s="610"/>
      <c r="M42" s="521"/>
      <c r="N42" s="521"/>
      <c r="O42" s="521"/>
      <c r="P42" s="521"/>
      <c r="Q42" s="521"/>
      <c r="R42" s="521"/>
      <c r="S42" s="521"/>
      <c r="T42" s="521"/>
      <c r="U42" s="521"/>
    </row>
    <row customHeight="1" ht="14.25">
      <c r="A43" s="586"/>
      <c r="B43" s="611" t="s">
        <v>56</v>
      </c>
      <c r="C43" s="607" t="s">
        <v>19</v>
      </c>
      <c r="D43" s="67">
        <v>0</v>
      </c>
      <c r="E43" s="258">
        <f>E201</f>
        <v>0</v>
      </c>
      <c r="F43" s="644"/>
      <c r="G43" s="88">
        <v>62185</v>
      </c>
      <c r="H43" s="267">
        <f>H201</f>
        <v>0</v>
      </c>
      <c r="I43" s="613"/>
      <c r="J43" s="272"/>
      <c r="K43" s="272"/>
      <c r="L43" s="610"/>
      <c r="M43" s="521"/>
      <c r="N43" s="521"/>
      <c r="O43" s="521"/>
      <c r="P43" s="521"/>
      <c r="Q43" s="521"/>
      <c r="R43" s="521"/>
      <c r="S43" s="521"/>
      <c r="T43" s="521"/>
      <c r="U43" s="521"/>
    </row>
    <row customHeight="1" ht="14.25">
      <c r="A44" s="586"/>
      <c r="B44" s="611" t="s">
        <v>57</v>
      </c>
      <c r="C44" s="607" t="s">
        <v>19</v>
      </c>
      <c r="D44" s="67">
        <v>0</v>
      </c>
      <c r="E44" s="258"/>
      <c r="F44" s="644"/>
      <c r="G44" s="88"/>
      <c r="H44" s="267"/>
      <c r="I44" s="613"/>
      <c r="J44" s="272"/>
      <c r="K44" s="272"/>
      <c r="L44" s="610"/>
      <c r="M44" s="521"/>
      <c r="N44" s="521"/>
      <c r="O44" s="521"/>
      <c r="P44" s="521"/>
      <c r="Q44" s="521"/>
      <c r="R44" s="521"/>
      <c r="S44" s="521"/>
      <c r="T44" s="521"/>
      <c r="U44" s="521"/>
    </row>
    <row customHeight="1" ht="14.25">
      <c r="A45" s="586"/>
      <c r="B45" s="611" t="s">
        <v>58</v>
      </c>
      <c r="C45" s="607" t="s">
        <v>19</v>
      </c>
      <c r="D45" s="67"/>
      <c r="E45" s="258"/>
      <c r="F45" s="644"/>
      <c r="G45" s="88"/>
      <c r="H45" s="267"/>
      <c r="I45" s="613"/>
      <c r="J45" s="272"/>
      <c r="K45" s="272"/>
      <c r="L45" s="610"/>
      <c r="M45" s="521"/>
      <c r="N45" s="521"/>
      <c r="O45" s="521"/>
      <c r="P45" s="521"/>
      <c r="Q45" s="521"/>
      <c r="R45" s="521"/>
      <c r="S45" s="521"/>
      <c r="T45" s="521"/>
      <c r="U45" s="521"/>
    </row>
    <row customHeight="1" ht="14.25">
      <c r="A46" s="586"/>
      <c r="B46" s="611" t="s">
        <v>59</v>
      </c>
      <c r="C46" s="607" t="s">
        <v>19</v>
      </c>
      <c r="D46" s="67">
        <f>D47+D48+D49+D50</f>
        <v>0</v>
      </c>
      <c r="E46" s="258">
        <f>SUM(E47:E50)</f>
        <v>2540</v>
      </c>
      <c r="F46" s="613"/>
      <c r="G46" s="268"/>
      <c r="H46" s="258">
        <f>SUM(H47:H50)</f>
        <v>78654</v>
      </c>
      <c r="I46" s="613"/>
      <c r="J46" s="272">
        <f>SUM(J47:J50)</f>
        <v>9658</v>
      </c>
      <c r="K46" s="272">
        <f>SUM(K47:K50)</f>
        <v>57860</v>
      </c>
      <c r="L46" s="610">
        <f>H46-K46</f>
        <v>20794</v>
      </c>
      <c r="M46" s="521"/>
      <c r="N46" s="521"/>
      <c r="O46" s="521"/>
      <c r="P46" s="521"/>
      <c r="Q46" s="521"/>
      <c r="R46" s="521"/>
      <c r="S46" s="521"/>
      <c r="T46" s="521"/>
      <c r="U46" s="521"/>
    </row>
    <row customHeight="1" ht="14.25">
      <c r="A47" s="586"/>
      <c r="B47" s="611" t="s">
        <v>60</v>
      </c>
      <c r="C47" s="607" t="s">
        <v>19</v>
      </c>
      <c r="D47" s="67"/>
      <c r="E47" s="258">
        <f>E194</f>
        <v>1467</v>
      </c>
      <c r="F47" s="613"/>
      <c r="G47" s="67"/>
      <c r="H47" s="258">
        <f>H194</f>
        <v>40209</v>
      </c>
      <c r="I47" s="613"/>
      <c r="J47" s="272">
        <f>J194</f>
        <v>6111</v>
      </c>
      <c r="K47" s="272">
        <f>K194</f>
        <v>41139</v>
      </c>
      <c r="L47" s="610">
        <f>H47-K47</f>
        <v>-930</v>
      </c>
      <c r="M47" s="521"/>
      <c r="N47" s="521"/>
      <c r="O47" s="521"/>
      <c r="P47" s="521"/>
      <c r="Q47" s="521"/>
      <c r="R47" s="521"/>
      <c r="S47" s="521"/>
      <c r="T47" s="521"/>
      <c r="U47" s="521"/>
    </row>
    <row customHeight="1" ht="14.25">
      <c r="A48" s="586"/>
      <c r="B48" s="611" t="s">
        <v>61</v>
      </c>
      <c r="C48" s="607" t="s">
        <v>19</v>
      </c>
      <c r="D48" s="67"/>
      <c r="E48" s="258"/>
      <c r="F48" s="613"/>
      <c r="G48" s="67"/>
      <c r="H48" s="258"/>
      <c r="I48" s="613"/>
      <c r="J48" s="272"/>
      <c r="K48" s="272"/>
      <c r="L48" s="610"/>
      <c r="M48" s="521"/>
      <c r="N48" s="521"/>
      <c r="O48" s="521"/>
      <c r="P48" s="521"/>
      <c r="Q48" s="521"/>
      <c r="R48" s="521"/>
      <c r="S48" s="521"/>
      <c r="T48" s="521"/>
      <c r="U48" s="521"/>
    </row>
    <row customHeight="1" ht="14.25">
      <c r="A49" s="586"/>
      <c r="B49" s="611" t="s">
        <v>62</v>
      </c>
      <c r="C49" s="607" t="s">
        <v>19</v>
      </c>
      <c r="D49" s="67"/>
      <c r="E49" s="258">
        <f>E196</f>
        <v>1073</v>
      </c>
      <c r="F49" s="608"/>
      <c r="G49" s="67">
        <v>32996</v>
      </c>
      <c r="H49" s="258">
        <f>H196</f>
        <v>38445</v>
      </c>
      <c r="I49" s="608"/>
      <c r="J49" s="272">
        <f>J196</f>
        <v>3547</v>
      </c>
      <c r="K49" s="272">
        <f>K196</f>
        <v>16721</v>
      </c>
      <c r="L49" s="610">
        <f>H49-K49</f>
        <v>21724</v>
      </c>
      <c r="M49" s="521"/>
      <c r="N49" s="521"/>
      <c r="O49" s="521"/>
      <c r="P49" s="521"/>
      <c r="Q49" s="521"/>
      <c r="R49" s="521"/>
      <c r="S49" s="521"/>
      <c r="T49" s="521"/>
      <c r="U49" s="521"/>
    </row>
    <row customHeight="1" ht="14.25">
      <c r="A50" s="586"/>
      <c r="B50" s="611" t="s">
        <v>63</v>
      </c>
      <c r="C50" s="607" t="s">
        <v>19</v>
      </c>
      <c r="D50" s="67"/>
      <c r="E50" s="258"/>
      <c r="F50" s="613"/>
      <c r="G50" s="67"/>
      <c r="H50" s="258"/>
      <c r="I50" s="613"/>
      <c r="J50" s="272"/>
      <c r="K50" s="272"/>
      <c r="L50" s="610"/>
      <c r="M50" s="521"/>
      <c r="N50" s="521"/>
      <c r="O50" s="521"/>
      <c r="P50" s="521"/>
      <c r="Q50" s="521"/>
      <c r="R50" s="521"/>
      <c r="S50" s="521"/>
      <c r="T50" s="521"/>
      <c r="U50" s="521"/>
    </row>
    <row customHeight="1" ht="14.25">
      <c r="A51" s="586"/>
      <c r="B51" s="611" t="s">
        <v>64</v>
      </c>
      <c r="C51" s="607" t="s">
        <v>19</v>
      </c>
      <c r="D51" s="67">
        <v>110000</v>
      </c>
      <c r="E51" s="258">
        <f>E131</f>
        <v>93177</v>
      </c>
      <c r="F51" s="613">
        <f>E51/#REF!*100</f>
      </c>
      <c r="G51" s="67">
        <v>500000</v>
      </c>
      <c r="H51" s="258">
        <f>H131</f>
        <v>680848</v>
      </c>
      <c r="I51" s="613">
        <f>H51/#REF!*100</f>
      </c>
      <c r="J51" s="272">
        <f>J131</f>
        <v>60056</v>
      </c>
      <c r="K51" s="272">
        <f>K131</f>
        <v>824602</v>
      </c>
      <c r="L51" s="610">
        <f>H51-K51</f>
        <v>-143754</v>
      </c>
      <c r="M51" s="521"/>
      <c r="N51" s="521"/>
      <c r="O51" s="521"/>
      <c r="P51" s="521"/>
      <c r="Q51" s="521"/>
      <c r="R51" s="521"/>
      <c r="S51" s="521"/>
      <c r="T51" s="521"/>
      <c r="U51" s="521"/>
    </row>
    <row customHeight="1" ht="14.25">
      <c r="A52" s="586"/>
      <c r="B52" s="713" t="s">
        <v>133</v>
      </c>
      <c r="C52" s="607" t="s">
        <v>19</v>
      </c>
      <c r="D52" s="67">
        <v>3200</v>
      </c>
      <c r="E52" s="258">
        <f>E133+E134</f>
        <v>4742</v>
      </c>
      <c r="F52" s="613">
        <f>E52/#REF!*100</f>
      </c>
      <c r="G52" s="67">
        <v>58740</v>
      </c>
      <c r="H52" s="258">
        <f>H133+H134</f>
        <v>56479.34</v>
      </c>
      <c r="I52" s="613">
        <f>H52/#REF!*100</f>
      </c>
      <c r="J52" s="66">
        <f>J133+J134</f>
        <v>4723.6</v>
      </c>
      <c r="K52" s="66">
        <f>K133+K134</f>
        <v>57831.44</v>
      </c>
      <c r="L52" s="610">
        <f>H52-K52</f>
        <v>-1352.10000000001</v>
      </c>
      <c r="M52" s="521"/>
      <c r="N52" s="521"/>
      <c r="O52" s="521"/>
      <c r="P52" s="521"/>
      <c r="Q52" s="521"/>
      <c r="R52" s="521"/>
      <c r="S52" s="521"/>
      <c r="T52" s="521"/>
      <c r="U52" s="521"/>
    </row>
    <row customHeight="1" ht="14.25">
      <c r="A53" s="586"/>
      <c r="B53" s="611" t="s">
        <v>66</v>
      </c>
      <c r="C53" s="607" t="s">
        <v>19</v>
      </c>
      <c r="D53" s="67"/>
      <c r="E53" s="258"/>
      <c r="F53" s="613"/>
      <c r="G53" s="67"/>
      <c r="H53" s="258"/>
      <c r="I53" s="613"/>
      <c r="J53" s="272"/>
      <c r="K53" s="272"/>
      <c r="L53" s="610"/>
      <c r="M53" s="521"/>
      <c r="N53" s="521"/>
      <c r="O53" s="521"/>
      <c r="P53" s="521"/>
      <c r="Q53" s="521"/>
      <c r="R53" s="521"/>
      <c r="S53" s="521"/>
      <c r="T53" s="521"/>
      <c r="U53" s="521"/>
    </row>
    <row customHeight="1" ht="14.25">
      <c r="A54" s="586"/>
      <c r="B54" s="611" t="s">
        <v>67</v>
      </c>
      <c r="C54" s="607" t="s">
        <v>19</v>
      </c>
      <c r="D54" s="67"/>
      <c r="E54" s="258"/>
      <c r="F54" s="613"/>
      <c r="G54" s="67"/>
      <c r="H54" s="258"/>
      <c r="I54" s="613"/>
      <c r="J54" s="272"/>
      <c r="K54" s="272"/>
      <c r="L54" s="610"/>
      <c r="M54" s="521"/>
      <c r="N54" s="521"/>
      <c r="O54" s="521"/>
      <c r="P54" s="521"/>
      <c r="Q54" s="521"/>
      <c r="R54" s="521"/>
      <c r="S54" s="521"/>
      <c r="T54" s="521"/>
      <c r="U54" s="521"/>
    </row>
    <row customHeight="1" ht="14.25">
      <c r="A55" s="586"/>
      <c r="B55" s="611" t="s">
        <v>68</v>
      </c>
      <c r="C55" s="607" t="s">
        <v>19</v>
      </c>
      <c r="D55" s="67">
        <v>4000</v>
      </c>
      <c r="E55" s="269">
        <f>E136</f>
        <v>3671</v>
      </c>
      <c r="F55" s="613">
        <f>E55/#REF!*100</f>
      </c>
      <c r="G55" s="67">
        <v>29726</v>
      </c>
      <c r="H55" s="269">
        <f>H136</f>
        <v>37648</v>
      </c>
      <c r="I55" s="613">
        <f>H55/#REF!*100</f>
      </c>
      <c r="J55" s="272">
        <f>J136</f>
        <v>4036</v>
      </c>
      <c r="K55" s="280">
        <f>K136</f>
        <v>49569</v>
      </c>
      <c r="L55" s="610">
        <f>H55-K55</f>
        <v>-11921</v>
      </c>
      <c r="M55" s="521"/>
      <c r="N55" s="521"/>
      <c r="O55" s="521"/>
      <c r="P55" s="521"/>
      <c r="Q55" s="521"/>
      <c r="R55" s="521"/>
      <c r="S55" s="521"/>
      <c r="T55" s="521"/>
      <c r="U55" s="521"/>
    </row>
    <row customHeight="1" ht="14.25">
      <c r="A56" s="586"/>
      <c r="B56" s="611" t="s">
        <v>69</v>
      </c>
      <c r="C56" s="607" t="s">
        <v>19</v>
      </c>
      <c r="D56" s="67"/>
      <c r="E56" s="269">
        <f>E138</f>
        <v>6938.88</v>
      </c>
      <c r="F56" s="613">
        <f>E56/#REF!*100</f>
      </c>
      <c r="G56" s="67">
        <v>66500</v>
      </c>
      <c r="H56" s="269">
        <f>H138</f>
        <v>6938.88</v>
      </c>
      <c r="I56" s="613">
        <f>H56/#REF!*100</f>
      </c>
      <c r="J56" s="272">
        <f>J138</f>
        <v>5079.1</v>
      </c>
      <c r="K56" s="280">
        <f>K138</f>
        <v>49370.66</v>
      </c>
      <c r="L56" s="610">
        <f>H56-K56</f>
        <v>-42431.78</v>
      </c>
      <c r="M56" s="521"/>
      <c r="N56" s="521"/>
      <c r="O56" s="521"/>
      <c r="P56" s="521"/>
      <c r="Q56" s="521"/>
      <c r="R56" s="521"/>
      <c r="S56" s="521"/>
      <c r="T56" s="521"/>
      <c r="U56" s="521"/>
    </row>
    <row customHeight="1" ht="14.25">
      <c r="A57" s="586"/>
      <c r="B57" s="611" t="s">
        <v>153</v>
      </c>
      <c r="C57" s="607" t="s">
        <v>19</v>
      </c>
      <c r="D57" s="67"/>
      <c r="E57" s="260"/>
      <c r="F57" s="620"/>
      <c r="G57" s="67"/>
      <c r="H57" s="260"/>
      <c r="I57" s="620"/>
      <c r="J57" s="273"/>
      <c r="K57" s="273"/>
      <c r="L57" s="622"/>
      <c r="M57" s="521"/>
      <c r="N57" s="521"/>
      <c r="O57" s="521"/>
      <c r="P57" s="521"/>
      <c r="Q57" s="521"/>
      <c r="R57" s="521"/>
      <c r="S57" s="521"/>
      <c r="T57" s="521"/>
      <c r="U57" s="521"/>
    </row>
    <row customHeight="1" ht="14.25">
      <c r="A58" s="586"/>
      <c r="B58" s="611" t="s">
        <v>71</v>
      </c>
      <c r="C58" s="607" t="s">
        <v>19</v>
      </c>
      <c r="D58" s="67"/>
      <c r="E58" s="270">
        <f>E140</f>
        <v>666.74</v>
      </c>
      <c r="F58" s="620"/>
      <c r="G58" s="67">
        <v>2000</v>
      </c>
      <c r="H58" s="270">
        <f>H140</f>
        <v>5098.36</v>
      </c>
      <c r="I58" s="620"/>
      <c r="J58" s="273">
        <f>J140</f>
        <v>521.56</v>
      </c>
      <c r="K58" s="281">
        <f>K140</f>
        <v>6177.67</v>
      </c>
      <c r="L58" s="610">
        <f>H58-K58</f>
        <v>-1079.31</v>
      </c>
      <c r="M58" s="521"/>
      <c r="N58" s="521"/>
      <c r="O58" s="521"/>
      <c r="P58" s="521"/>
      <c r="Q58" s="521"/>
      <c r="R58" s="521"/>
      <c r="S58" s="521"/>
      <c r="T58" s="521"/>
      <c r="U58" s="521"/>
    </row>
    <row customHeight="1" ht="14.25">
      <c r="A59" s="586"/>
      <c r="B59" s="611" t="s">
        <v>72</v>
      </c>
      <c r="C59" s="607" t="s">
        <v>19</v>
      </c>
      <c r="D59" s="67"/>
      <c r="E59" s="260"/>
      <c r="F59" s="620"/>
      <c r="G59" s="67"/>
      <c r="H59" s="260"/>
      <c r="I59" s="620"/>
      <c r="J59" s="273"/>
      <c r="K59" s="273"/>
      <c r="L59" s="610"/>
      <c r="M59" s="521"/>
      <c r="N59" s="521"/>
      <c r="O59" s="521"/>
      <c r="P59" s="521"/>
      <c r="Q59" s="521"/>
      <c r="R59" s="521"/>
      <c r="S59" s="521"/>
      <c r="T59" s="521"/>
      <c r="U59" s="521"/>
    </row>
    <row customHeight="1" ht="14.25">
      <c r="A60" s="586"/>
      <c r="B60" s="648" t="s">
        <v>73</v>
      </c>
      <c r="C60" s="607" t="s">
        <v>19</v>
      </c>
      <c r="D60" s="67"/>
      <c r="E60" s="260"/>
      <c r="F60" s="620"/>
      <c r="G60" s="67"/>
      <c r="H60" s="260"/>
      <c r="I60" s="620"/>
      <c r="J60" s="273"/>
      <c r="K60" s="273"/>
      <c r="L60" s="610"/>
      <c r="M60" s="521"/>
      <c r="N60" s="521"/>
      <c r="O60" s="521"/>
      <c r="P60" s="521"/>
      <c r="Q60" s="521"/>
      <c r="R60" s="521"/>
      <c r="S60" s="521"/>
      <c r="T60" s="521"/>
      <c r="U60" s="521"/>
    </row>
    <row customHeight="1" ht="14.25">
      <c r="A61" s="586"/>
      <c r="B61" s="648" t="s">
        <v>74</v>
      </c>
      <c r="C61" s="649" t="s">
        <v>19</v>
      </c>
      <c r="D61" s="67"/>
      <c r="E61" s="260"/>
      <c r="F61" s="620"/>
      <c r="G61" s="67"/>
      <c r="H61" s="260"/>
      <c r="I61" s="608"/>
      <c r="J61" s="273"/>
      <c r="K61" s="273"/>
      <c r="L61" s="622"/>
      <c r="M61" s="521"/>
      <c r="N61" s="521"/>
      <c r="O61" s="521"/>
      <c r="P61" s="521"/>
      <c r="Q61" s="521"/>
      <c r="R61" s="521"/>
      <c r="S61" s="521"/>
      <c r="T61" s="521"/>
      <c r="U61" s="521"/>
    </row>
    <row customHeight="1" ht="14.25">
      <c r="A62" s="586"/>
      <c r="B62" s="611" t="s">
        <v>75</v>
      </c>
      <c r="C62" s="607" t="s">
        <v>19</v>
      </c>
      <c r="D62" s="67"/>
      <c r="E62" s="258"/>
      <c r="F62" s="613"/>
      <c r="G62" s="67"/>
      <c r="H62" s="258"/>
      <c r="I62" s="613"/>
      <c r="J62" s="272"/>
      <c r="K62" s="272"/>
      <c r="L62" s="610"/>
      <c r="M62" s="521"/>
      <c r="N62" s="521"/>
      <c r="O62" s="521"/>
      <c r="P62" s="521"/>
      <c r="Q62" s="521"/>
      <c r="R62" s="521"/>
      <c r="S62" s="521"/>
      <c r="T62" s="521"/>
      <c r="U62" s="521"/>
    </row>
    <row customHeight="1" ht="14.25">
      <c r="A63" s="586"/>
      <c r="B63" s="611" t="s">
        <v>76</v>
      </c>
      <c r="C63" s="607" t="s">
        <v>19</v>
      </c>
      <c r="D63" s="67"/>
      <c r="E63" s="258"/>
      <c r="F63" s="613"/>
      <c r="G63" s="67"/>
      <c r="H63" s="258"/>
      <c r="I63" s="613"/>
      <c r="J63" s="272"/>
      <c r="K63" s="272"/>
      <c r="L63" s="610"/>
      <c r="M63" s="521"/>
      <c r="N63" s="521"/>
      <c r="O63" s="521"/>
      <c r="P63" s="521"/>
      <c r="Q63" s="521"/>
      <c r="R63" s="521"/>
      <c r="S63" s="521"/>
      <c r="T63" s="521"/>
      <c r="U63" s="521"/>
    </row>
    <row customHeight="1" ht="14.25">
      <c r="A64" s="586"/>
      <c r="B64" s="611" t="s">
        <v>77</v>
      </c>
      <c r="C64" s="607" t="s">
        <v>19</v>
      </c>
      <c r="D64" s="67"/>
      <c r="E64" s="258"/>
      <c r="F64" s="613"/>
      <c r="G64" s="67"/>
      <c r="H64" s="258"/>
      <c r="I64" s="613"/>
      <c r="J64" s="272"/>
      <c r="K64" s="272"/>
      <c r="L64" s="610"/>
      <c r="M64" s="521"/>
      <c r="N64" s="521"/>
      <c r="O64" s="521"/>
      <c r="P64" s="521"/>
      <c r="Q64" s="521"/>
      <c r="R64" s="521"/>
      <c r="S64" s="521"/>
      <c r="T64" s="521"/>
      <c r="U64" s="521"/>
    </row>
    <row customHeight="1" ht="14.25">
      <c r="A65" s="586"/>
      <c r="B65" s="611" t="s">
        <v>78</v>
      </c>
      <c r="C65" s="607" t="s">
        <v>19</v>
      </c>
      <c r="D65" s="67"/>
      <c r="E65" s="258"/>
      <c r="F65" s="613"/>
      <c r="G65" s="67"/>
      <c r="H65" s="258"/>
      <c r="I65" s="613"/>
      <c r="J65" s="272"/>
      <c r="K65" s="272"/>
      <c r="L65" s="610"/>
      <c r="M65" s="521"/>
      <c r="N65" s="521"/>
      <c r="O65" s="521"/>
      <c r="P65" s="521"/>
      <c r="Q65" s="521"/>
      <c r="R65" s="521"/>
      <c r="S65" s="521"/>
      <c r="T65" s="521"/>
      <c r="U65" s="521"/>
    </row>
    <row customHeight="1" ht="14.25">
      <c r="A66" s="586"/>
      <c r="B66" s="611" t="s">
        <v>79</v>
      </c>
      <c r="C66" s="607" t="s">
        <v>19</v>
      </c>
      <c r="D66" s="67"/>
      <c r="E66" s="269">
        <f>E142+E143</f>
        <v>0</v>
      </c>
      <c r="F66" s="613"/>
      <c r="G66" s="67"/>
      <c r="H66" s="269">
        <f>H142+H143</f>
        <v>2830</v>
      </c>
      <c r="I66" s="613"/>
      <c r="J66" s="272">
        <f>J142</f>
        <v>0</v>
      </c>
      <c r="K66" s="280">
        <f>K142</f>
        <v>3152</v>
      </c>
      <c r="L66" s="610"/>
      <c r="M66" s="521"/>
      <c r="N66" s="521"/>
      <c r="O66" s="521"/>
      <c r="P66" s="521"/>
      <c r="Q66" s="521"/>
      <c r="R66" s="521"/>
      <c r="S66" s="521"/>
      <c r="T66" s="521"/>
      <c r="U66" s="521"/>
    </row>
    <row customHeight="1" ht="14.25">
      <c r="A67" s="586"/>
      <c r="B67" s="611" t="s">
        <v>80</v>
      </c>
      <c r="C67" s="607" t="s">
        <v>19</v>
      </c>
      <c r="D67" s="67"/>
      <c r="E67" s="258">
        <f>E191-E192</f>
        <v>27244</v>
      </c>
      <c r="F67" s="613"/>
      <c r="G67" s="67"/>
      <c r="H67" s="258">
        <f>H191-H192</f>
        <v>236859</v>
      </c>
      <c r="I67" s="613"/>
      <c r="J67" s="272">
        <f>J191-J192</f>
        <v>23787</v>
      </c>
      <c r="K67" s="272">
        <f>K191-K192</f>
        <v>259063</v>
      </c>
      <c r="L67" s="610"/>
      <c r="M67" s="521"/>
      <c r="N67" s="521"/>
      <c r="O67" s="521"/>
      <c r="P67" s="521"/>
      <c r="Q67" s="521"/>
      <c r="R67" s="521"/>
      <c r="S67" s="521"/>
      <c r="T67" s="521"/>
      <c r="U67" s="521"/>
    </row>
    <row customHeight="1" ht="14.25">
      <c r="A68" s="586"/>
      <c r="B68" s="606" t="s">
        <v>81</v>
      </c>
      <c r="C68" s="607"/>
      <c r="D68" s="67"/>
      <c r="E68" s="258"/>
      <c r="F68" s="613"/>
      <c r="G68" s="67"/>
      <c r="H68" s="258"/>
      <c r="I68" s="613"/>
      <c r="J68" s="272"/>
      <c r="K68" s="272"/>
      <c r="L68" s="610"/>
      <c r="M68" s="521"/>
      <c r="N68" s="521"/>
      <c r="O68" s="521"/>
      <c r="P68" s="521"/>
      <c r="Q68" s="521"/>
      <c r="R68" s="521"/>
      <c r="S68" s="521"/>
      <c r="T68" s="521"/>
      <c r="U68" s="521"/>
    </row>
    <row customHeight="1" ht="14.25">
      <c r="A69" s="586"/>
      <c r="B69" s="611" t="s">
        <v>82</v>
      </c>
      <c r="C69" s="607" t="s">
        <v>19</v>
      </c>
      <c r="D69" s="67">
        <f>D31+D35+D41</f>
        <v>348000</v>
      </c>
      <c r="E69" s="282">
        <f>SUM(E31,E35,E41)</f>
        <v>370004</v>
      </c>
      <c r="F69" s="613">
        <f>E69/#REF!*100</f>
      </c>
      <c r="G69" s="67">
        <f>G31+G35+G41</f>
        <v>3141452</v>
      </c>
      <c r="H69" s="283">
        <f>SUM(H31,H35,H41)</f>
        <v>3289715</v>
      </c>
      <c r="I69" s="613">
        <f>H69/#REF!*100</f>
      </c>
      <c r="J69" s="272">
        <f>J31+J35+J41</f>
        <v>319790</v>
      </c>
      <c r="K69" s="277">
        <f>SUM(K31,K35,K41)</f>
        <v>3623474</v>
      </c>
      <c r="L69" s="610">
        <f>H69-K69</f>
        <v>-333759</v>
      </c>
      <c r="M69" s="521"/>
      <c r="N69" s="521"/>
      <c r="O69" s="521"/>
      <c r="P69" s="521"/>
      <c r="Q69" s="521"/>
      <c r="R69" s="521"/>
      <c r="S69" s="521"/>
      <c r="T69" s="521"/>
      <c r="U69" s="521"/>
    </row>
    <row customHeight="1" ht="14.25">
      <c r="A70" s="586"/>
      <c r="B70" s="611" t="s">
        <v>83</v>
      </c>
      <c r="C70" s="607" t="s">
        <v>19</v>
      </c>
      <c r="D70" s="67">
        <v>449000</v>
      </c>
      <c r="E70" s="282">
        <f>E177</f>
        <v>531379.86</v>
      </c>
      <c r="F70" s="613">
        <f>E70/#REF!*100</f>
      </c>
      <c r="G70" s="67">
        <v>4721773</v>
      </c>
      <c r="H70" s="282">
        <f>H177</f>
        <v>4457298.6</v>
      </c>
      <c r="I70" s="613">
        <f>H70/#REF!*100</f>
      </c>
      <c r="J70" s="124">
        <f>J177</f>
        <v>433130.56</v>
      </c>
      <c r="K70" s="124">
        <f>K177</f>
        <v>5042491.11</v>
      </c>
      <c r="L70" s="610">
        <f>H70-K70</f>
        <v>-585192.510000001</v>
      </c>
      <c r="M70" s="521"/>
      <c r="N70" s="521"/>
      <c r="O70" s="521"/>
      <c r="P70" s="521"/>
      <c r="Q70" s="521"/>
      <c r="R70" s="521"/>
      <c r="S70" s="521"/>
      <c r="T70" s="521"/>
      <c r="U70" s="521"/>
    </row>
    <row customHeight="1" ht="14.25">
      <c r="A71" s="586"/>
      <c r="B71" s="611" t="s">
        <v>134</v>
      </c>
      <c r="C71" s="607" t="s">
        <v>85</v>
      </c>
      <c r="D71" s="104">
        <v>93.5</v>
      </c>
      <c r="E71" s="282">
        <f>_xlfn.IFERROR(E179/E180*100,"")</f>
        <v>93.8975391008743</v>
      </c>
      <c r="F71" s="651">
        <f>E71-#REF!</f>
      </c>
      <c r="G71" s="104">
        <v>92.4</v>
      </c>
      <c r="H71" s="282">
        <f>_xlfn.IFERROR(H179/H180*100,"")</f>
        <v>93.5298938553412</v>
      </c>
      <c r="I71" s="651">
        <f>H71-#REF!</f>
      </c>
      <c r="J71" s="291">
        <f>_xlfn.IFERROR(J179/J180*100,"")</f>
        <v>93.6730952578578</v>
      </c>
      <c r="K71" s="291">
        <f>_xlfn.IFERROR(K179/K180*100,"")</f>
        <v>94.1242363636652</v>
      </c>
      <c r="L71" s="652">
        <f>H71-K71</f>
        <v>-0.594342508324004</v>
      </c>
      <c r="M71" s="521"/>
      <c r="N71" s="521"/>
      <c r="O71" s="521"/>
      <c r="P71" s="521"/>
      <c r="Q71" s="521"/>
      <c r="R71" s="521"/>
      <c r="S71" s="521"/>
      <c r="T71" s="521"/>
      <c r="U71" s="521"/>
    </row>
    <row customHeight="1" ht="14.25">
      <c r="A72" s="586"/>
      <c r="B72" s="611" t="s">
        <v>135</v>
      </c>
      <c r="C72" s="607" t="s">
        <v>85</v>
      </c>
      <c r="D72" s="104">
        <v>5.35</v>
      </c>
      <c r="E72" s="282">
        <f>_xlfn.IFERROR(E182/E183*100,"")</f>
        <v>4.58538584947665</v>
      </c>
      <c r="F72" s="651">
        <f>E72-#REF!</f>
      </c>
      <c r="G72" s="104">
        <v>6.4</v>
      </c>
      <c r="H72" s="282">
        <f>_xlfn.IFERROR(H182/H183*100,"")</f>
        <v>5.34450315656698</v>
      </c>
      <c r="I72" s="651">
        <f>H72-#REF!</f>
      </c>
      <c r="J72" s="124">
        <f>_xlfn.IFERROR(J182/J183*100,"")</f>
        <v>5.37172840641678</v>
      </c>
      <c r="K72" s="124">
        <f>_xlfn.IFERROR(K182/K183*100,"")</f>
        <v>4.9387604304005</v>
      </c>
      <c r="L72" s="652">
        <f>H72-K72</f>
        <v>0.40574272616648</v>
      </c>
      <c r="M72" s="521" t="s">
        <v>159</v>
      </c>
      <c r="N72" s="521"/>
      <c r="O72" s="521"/>
      <c r="P72" s="521"/>
      <c r="Q72" s="521"/>
      <c r="R72" s="521"/>
      <c r="S72" s="521"/>
      <c r="T72" s="521"/>
      <c r="U72" s="521"/>
    </row>
    <row customHeight="1" ht="14.25">
      <c r="A73" s="586"/>
      <c r="B73" s="611" t="s">
        <v>136</v>
      </c>
      <c r="C73" s="607" t="s">
        <v>85</v>
      </c>
      <c r="D73" s="104">
        <v>1.15</v>
      </c>
      <c r="E73" s="282">
        <f>_xlfn.IFERROR(E185/E186*100,"")</f>
        <v>1.52410366590573</v>
      </c>
      <c r="F73" s="651">
        <f>E73-#REF!</f>
      </c>
      <c r="G73" s="104">
        <v>1.2</v>
      </c>
      <c r="H73" s="282">
        <f>_xlfn.IFERROR(H185/H186*100,"")</f>
        <v>1.13417183378315</v>
      </c>
      <c r="I73" s="651">
        <f>H73-#REF!</f>
      </c>
      <c r="J73" s="292">
        <f>_xlfn.IFERROR(J185/J186*100,"")</f>
        <v>0.964297651922852</v>
      </c>
      <c r="K73" s="292">
        <f>_xlfn.IFERROR(K185/K186*100,"")</f>
        <v>0.95627151735143</v>
      </c>
      <c r="L73" s="652">
        <f>H73-K73</f>
        <v>0.17790031643172</v>
      </c>
      <c r="M73" s="521"/>
      <c r="N73" s="521"/>
      <c r="O73" s="521"/>
      <c r="P73" s="521"/>
      <c r="Q73" s="521"/>
      <c r="R73" s="521"/>
      <c r="S73" s="521"/>
      <c r="T73" s="521"/>
      <c r="U73" s="521"/>
    </row>
    <row customHeight="1" ht="14.25">
      <c r="A74" s="586"/>
      <c r="B74" s="611" t="s">
        <v>88</v>
      </c>
      <c r="C74" s="653" t="s">
        <v>89</v>
      </c>
      <c r="D74" s="104">
        <v>66</v>
      </c>
      <c r="E74" s="282">
        <f>_xlfn.IFERROR(E156/E157*1000,"")</f>
        <v>48.8422655386941</v>
      </c>
      <c r="F74" s="651">
        <f>E74-#REF!</f>
      </c>
      <c r="G74" s="104">
        <v>68</v>
      </c>
      <c r="H74" s="282">
        <f>_xlfn.IFERROR(H156/H157*1000,"")</f>
        <v>61.0876242794013</v>
      </c>
      <c r="I74" s="651">
        <f>H74-#REF!</f>
      </c>
      <c r="J74" s="292">
        <f>_xlfn.IFERROR(J156/J157*1000,"")</f>
        <v>59.7884800945526</v>
      </c>
      <c r="K74" s="292">
        <f>_xlfn.IFERROR(K156/K157*1000,"")</f>
        <v>58.2965548152481</v>
      </c>
      <c r="L74" s="652">
        <f>H74-K74</f>
        <v>2.7910694641532</v>
      </c>
      <c r="M74" s="521"/>
      <c r="N74" s="521"/>
      <c r="O74" s="521"/>
      <c r="P74" s="521"/>
      <c r="Q74" s="521"/>
      <c r="R74" s="521"/>
      <c r="S74" s="521"/>
      <c r="T74" s="521"/>
      <c r="U74" s="521"/>
    </row>
    <row customHeight="1" ht="14.25">
      <c r="A75" s="586"/>
      <c r="B75" s="611" t="s">
        <v>90</v>
      </c>
      <c r="C75" s="653" t="s">
        <v>91</v>
      </c>
      <c r="D75" s="104">
        <v>0</v>
      </c>
      <c r="E75" s="282"/>
      <c r="F75" s="651"/>
      <c r="G75" s="104"/>
      <c r="H75" s="283"/>
      <c r="I75" s="651"/>
      <c r="J75" s="291"/>
      <c r="K75" s="291"/>
      <c r="L75" s="652"/>
      <c r="M75" s="521"/>
      <c r="N75" s="521"/>
      <c r="O75" s="521"/>
      <c r="P75" s="521"/>
      <c r="Q75" s="521"/>
      <c r="R75" s="521"/>
      <c r="S75" s="521"/>
      <c r="T75" s="521"/>
      <c r="U75" s="521"/>
    </row>
    <row customHeight="1" ht="14.25">
      <c r="A76" s="586"/>
      <c r="B76" s="611" t="s">
        <v>92</v>
      </c>
      <c r="C76" s="607" t="s">
        <v>85</v>
      </c>
      <c r="D76" s="104">
        <v>100</v>
      </c>
      <c r="E76" s="282">
        <f>_xlfn.IFERROR(E198/E199*100,"")</f>
        <v>100</v>
      </c>
      <c r="F76" s="651">
        <f>E76-#REF!</f>
      </c>
      <c r="G76" s="104">
        <v>100</v>
      </c>
      <c r="H76" s="282">
        <f>_xlfn.IFERROR(H198/H199*100,"")</f>
        <v>100</v>
      </c>
      <c r="I76" s="651">
        <f>H76-#REF!</f>
      </c>
      <c r="J76" s="292">
        <f>_xlfn.IFERROR(J198/J199*100,"")</f>
        <v>100</v>
      </c>
      <c r="K76" s="292">
        <f>_xlfn.IFERROR(K198/K199*100,"")</f>
        <v>100</v>
      </c>
      <c r="L76" s="652">
        <f>H76-K76</f>
        <v>0</v>
      </c>
      <c r="M76" s="521"/>
      <c r="N76" s="521"/>
      <c r="O76" s="521"/>
      <c r="P76" s="521"/>
      <c r="Q76" s="521"/>
      <c r="R76" s="521"/>
      <c r="S76" s="521"/>
      <c r="T76" s="521"/>
      <c r="U76" s="521"/>
    </row>
    <row customHeight="1" ht="14.25">
      <c r="A77" s="586"/>
      <c r="B77" s="606" t="s">
        <v>93</v>
      </c>
      <c r="C77" s="608"/>
      <c r="D77" s="104"/>
      <c r="E77" s="282"/>
      <c r="F77" s="651"/>
      <c r="G77" s="104"/>
      <c r="H77" s="282"/>
      <c r="I77" s="608"/>
      <c r="J77" s="124"/>
      <c r="K77" s="124"/>
      <c r="L77" s="610"/>
      <c r="M77" s="521"/>
      <c r="N77" s="521"/>
      <c r="O77" s="521"/>
      <c r="P77" s="521"/>
      <c r="Q77" s="521"/>
      <c r="R77" s="521"/>
      <c r="S77" s="521"/>
      <c r="T77" s="521"/>
      <c r="U77" s="521"/>
    </row>
    <row customHeight="1" ht="14.25">
      <c r="A78" s="586"/>
      <c r="B78" s="611" t="s">
        <v>94</v>
      </c>
      <c r="C78" s="607" t="s">
        <v>85</v>
      </c>
      <c r="D78" s="104">
        <v>50.7</v>
      </c>
      <c r="E78" s="282">
        <f>E159/E160*100</f>
        <v>52.1196726553869</v>
      </c>
      <c r="F78" s="651">
        <f>E78-#REF!</f>
      </c>
      <c r="G78" s="104">
        <v>51</v>
      </c>
      <c r="H78" s="282">
        <f>H159/H160*100</f>
        <v>51.729920076454</v>
      </c>
      <c r="I78" s="651">
        <f>H78-#REF!</f>
      </c>
      <c r="J78" s="292">
        <f>J159/J160*100</f>
        <v>53.5041713027299</v>
      </c>
      <c r="K78" s="292">
        <f>K159/K160*100</f>
        <v>51.5708600443059</v>
      </c>
      <c r="L78" s="652">
        <f>H78-K78</f>
        <v>0.159060032148098</v>
      </c>
      <c r="M78" s="521"/>
      <c r="N78" s="521"/>
      <c r="O78" s="521"/>
      <c r="P78" s="521"/>
      <c r="Q78" s="521"/>
      <c r="R78" s="521"/>
      <c r="S78" s="521"/>
      <c r="T78" s="521"/>
      <c r="U78" s="521"/>
    </row>
    <row customHeight="1" ht="14.25">
      <c r="A79" s="586"/>
      <c r="B79" s="611" t="s">
        <v>95</v>
      </c>
      <c r="C79" s="607" t="s">
        <v>85</v>
      </c>
      <c r="D79" s="104">
        <f>D80+D81</f>
        <v>84.65</v>
      </c>
      <c r="E79" s="284">
        <f>SUM(E80,E81)</f>
        <v>85.3531194601705</v>
      </c>
      <c r="F79" s="651">
        <f>E80-#REF!</f>
      </c>
      <c r="G79" s="104">
        <v>84.65</v>
      </c>
      <c r="H79" s="285">
        <f>SUM(H80,H81)</f>
        <v>84.6300634112381</v>
      </c>
      <c r="I79" s="651">
        <f>H79-#REF!</f>
      </c>
      <c r="J79" s="293">
        <f>SUM(J80,J81)</f>
        <v>85.0072485535544</v>
      </c>
      <c r="K79" s="293">
        <f>SUM(K80,K81)</f>
        <v>85.0723559926834</v>
      </c>
      <c r="L79" s="652">
        <f>H79-K79</f>
        <v>-0.442292581445301</v>
      </c>
      <c r="M79" s="521"/>
      <c r="N79" s="521"/>
      <c r="O79" s="521"/>
      <c r="P79" s="521"/>
      <c r="Q79" s="521"/>
      <c r="R79" s="521"/>
      <c r="S79" s="521"/>
      <c r="T79" s="521"/>
      <c r="U79" s="521"/>
    </row>
    <row customHeight="1" ht="14.25">
      <c r="A80" s="586"/>
      <c r="B80" s="611" t="s">
        <v>96</v>
      </c>
      <c r="C80" s="607" t="s">
        <v>85</v>
      </c>
      <c r="D80" s="104">
        <v>70.65</v>
      </c>
      <c r="E80" s="282">
        <f>_xlfn.IFERROR(E162/E163*100,"")</f>
        <v>73.6169726082233</v>
      </c>
      <c r="F80" s="651">
        <f>E81-#REF!</f>
      </c>
      <c r="G80" s="104">
        <v>71.15</v>
      </c>
      <c r="H80" s="283">
        <f>_xlfn.IFERROR(H162/H163*100,"")</f>
        <v>71.3921192121223</v>
      </c>
      <c r="I80" s="651">
        <f>H80-#REF!</f>
      </c>
      <c r="J80" s="292">
        <f>_xlfn.IFERROR(J162/J163*100,"")</f>
        <v>71.7704755312341</v>
      </c>
      <c r="K80" s="292">
        <f>_xlfn.IFERROR(K162/K163*100,"")</f>
        <v>71.2780593121233</v>
      </c>
      <c r="L80" s="652">
        <f>H80-K80</f>
        <v>0.114059899998992</v>
      </c>
      <c r="M80" s="521"/>
      <c r="N80" s="521"/>
      <c r="O80" s="521"/>
      <c r="P80" s="521"/>
      <c r="Q80" s="521"/>
      <c r="R80" s="521"/>
      <c r="S80" s="521"/>
      <c r="T80" s="521"/>
      <c r="U80" s="521"/>
    </row>
    <row customHeight="1" ht="14.25">
      <c r="A81" s="586"/>
      <c r="B81" s="611" t="s">
        <v>97</v>
      </c>
      <c r="C81" s="607" t="s">
        <v>85</v>
      </c>
      <c r="D81" s="104">
        <v>14</v>
      </c>
      <c r="E81" s="282">
        <f>_xlfn.IFERROR(E165/E166*100,"")</f>
        <v>11.7361468519472</v>
      </c>
      <c r="F81" s="651">
        <f>#REF!-#REF!</f>
      </c>
      <c r="G81" s="104">
        <v>13.5</v>
      </c>
      <c r="H81" s="283">
        <f>_xlfn.IFERROR(H165/H166*100,"")</f>
        <v>13.2379441991158</v>
      </c>
      <c r="I81" s="651">
        <f>H81-#REF!</f>
      </c>
      <c r="J81" s="292">
        <f>_xlfn.IFERROR(J165/J166*100,"")</f>
        <v>13.2367730223203</v>
      </c>
      <c r="K81" s="292">
        <f>_xlfn.IFERROR(K165/K166*100,"")</f>
        <v>13.7942966805601</v>
      </c>
      <c r="L81" s="652">
        <f>H81-K81</f>
        <v>-0.5563524814443</v>
      </c>
      <c r="M81" s="521"/>
      <c r="N81" s="521"/>
      <c r="O81" s="521"/>
      <c r="P81" s="521"/>
      <c r="Q81" s="521"/>
      <c r="R81" s="521"/>
      <c r="S81" s="521"/>
      <c r="T81" s="521"/>
      <c r="U81" s="521"/>
    </row>
    <row customHeight="1" ht="14.25">
      <c r="A82" s="586"/>
      <c r="B82" s="611" t="s">
        <v>98</v>
      </c>
      <c r="C82" s="607" t="s">
        <v>85</v>
      </c>
      <c r="D82" s="104">
        <v>92.9</v>
      </c>
      <c r="E82" s="282">
        <f>_xlfn.IFERROR(E168/E169*100,"")</f>
        <v>93.4282833604316</v>
      </c>
      <c r="F82" s="651">
        <f>E82-#REF!</f>
      </c>
      <c r="G82" s="104">
        <v>92.9</v>
      </c>
      <c r="H82" s="283">
        <f>_xlfn.IFERROR(H168/H169*100,"")</f>
        <v>93.2214105008332</v>
      </c>
      <c r="I82" s="651">
        <f>H82-#REF!</f>
      </c>
      <c r="J82" s="292">
        <f>_xlfn.IFERROR(J168/J169*100,"")</f>
        <v>93.3177957984803</v>
      </c>
      <c r="K82" s="292">
        <f>_xlfn.IFERROR(K168/K169*100,"")</f>
        <v>93.290723850908</v>
      </c>
      <c r="L82" s="652">
        <f>H82-K82</f>
        <v>-0.0693133500747933</v>
      </c>
      <c r="M82" s="521"/>
      <c r="N82" s="521"/>
      <c r="O82" s="521"/>
      <c r="P82" s="521"/>
      <c r="Q82" s="521"/>
      <c r="R82" s="521"/>
      <c r="S82" s="521"/>
      <c r="T82" s="521"/>
      <c r="U82" s="521"/>
    </row>
    <row customHeight="1" ht="14.25">
      <c r="A83" s="586"/>
      <c r="B83" s="611" t="s">
        <v>99</v>
      </c>
      <c r="C83" s="607" t="s">
        <v>85</v>
      </c>
      <c r="D83" s="104"/>
      <c r="E83" s="286"/>
      <c r="F83" s="651"/>
      <c r="G83" s="104"/>
      <c r="H83" s="283"/>
      <c r="I83" s="651"/>
      <c r="J83" s="133"/>
      <c r="K83" s="133"/>
      <c r="L83" s="652"/>
      <c r="M83" s="521"/>
      <c r="N83" s="521"/>
      <c r="O83" s="521"/>
      <c r="P83" s="521"/>
      <c r="Q83" s="521"/>
      <c r="R83" s="521"/>
      <c r="S83" s="521"/>
      <c r="T83" s="521"/>
      <c r="U83" s="521"/>
    </row>
    <row customHeight="1" ht="14.25">
      <c r="A84" s="586"/>
      <c r="B84" s="611" t="s">
        <v>100</v>
      </c>
      <c r="C84" s="607" t="s">
        <v>85</v>
      </c>
      <c r="D84" s="104"/>
      <c r="E84" s="282"/>
      <c r="F84" s="608"/>
      <c r="G84" s="104"/>
      <c r="H84" s="283"/>
      <c r="I84" s="651"/>
      <c r="J84" s="292"/>
      <c r="K84" s="292"/>
      <c r="L84" s="652"/>
      <c r="M84" s="521"/>
      <c r="N84" s="521"/>
      <c r="O84" s="521"/>
      <c r="P84" s="521"/>
      <c r="Q84" s="521"/>
      <c r="R84" s="521"/>
      <c r="S84" s="521"/>
      <c r="T84" s="521"/>
      <c r="U84" s="521"/>
    </row>
    <row customHeight="1" ht="14.25">
      <c r="A85" s="586"/>
      <c r="B85" s="611" t="s">
        <v>101</v>
      </c>
      <c r="C85" s="607" t="s">
        <v>85</v>
      </c>
      <c r="D85" s="104"/>
      <c r="E85" s="282"/>
      <c r="F85" s="608"/>
      <c r="G85" s="104"/>
      <c r="H85" s="283"/>
      <c r="I85" s="651"/>
      <c r="J85" s="292"/>
      <c r="K85" s="292"/>
      <c r="L85" s="652"/>
      <c r="M85" s="521"/>
      <c r="N85" s="521"/>
      <c r="O85" s="521"/>
      <c r="P85" s="521"/>
      <c r="Q85" s="521"/>
      <c r="R85" s="521"/>
      <c r="S85" s="521"/>
      <c r="T85" s="521"/>
      <c r="U85" s="521"/>
    </row>
    <row customHeight="1" ht="14.25">
      <c r="A86" s="586"/>
      <c r="B86" s="611" t="s">
        <v>102</v>
      </c>
      <c r="C86" s="607" t="s">
        <v>85</v>
      </c>
      <c r="D86" s="104"/>
      <c r="E86" s="282"/>
      <c r="F86" s="608"/>
      <c r="G86" s="104"/>
      <c r="H86" s="283"/>
      <c r="I86" s="651"/>
      <c r="J86" s="292"/>
      <c r="K86" s="292"/>
      <c r="L86" s="652"/>
      <c r="M86" s="521"/>
      <c r="N86" s="521"/>
      <c r="O86" s="521"/>
      <c r="P86" s="521"/>
      <c r="Q86" s="521"/>
      <c r="R86" s="521"/>
      <c r="S86" s="521"/>
      <c r="T86" s="521"/>
      <c r="U86" s="521"/>
    </row>
    <row customHeight="1" ht="14.25">
      <c r="A87" s="586"/>
      <c r="B87" s="611" t="s">
        <v>103</v>
      </c>
      <c r="C87" s="607" t="s">
        <v>85</v>
      </c>
      <c r="D87" s="104">
        <v>99</v>
      </c>
      <c r="E87" s="282">
        <f>_xlfn.IFERROR(E171/E172*100,"")</f>
        <v>99.4311649016641</v>
      </c>
      <c r="F87" s="651">
        <f>E87-#REF!</f>
      </c>
      <c r="G87" s="104">
        <v>99</v>
      </c>
      <c r="H87" s="283">
        <f>_xlfn.IFERROR(H171/H172*100,"")</f>
        <v>99.2093844660421</v>
      </c>
      <c r="I87" s="651">
        <f>H87-#REF!</f>
      </c>
      <c r="J87" s="292">
        <f>_xlfn.IFERROR(J171/J172*100,"")</f>
        <v>99.3224286697369</v>
      </c>
      <c r="K87" s="292">
        <f>_xlfn.IFERROR(K171/K172*100,"")</f>
        <v>99.2621553616751</v>
      </c>
      <c r="L87" s="652">
        <f>H87-K87</f>
        <v>-0.0527708956330031</v>
      </c>
      <c r="M87" s="521"/>
      <c r="N87" s="521"/>
      <c r="O87" s="521"/>
      <c r="P87" s="521"/>
      <c r="Q87" s="521"/>
      <c r="R87" s="521"/>
      <c r="S87" s="521"/>
      <c r="T87" s="521"/>
      <c r="U87" s="521"/>
    </row>
    <row customHeight="1" ht="14.25">
      <c r="A88" s="586"/>
      <c r="B88" s="611" t="s">
        <v>104</v>
      </c>
      <c r="C88" s="607" t="s">
        <v>85</v>
      </c>
      <c r="D88" s="104">
        <v>98.9</v>
      </c>
      <c r="E88" s="282">
        <f>_xlfn.IFERROR(E174/E175*100,"")</f>
        <v>99.3970191709384</v>
      </c>
      <c r="F88" s="651">
        <f>E88-#REF!</f>
      </c>
      <c r="G88" s="104">
        <v>98.9</v>
      </c>
      <c r="H88" s="283">
        <f>_xlfn.IFERROR(H174/H175*100,"")</f>
        <v>99.223070572481</v>
      </c>
      <c r="I88" s="651">
        <f>H88-#REF!</f>
      </c>
      <c r="J88" s="292">
        <f>_xlfn.IFERROR(J174/J175*100,"")</f>
        <v>99.3225514326847</v>
      </c>
      <c r="K88" s="292">
        <f>_xlfn.IFERROR(K174/K175*100,"")</f>
        <v>99.2397842942901</v>
      </c>
      <c r="L88" s="652">
        <f>H88-K88</f>
        <v>-0.0167137218090971</v>
      </c>
      <c r="M88" s="521"/>
      <c r="N88" s="521"/>
      <c r="O88" s="521"/>
      <c r="P88" s="521"/>
      <c r="Q88" s="521"/>
      <c r="R88" s="521"/>
      <c r="S88" s="521"/>
      <c r="T88" s="521"/>
      <c r="U88" s="521"/>
    </row>
    <row customHeight="1" ht="14.25">
      <c r="A89" s="586"/>
      <c r="B89" s="673" t="s">
        <v>160</v>
      </c>
      <c r="C89" s="667"/>
      <c r="D89" s="722"/>
      <c r="E89" s="765"/>
      <c r="F89" s="722"/>
      <c r="G89" s="668"/>
      <c r="H89" s="765"/>
      <c r="I89" s="722"/>
      <c r="J89" s="722"/>
      <c r="K89" s="766"/>
      <c r="L89" s="672"/>
      <c r="M89" s="521"/>
      <c r="N89" s="521"/>
      <c r="O89" s="521"/>
      <c r="P89" s="521"/>
      <c r="Q89" s="521"/>
      <c r="R89" s="521"/>
      <c r="S89" s="521"/>
      <c r="T89" s="521"/>
      <c r="U89" s="521"/>
    </row>
    <row customHeight="1" ht="14.25">
      <c r="A90" s="586"/>
      <c r="B90" s="673" t="s">
        <v>161</v>
      </c>
      <c r="C90" s="674"/>
      <c r="D90" s="668"/>
      <c r="E90" s="767"/>
      <c r="F90" s="668"/>
      <c r="G90" s="668"/>
      <c r="H90" s="767"/>
      <c r="I90" s="668"/>
      <c r="J90" s="668"/>
      <c r="K90" s="671"/>
      <c r="L90" s="675"/>
      <c r="M90" s="521"/>
      <c r="N90" s="521"/>
      <c r="O90" s="521"/>
      <c r="P90" s="521"/>
      <c r="Q90" s="521"/>
      <c r="R90" s="521"/>
      <c r="S90" s="521"/>
      <c r="T90" s="521"/>
      <c r="U90" s="521"/>
    </row>
    <row customHeight="1" ht="14.25">
      <c r="A91" s="586"/>
      <c r="B91" s="673"/>
      <c r="C91" s="674"/>
      <c r="D91" s="668"/>
      <c r="E91" s="767"/>
      <c r="F91" s="668"/>
      <c r="G91" s="668"/>
      <c r="H91" s="767"/>
      <c r="I91" s="668"/>
      <c r="J91" s="668"/>
      <c r="K91" s="671"/>
      <c r="L91" s="675"/>
      <c r="M91" s="521"/>
      <c r="N91" s="521"/>
      <c r="O91" s="521"/>
      <c r="P91" s="521"/>
      <c r="Q91" s="521"/>
      <c r="R91" s="521"/>
      <c r="S91" s="521"/>
      <c r="T91" s="521"/>
      <c r="U91" s="521"/>
    </row>
    <row customHeight="1" ht="15">
      <c r="A92" s="586"/>
      <c r="B92" s="676"/>
      <c r="C92" s="677"/>
      <c r="D92" s="678"/>
      <c r="E92" s="768"/>
      <c r="F92" s="678"/>
      <c r="G92" s="678"/>
      <c r="H92" s="768"/>
      <c r="I92" s="678"/>
      <c r="J92" s="678"/>
      <c r="K92" s="681"/>
      <c r="L92" s="682"/>
      <c r="M92" s="521"/>
      <c r="N92" s="521"/>
      <c r="O92" s="521"/>
      <c r="P92" s="521"/>
      <c r="Q92" s="521"/>
      <c r="R92" s="521"/>
      <c r="S92" s="521"/>
      <c r="T92" s="521"/>
      <c r="U92" s="521"/>
    </row>
    <row customHeight="1" ht="14.25">
      <c r="A93" s="586"/>
      <c r="B93" s="683" t="s">
        <v>141</v>
      </c>
      <c r="C93" s="683" t="s">
        <v>142</v>
      </c>
      <c r="D93" s="683"/>
      <c r="E93" s="769"/>
      <c r="F93" s="683"/>
      <c r="G93" s="683" t="s">
        <v>143</v>
      </c>
      <c r="H93" s="769"/>
      <c r="I93" s="683"/>
      <c r="J93" s="683"/>
      <c r="K93" s="683" t="s">
        <v>144</v>
      </c>
      <c r="L93" s="683"/>
      <c r="M93" s="521"/>
      <c r="N93" s="521"/>
      <c r="O93" s="521"/>
      <c r="P93" s="521"/>
      <c r="Q93" s="521"/>
      <c r="R93" s="521"/>
      <c r="S93" s="521"/>
      <c r="T93" s="521"/>
      <c r="U93" s="521"/>
    </row>
    <row customHeight="1" ht="14.4525">
      <c r="A94" s="586"/>
      <c r="B94" s="586"/>
      <c r="C94" s="586"/>
      <c r="D94" s="586"/>
      <c r="E94" s="286"/>
      <c r="F94" s="586"/>
      <c r="G94" s="586"/>
      <c r="H94" s="286"/>
      <c r="I94" s="586"/>
      <c r="J94" s="586"/>
      <c r="K94" s="586"/>
      <c r="L94" s="586"/>
      <c r="M94" s="521"/>
      <c r="N94" s="521"/>
      <c r="O94" s="521"/>
      <c r="P94" s="521"/>
      <c r="Q94" s="521"/>
      <c r="R94" s="521"/>
      <c r="S94" s="521"/>
      <c r="T94" s="521"/>
      <c r="U94" s="521"/>
    </row>
    <row customHeight="1" ht="14.25">
      <c r="A95" s="586"/>
      <c r="B95" s="586"/>
      <c r="C95" s="586"/>
      <c r="D95" s="586"/>
      <c r="E95" s="286">
        <v>550368</v>
      </c>
      <c r="F95" s="133"/>
      <c r="G95" s="133"/>
      <c r="H95" s="286">
        <v>4553852</v>
      </c>
      <c r="I95" s="133"/>
      <c r="J95" s="286">
        <v>433198</v>
      </c>
      <c r="K95" s="286">
        <v>5100900</v>
      </c>
      <c r="L95" s="133"/>
      <c r="M95" s="134"/>
      <c r="N95" s="134"/>
      <c r="O95" s="134"/>
      <c r="P95" s="134"/>
      <c r="Q95" s="134"/>
      <c r="R95" s="134"/>
      <c r="S95" s="134"/>
      <c r="T95" s="134"/>
      <c r="U95" s="134"/>
    </row>
    <row customHeight="1" ht="14.25">
      <c r="A96" s="586"/>
      <c r="B96" s="586"/>
      <c r="C96" s="586"/>
      <c r="D96" s="586"/>
      <c r="E96" s="286"/>
      <c r="F96" s="133"/>
      <c r="G96" s="133"/>
      <c r="H96" s="286"/>
      <c r="I96" s="133"/>
      <c r="J96" s="286"/>
      <c r="K96" s="286"/>
      <c r="L96" s="133"/>
      <c r="M96" s="134"/>
      <c r="N96" s="134"/>
      <c r="O96" s="134"/>
      <c r="P96" s="134"/>
      <c r="Q96" s="134"/>
      <c r="R96" s="134"/>
      <c r="S96" s="134"/>
      <c r="T96" s="134"/>
      <c r="U96" s="134"/>
    </row>
    <row customHeight="1" ht="14.25">
      <c r="A97" s="586"/>
      <c r="B97" s="586"/>
      <c r="C97" s="586"/>
      <c r="D97" s="586"/>
      <c r="E97" s="286">
        <v>6041</v>
      </c>
      <c r="F97" s="133"/>
      <c r="G97" s="133"/>
      <c r="H97" s="286">
        <v>72737</v>
      </c>
      <c r="I97" s="133"/>
      <c r="J97" s="286">
        <v>5204</v>
      </c>
      <c r="K97" s="286">
        <v>63651</v>
      </c>
      <c r="L97" s="133"/>
      <c r="M97" s="134"/>
      <c r="N97" s="134"/>
      <c r="O97" s="134"/>
      <c r="P97" s="134"/>
      <c r="Q97" s="134"/>
      <c r="R97" s="134"/>
      <c r="S97" s="134"/>
      <c r="T97" s="134"/>
      <c r="U97" s="134"/>
    </row>
    <row customHeight="1" ht="14.25">
      <c r="A98" s="586"/>
      <c r="B98" s="586"/>
      <c r="C98" s="586"/>
      <c r="D98" s="586"/>
      <c r="E98" s="286"/>
      <c r="F98" s="133"/>
      <c r="G98" s="133"/>
      <c r="H98" s="286"/>
      <c r="I98" s="133"/>
      <c r="J98" s="286"/>
      <c r="K98" s="286"/>
      <c r="L98" s="133"/>
      <c r="M98" s="134"/>
      <c r="N98" s="134"/>
      <c r="O98" s="134"/>
      <c r="P98" s="134"/>
      <c r="Q98" s="134"/>
      <c r="R98" s="134"/>
      <c r="S98" s="134"/>
      <c r="T98" s="134"/>
      <c r="U98" s="134"/>
    </row>
    <row customHeight="1" ht="14.25">
      <c r="A99" s="586"/>
      <c r="B99" s="586"/>
      <c r="C99" s="586"/>
      <c r="D99" s="586"/>
      <c r="E99" s="286">
        <v>481</v>
      </c>
      <c r="F99" s="133"/>
      <c r="G99" s="133"/>
      <c r="H99" s="286">
        <v>481</v>
      </c>
      <c r="I99" s="133"/>
      <c r="J99" s="286">
        <v>0</v>
      </c>
      <c r="K99" s="286">
        <v>65718</v>
      </c>
      <c r="L99" s="133"/>
      <c r="M99" s="134"/>
      <c r="N99" s="134"/>
      <c r="O99" s="134"/>
      <c r="P99" s="134"/>
      <c r="Q99" s="134"/>
      <c r="R99" s="134"/>
      <c r="S99" s="134"/>
      <c r="T99" s="134"/>
      <c r="U99" s="134"/>
    </row>
    <row customHeight="1" ht="14.25">
      <c r="A100" s="586"/>
      <c r="B100" s="586"/>
      <c r="C100" s="586"/>
      <c r="D100" s="586"/>
      <c r="E100" s="286"/>
      <c r="F100" s="133"/>
      <c r="G100" s="133"/>
      <c r="H100" s="286"/>
      <c r="I100" s="133"/>
      <c r="J100" s="286"/>
      <c r="K100" s="286"/>
      <c r="L100" s="133"/>
      <c r="M100" s="134"/>
      <c r="N100" s="134"/>
      <c r="O100" s="134"/>
      <c r="P100" s="134"/>
      <c r="Q100" s="134"/>
      <c r="R100" s="134"/>
      <c r="S100" s="134"/>
      <c r="T100" s="134"/>
      <c r="U100" s="134"/>
    </row>
    <row customHeight="1" ht="14.25">
      <c r="A101" s="586"/>
      <c r="B101" s="586"/>
      <c r="C101" s="586"/>
      <c r="D101" s="586"/>
      <c r="E101" s="286">
        <v>0</v>
      </c>
      <c r="F101" s="133"/>
      <c r="G101" s="133"/>
      <c r="H101" s="286">
        <v>0</v>
      </c>
      <c r="I101" s="133"/>
      <c r="J101" s="286">
        <v>0</v>
      </c>
      <c r="K101" s="286">
        <v>0</v>
      </c>
      <c r="L101" s="133"/>
      <c r="M101" s="134"/>
      <c r="N101" s="134"/>
      <c r="O101" s="134"/>
      <c r="P101" s="134"/>
      <c r="Q101" s="134"/>
      <c r="R101" s="134"/>
      <c r="S101" s="134"/>
      <c r="T101" s="134"/>
      <c r="U101" s="134"/>
    </row>
    <row customHeight="1" ht="14.25">
      <c r="A102" s="586"/>
      <c r="B102" s="586"/>
      <c r="C102" s="586"/>
      <c r="D102" s="586"/>
      <c r="E102" s="286"/>
      <c r="F102" s="133"/>
      <c r="G102" s="133"/>
      <c r="H102" s="286"/>
      <c r="I102" s="133"/>
      <c r="J102" s="286"/>
      <c r="K102" s="286"/>
      <c r="L102" s="133"/>
      <c r="M102" s="134"/>
      <c r="N102" s="134"/>
      <c r="O102" s="134"/>
      <c r="P102" s="134"/>
      <c r="Q102" s="134"/>
      <c r="R102" s="134"/>
      <c r="S102" s="134"/>
      <c r="T102" s="134"/>
      <c r="U102" s="134"/>
    </row>
    <row customHeight="1" ht="14.25">
      <c r="A103" s="586"/>
      <c r="B103" s="586"/>
      <c r="C103" s="586"/>
      <c r="D103" s="586"/>
      <c r="E103" s="286">
        <v>550368</v>
      </c>
      <c r="F103" s="133"/>
      <c r="G103" s="133"/>
      <c r="H103" s="286">
        <v>4553852</v>
      </c>
      <c r="I103" s="133"/>
      <c r="J103" s="286">
        <v>433198</v>
      </c>
      <c r="K103" s="286">
        <v>5100900</v>
      </c>
      <c r="L103" s="133"/>
      <c r="M103" s="134"/>
      <c r="N103" s="134"/>
      <c r="O103" s="134"/>
      <c r="P103" s="134"/>
      <c r="Q103" s="134"/>
      <c r="R103" s="134"/>
      <c r="S103" s="134"/>
      <c r="T103" s="134"/>
      <c r="U103" s="134"/>
    </row>
    <row customHeight="1" ht="14.25">
      <c r="A104" s="586"/>
      <c r="B104" s="586"/>
      <c r="C104" s="586"/>
      <c r="D104" s="586"/>
      <c r="E104" s="286">
        <v>550368</v>
      </c>
      <c r="F104" s="133"/>
      <c r="G104" s="133"/>
      <c r="H104" s="286">
        <v>4553852</v>
      </c>
      <c r="I104" s="133"/>
      <c r="J104" s="286">
        <v>433198</v>
      </c>
      <c r="K104" s="286">
        <v>5100900</v>
      </c>
      <c r="L104" s="133"/>
      <c r="M104" s="134"/>
      <c r="N104" s="134"/>
      <c r="O104" s="134"/>
      <c r="P104" s="134"/>
      <c r="Q104" s="134"/>
      <c r="R104" s="134"/>
      <c r="S104" s="134"/>
      <c r="T104" s="134"/>
      <c r="U104" s="134"/>
    </row>
    <row customHeight="1" ht="14.25">
      <c r="A105" s="586"/>
      <c r="B105" s="586"/>
      <c r="C105" s="586"/>
      <c r="D105" s="586"/>
      <c r="E105" s="286"/>
      <c r="F105" s="133"/>
      <c r="G105" s="133"/>
      <c r="H105" s="286"/>
      <c r="I105" s="133"/>
      <c r="J105" s="286"/>
      <c r="K105" s="286"/>
      <c r="L105" s="133"/>
      <c r="M105" s="134"/>
      <c r="N105" s="134"/>
      <c r="O105" s="134"/>
      <c r="P105" s="134"/>
      <c r="Q105" s="134"/>
      <c r="R105" s="134"/>
      <c r="S105" s="134"/>
      <c r="T105" s="134"/>
      <c r="U105" s="134"/>
    </row>
    <row customHeight="1" ht="14.25">
      <c r="A106" s="586"/>
      <c r="B106" s="586"/>
      <c r="C106" s="586"/>
      <c r="D106" s="586"/>
      <c r="E106" s="286">
        <v>174870</v>
      </c>
      <c r="F106" s="133"/>
      <c r="G106" s="133"/>
      <c r="H106" s="286">
        <v>1591516</v>
      </c>
      <c r="I106" s="133"/>
      <c r="J106" s="286">
        <v>153134</v>
      </c>
      <c r="K106" s="286">
        <v>1667450</v>
      </c>
      <c r="L106" s="133"/>
      <c r="M106" s="134"/>
      <c r="N106" s="134"/>
      <c r="O106" s="134"/>
      <c r="P106" s="134"/>
      <c r="Q106" s="134"/>
      <c r="R106" s="134"/>
      <c r="S106" s="134"/>
      <c r="T106" s="134"/>
      <c r="U106" s="134"/>
    </row>
    <row customHeight="1" ht="14.25">
      <c r="A107" s="586"/>
      <c r="B107" s="586"/>
      <c r="C107" s="586"/>
      <c r="D107" s="586"/>
      <c r="E107" s="286"/>
      <c r="F107" s="133"/>
      <c r="G107" s="133"/>
      <c r="H107" s="286"/>
      <c r="I107" s="133"/>
      <c r="J107" s="286"/>
      <c r="K107" s="286"/>
      <c r="L107" s="133"/>
      <c r="M107" s="134"/>
      <c r="N107" s="134"/>
      <c r="O107" s="134"/>
      <c r="P107" s="134"/>
      <c r="Q107" s="134"/>
      <c r="R107" s="134"/>
      <c r="S107" s="134"/>
      <c r="T107" s="134"/>
      <c r="U107" s="134"/>
    </row>
    <row customHeight="1" ht="14.25">
      <c r="A108" s="586"/>
      <c r="B108" s="586"/>
      <c r="C108" s="586"/>
      <c r="D108" s="586"/>
      <c r="E108" s="286">
        <v>171606</v>
      </c>
      <c r="F108" s="133"/>
      <c r="G108" s="133"/>
      <c r="H108" s="286">
        <v>1575046</v>
      </c>
      <c r="I108" s="133"/>
      <c r="J108" s="286">
        <v>149057</v>
      </c>
      <c r="K108" s="286">
        <v>1626265</v>
      </c>
      <c r="L108" s="133"/>
      <c r="M108" s="134"/>
      <c r="N108" s="134"/>
      <c r="O108" s="134"/>
      <c r="P108" s="134"/>
      <c r="Q108" s="134"/>
      <c r="R108" s="134"/>
      <c r="S108" s="134"/>
      <c r="T108" s="134"/>
      <c r="U108" s="134"/>
    </row>
    <row customHeight="1" ht="14.25">
      <c r="A109" s="586"/>
      <c r="B109" s="586"/>
      <c r="C109" s="586"/>
      <c r="D109" s="586"/>
      <c r="E109" s="286"/>
      <c r="F109" s="133"/>
      <c r="G109" s="133"/>
      <c r="H109" s="286"/>
      <c r="I109" s="133"/>
      <c r="J109" s="286"/>
      <c r="K109" s="286"/>
      <c r="L109" s="133"/>
      <c r="M109" s="134"/>
      <c r="N109" s="134"/>
      <c r="O109" s="134"/>
      <c r="P109" s="134"/>
      <c r="Q109" s="134"/>
      <c r="R109" s="134"/>
      <c r="S109" s="134"/>
      <c r="T109" s="134"/>
      <c r="U109" s="134"/>
    </row>
    <row customHeight="1" ht="14.25">
      <c r="A110" s="586"/>
      <c r="B110" s="586"/>
      <c r="C110" s="586"/>
      <c r="D110" s="586"/>
      <c r="E110" s="286">
        <v>110093</v>
      </c>
      <c r="F110" s="133"/>
      <c r="G110" s="133"/>
      <c r="H110" s="286">
        <v>907947</v>
      </c>
      <c r="I110" s="133"/>
      <c r="J110" s="286">
        <v>93966</v>
      </c>
      <c r="K110" s="286">
        <v>1019022</v>
      </c>
      <c r="L110" s="133"/>
      <c r="M110" s="134"/>
      <c r="N110" s="134"/>
      <c r="O110" s="134"/>
      <c r="P110" s="134"/>
      <c r="Q110" s="134"/>
      <c r="R110" s="134"/>
      <c r="S110" s="134"/>
      <c r="T110" s="134"/>
      <c r="U110" s="134"/>
    </row>
    <row customHeight="1" ht="14.25">
      <c r="A111" s="586"/>
      <c r="B111" s="586"/>
      <c r="C111" s="586"/>
      <c r="D111" s="586"/>
      <c r="E111" s="286"/>
      <c r="F111" s="133"/>
      <c r="G111" s="133"/>
      <c r="H111" s="286"/>
      <c r="I111" s="133"/>
      <c r="J111" s="286"/>
      <c r="K111" s="286"/>
      <c r="L111" s="133"/>
      <c r="M111" s="134"/>
      <c r="N111" s="134"/>
      <c r="O111" s="134"/>
      <c r="P111" s="134"/>
      <c r="Q111" s="134"/>
      <c r="R111" s="134"/>
      <c r="S111" s="134"/>
      <c r="T111" s="134"/>
      <c r="U111" s="134"/>
    </row>
    <row customHeight="1" ht="14.25">
      <c r="A112" s="586"/>
      <c r="B112" s="586"/>
      <c r="C112" s="586"/>
      <c r="D112" s="586"/>
      <c r="E112" s="286">
        <v>0</v>
      </c>
      <c r="F112" s="133"/>
      <c r="G112" s="133"/>
      <c r="H112" s="286">
        <v>0</v>
      </c>
      <c r="I112" s="133"/>
      <c r="J112" s="286">
        <v>0</v>
      </c>
      <c r="K112" s="286">
        <v>80968</v>
      </c>
      <c r="L112" s="133"/>
      <c r="M112" s="134"/>
      <c r="N112" s="134"/>
      <c r="O112" s="134"/>
      <c r="P112" s="134"/>
      <c r="Q112" s="134"/>
      <c r="R112" s="134"/>
      <c r="S112" s="134"/>
      <c r="T112" s="134"/>
      <c r="U112" s="134"/>
    </row>
    <row customHeight="1" ht="14.25">
      <c r="A113" s="586"/>
      <c r="B113" s="586"/>
      <c r="C113" s="586"/>
      <c r="D113" s="586"/>
      <c r="E113" s="286">
        <v>99150</v>
      </c>
      <c r="F113" s="133"/>
      <c r="G113" s="133"/>
      <c r="H113" s="286">
        <v>769527</v>
      </c>
      <c r="I113" s="133"/>
      <c r="J113" s="286">
        <v>75564</v>
      </c>
      <c r="K113" s="286">
        <v>823073</v>
      </c>
      <c r="L113" s="133"/>
      <c r="M113" s="134"/>
      <c r="N113" s="134"/>
      <c r="O113" s="134"/>
      <c r="P113" s="134"/>
      <c r="Q113" s="134"/>
      <c r="R113" s="134"/>
      <c r="S113" s="134"/>
      <c r="T113" s="134"/>
      <c r="U113" s="134"/>
    </row>
    <row customHeight="1" ht="14.25">
      <c r="A114" s="586"/>
      <c r="B114" s="586"/>
      <c r="C114" s="586"/>
      <c r="D114" s="586"/>
      <c r="E114" s="286">
        <v>202494</v>
      </c>
      <c r="F114" s="133"/>
      <c r="G114" s="133"/>
      <c r="H114" s="286">
        <v>1736966</v>
      </c>
      <c r="I114" s="133"/>
      <c r="J114" s="286">
        <v>172264</v>
      </c>
      <c r="K114" s="286">
        <v>1933004</v>
      </c>
      <c r="L114" s="133"/>
      <c r="M114" s="134"/>
      <c r="N114" s="134"/>
      <c r="O114" s="134"/>
      <c r="P114" s="134"/>
      <c r="Q114" s="134"/>
      <c r="R114" s="134"/>
      <c r="S114" s="134"/>
      <c r="T114" s="134"/>
      <c r="U114" s="134"/>
    </row>
    <row customHeight="1" ht="14.25">
      <c r="A115" s="586"/>
      <c r="B115" s="586"/>
      <c r="C115" s="586"/>
      <c r="D115" s="586"/>
      <c r="E115" s="286"/>
      <c r="F115" s="133"/>
      <c r="G115" s="133"/>
      <c r="H115" s="286"/>
      <c r="I115" s="133"/>
      <c r="J115" s="286"/>
      <c r="K115" s="286"/>
      <c r="L115" s="133"/>
      <c r="M115" s="134"/>
      <c r="N115" s="134"/>
      <c r="O115" s="134"/>
      <c r="P115" s="134"/>
      <c r="Q115" s="134"/>
      <c r="R115" s="134"/>
      <c r="S115" s="134"/>
      <c r="T115" s="134"/>
      <c r="U115" s="134"/>
    </row>
    <row customHeight="1" ht="14.25">
      <c r="A116" s="586"/>
      <c r="B116" s="586"/>
      <c r="C116" s="586"/>
      <c r="D116" s="586"/>
      <c r="E116" s="286">
        <v>28452</v>
      </c>
      <c r="F116" s="133"/>
      <c r="G116" s="133"/>
      <c r="H116" s="286">
        <v>252643</v>
      </c>
      <c r="I116" s="133"/>
      <c r="J116" s="286">
        <v>24702</v>
      </c>
      <c r="K116" s="286">
        <v>289635</v>
      </c>
      <c r="L116" s="133"/>
      <c r="M116" s="134"/>
      <c r="N116" s="134"/>
      <c r="O116" s="134"/>
      <c r="P116" s="134"/>
      <c r="Q116" s="134"/>
      <c r="R116" s="134"/>
      <c r="S116" s="134"/>
      <c r="T116" s="134"/>
      <c r="U116" s="134"/>
    </row>
    <row customHeight="1" ht="14.25">
      <c r="A117" s="586"/>
      <c r="B117" s="586"/>
      <c r="C117" s="586"/>
      <c r="D117" s="586"/>
      <c r="E117" s="286"/>
      <c r="F117" s="133"/>
      <c r="G117" s="133"/>
      <c r="H117" s="286"/>
      <c r="I117" s="133"/>
      <c r="J117" s="286"/>
      <c r="K117" s="286"/>
      <c r="L117" s="133"/>
      <c r="M117" s="134"/>
      <c r="N117" s="134"/>
      <c r="O117" s="134"/>
      <c r="P117" s="134"/>
      <c r="Q117" s="134"/>
      <c r="R117" s="134"/>
      <c r="S117" s="134"/>
      <c r="T117" s="134"/>
      <c r="U117" s="134"/>
    </row>
    <row customHeight="1" ht="14.25">
      <c r="A118" s="586"/>
      <c r="B118" s="586"/>
      <c r="C118" s="586"/>
      <c r="D118" s="586"/>
      <c r="E118" s="286">
        <v>168869</v>
      </c>
      <c r="F118" s="133"/>
      <c r="G118" s="133"/>
      <c r="H118" s="286">
        <v>1350244</v>
      </c>
      <c r="I118" s="133"/>
      <c r="J118" s="286">
        <v>122717</v>
      </c>
      <c r="K118" s="286">
        <v>1422443</v>
      </c>
      <c r="L118" s="133"/>
      <c r="M118" s="134"/>
      <c r="N118" s="134"/>
      <c r="O118" s="134"/>
      <c r="P118" s="134"/>
      <c r="Q118" s="134"/>
      <c r="R118" s="134"/>
      <c r="S118" s="134"/>
      <c r="T118" s="134"/>
      <c r="U118" s="134"/>
    </row>
    <row customHeight="1" ht="14.25">
      <c r="A119" s="586"/>
      <c r="B119" s="586"/>
      <c r="C119" s="586"/>
      <c r="D119" s="586"/>
      <c r="E119" s="286"/>
      <c r="F119" s="133"/>
      <c r="G119" s="133"/>
      <c r="H119" s="286"/>
      <c r="I119" s="133"/>
      <c r="J119" s="286"/>
      <c r="K119" s="286"/>
      <c r="L119" s="133"/>
      <c r="M119" s="134"/>
      <c r="N119" s="134"/>
      <c r="O119" s="134"/>
      <c r="P119" s="134"/>
      <c r="Q119" s="134"/>
      <c r="R119" s="134"/>
      <c r="S119" s="134"/>
      <c r="T119" s="134"/>
      <c r="U119" s="134"/>
    </row>
    <row customHeight="1" ht="14.25">
      <c r="A120" s="586"/>
      <c r="B120" s="586"/>
      <c r="C120" s="586"/>
      <c r="D120" s="586"/>
      <c r="E120" s="286">
        <v>12000</v>
      </c>
      <c r="F120" s="133"/>
      <c r="G120" s="133"/>
      <c r="H120" s="286">
        <v>170472</v>
      </c>
      <c r="I120" s="133"/>
      <c r="J120" s="286">
        <v>20050</v>
      </c>
      <c r="K120" s="286">
        <v>201378</v>
      </c>
      <c r="L120" s="133"/>
      <c r="M120" s="134"/>
      <c r="N120" s="134"/>
      <c r="O120" s="134"/>
      <c r="P120" s="134"/>
      <c r="Q120" s="134"/>
      <c r="R120" s="134"/>
      <c r="S120" s="134"/>
      <c r="T120" s="134"/>
      <c r="U120" s="134"/>
    </row>
    <row customHeight="1" ht="14.25">
      <c r="A121" s="586"/>
      <c r="B121" s="586"/>
      <c r="C121" s="586"/>
      <c r="D121" s="586"/>
      <c r="E121" s="286"/>
      <c r="F121" s="133"/>
      <c r="G121" s="133"/>
      <c r="H121" s="286"/>
      <c r="I121" s="133"/>
      <c r="J121" s="286"/>
      <c r="K121" s="286"/>
      <c r="L121" s="133"/>
      <c r="M121" s="134"/>
      <c r="N121" s="134"/>
      <c r="O121" s="134"/>
      <c r="P121" s="134"/>
      <c r="Q121" s="134"/>
      <c r="R121" s="134"/>
      <c r="S121" s="134"/>
      <c r="T121" s="134"/>
      <c r="U121" s="134"/>
    </row>
    <row customHeight="1" ht="14.25">
      <c r="A122" s="586"/>
      <c r="B122" s="586"/>
      <c r="C122" s="586"/>
      <c r="D122" s="586"/>
      <c r="E122" s="286">
        <v>125230</v>
      </c>
      <c r="F122" s="133"/>
      <c r="G122" s="133"/>
      <c r="H122" s="286">
        <v>1454677</v>
      </c>
      <c r="I122" s="133"/>
      <c r="J122" s="286">
        <v>111439</v>
      </c>
      <c r="K122" s="286">
        <v>1677765</v>
      </c>
      <c r="L122" s="133"/>
      <c r="M122" s="134"/>
      <c r="N122" s="134"/>
      <c r="O122" s="134"/>
      <c r="P122" s="134"/>
      <c r="Q122" s="134"/>
      <c r="R122" s="134"/>
      <c r="S122" s="134"/>
      <c r="T122" s="134"/>
      <c r="U122" s="134"/>
    </row>
    <row customHeight="1" ht="14.25">
      <c r="A123" s="586"/>
      <c r="B123" s="586"/>
      <c r="C123" s="586"/>
      <c r="D123" s="586"/>
      <c r="E123" s="286"/>
      <c r="F123" s="133"/>
      <c r="G123" s="133"/>
      <c r="H123" s="286"/>
      <c r="I123" s="133"/>
      <c r="J123" s="286"/>
      <c r="K123" s="286"/>
      <c r="L123" s="133"/>
      <c r="M123" s="134"/>
      <c r="N123" s="134"/>
      <c r="O123" s="134"/>
      <c r="P123" s="134"/>
      <c r="Q123" s="134"/>
      <c r="R123" s="134"/>
      <c r="S123" s="134"/>
      <c r="T123" s="134"/>
      <c r="U123" s="134"/>
    </row>
    <row customHeight="1" ht="14.25">
      <c r="A124" s="586"/>
      <c r="B124" s="586"/>
      <c r="C124" s="586"/>
      <c r="D124" s="586"/>
      <c r="E124" s="286">
        <v>35700</v>
      </c>
      <c r="F124" s="133"/>
      <c r="G124" s="133"/>
      <c r="H124" s="286">
        <v>76700</v>
      </c>
      <c r="I124" s="133"/>
      <c r="J124" s="286">
        <v>41489</v>
      </c>
      <c r="K124" s="286">
        <v>59021</v>
      </c>
      <c r="L124" s="133"/>
      <c r="M124" s="134"/>
      <c r="N124" s="134"/>
      <c r="O124" s="134"/>
      <c r="P124" s="134"/>
      <c r="Q124" s="134"/>
      <c r="R124" s="134"/>
      <c r="S124" s="134"/>
      <c r="T124" s="134"/>
      <c r="U124" s="134"/>
    </row>
    <row customHeight="1" ht="14.25">
      <c r="A125" s="586"/>
      <c r="B125" s="586"/>
      <c r="C125" s="586"/>
      <c r="D125" s="586"/>
      <c r="E125" s="286"/>
      <c r="F125" s="133"/>
      <c r="G125" s="133"/>
      <c r="H125" s="286"/>
      <c r="I125" s="133"/>
      <c r="J125" s="286"/>
      <c r="K125" s="286"/>
      <c r="L125" s="133"/>
      <c r="M125" s="134"/>
      <c r="N125" s="134"/>
      <c r="O125" s="134"/>
      <c r="P125" s="134"/>
      <c r="Q125" s="134"/>
      <c r="R125" s="134"/>
      <c r="S125" s="134"/>
      <c r="T125" s="134"/>
      <c r="U125" s="134"/>
    </row>
    <row customHeight="1" ht="14.25">
      <c r="A126" s="586"/>
      <c r="B126" s="586"/>
      <c r="C126" s="586"/>
      <c r="D126" s="586"/>
      <c r="E126" s="286">
        <v>8611</v>
      </c>
      <c r="F126" s="133"/>
      <c r="G126" s="133"/>
      <c r="H126" s="286">
        <v>8611</v>
      </c>
      <c r="I126" s="133"/>
      <c r="J126" s="286">
        <v>0</v>
      </c>
      <c r="K126" s="286">
        <v>0</v>
      </c>
      <c r="L126" s="133"/>
      <c r="M126" s="134"/>
      <c r="N126" s="134"/>
      <c r="O126" s="134"/>
      <c r="P126" s="134"/>
      <c r="Q126" s="134"/>
      <c r="R126" s="134"/>
      <c r="S126" s="134"/>
      <c r="T126" s="134"/>
      <c r="U126" s="134"/>
    </row>
    <row customHeight="1" ht="14.25">
      <c r="A127" s="586"/>
      <c r="B127" s="586"/>
      <c r="C127" s="586"/>
      <c r="D127" s="586"/>
      <c r="E127" s="286"/>
      <c r="F127" s="133"/>
      <c r="G127" s="133"/>
      <c r="H127" s="286"/>
      <c r="I127" s="133"/>
      <c r="J127" s="286"/>
      <c r="K127" s="286"/>
      <c r="L127" s="133"/>
      <c r="M127" s="134"/>
      <c r="N127" s="134"/>
      <c r="O127" s="134"/>
      <c r="P127" s="134"/>
      <c r="Q127" s="134"/>
      <c r="R127" s="134"/>
      <c r="S127" s="134"/>
      <c r="T127" s="134"/>
      <c r="U127" s="134"/>
    </row>
    <row customHeight="1" ht="14.25">
      <c r="A128" s="586"/>
      <c r="B128" s="586"/>
      <c r="C128" s="586"/>
      <c r="D128" s="586"/>
      <c r="E128" s="286">
        <v>19594</v>
      </c>
      <c r="F128" s="133"/>
      <c r="G128" s="133"/>
      <c r="H128" s="286">
        <v>229011</v>
      </c>
      <c r="I128" s="133"/>
      <c r="J128" s="286">
        <v>24095</v>
      </c>
      <c r="K128" s="286">
        <v>262867</v>
      </c>
      <c r="L128" s="133"/>
      <c r="M128" s="134"/>
      <c r="N128" s="134"/>
      <c r="O128" s="134"/>
      <c r="P128" s="134"/>
      <c r="Q128" s="134"/>
      <c r="R128" s="134"/>
      <c r="S128" s="134"/>
      <c r="T128" s="134"/>
      <c r="U128" s="134"/>
    </row>
    <row customHeight="1" ht="14.25">
      <c r="A129" s="586"/>
      <c r="B129" s="586"/>
      <c r="C129" s="586"/>
      <c r="D129" s="586"/>
      <c r="E129" s="286"/>
      <c r="F129" s="133"/>
      <c r="G129" s="133"/>
      <c r="H129" s="286"/>
      <c r="I129" s="133"/>
      <c r="J129" s="286"/>
      <c r="K129" s="286"/>
      <c r="L129" s="133"/>
      <c r="M129" s="134"/>
      <c r="N129" s="134"/>
      <c r="O129" s="134"/>
      <c r="P129" s="134"/>
      <c r="Q129" s="134"/>
      <c r="R129" s="134"/>
      <c r="S129" s="134"/>
      <c r="T129" s="134"/>
      <c r="U129" s="134"/>
    </row>
    <row customHeight="1" ht="14.25">
      <c r="A130" s="586"/>
      <c r="B130" s="586"/>
      <c r="C130" s="586"/>
      <c r="D130" s="586"/>
      <c r="E130" s="286"/>
      <c r="F130" s="133"/>
      <c r="G130" s="133"/>
      <c r="H130" s="286"/>
      <c r="I130" s="133"/>
      <c r="J130" s="286"/>
      <c r="K130" s="286"/>
      <c r="L130" s="133"/>
      <c r="M130" s="134"/>
      <c r="N130" s="134"/>
      <c r="O130" s="134"/>
      <c r="P130" s="134"/>
      <c r="Q130" s="134"/>
      <c r="R130" s="134"/>
      <c r="S130" s="134"/>
      <c r="T130" s="134"/>
      <c r="U130" s="134"/>
    </row>
    <row customHeight="1" ht="14.25">
      <c r="A131" s="586"/>
      <c r="B131" s="586"/>
      <c r="C131" s="586"/>
      <c r="D131" s="586"/>
      <c r="E131" s="286">
        <v>93177</v>
      </c>
      <c r="F131" s="133"/>
      <c r="G131" s="133"/>
      <c r="H131" s="286">
        <v>680848</v>
      </c>
      <c r="I131" s="133"/>
      <c r="J131" s="286">
        <v>60056</v>
      </c>
      <c r="K131" s="286">
        <v>824602</v>
      </c>
      <c r="L131" s="133"/>
      <c r="M131" s="134"/>
      <c r="N131" s="134"/>
      <c r="O131" s="134"/>
      <c r="P131" s="134"/>
      <c r="Q131" s="134"/>
      <c r="R131" s="134"/>
      <c r="S131" s="134"/>
      <c r="T131" s="134"/>
      <c r="U131" s="134"/>
    </row>
    <row customHeight="1" ht="14.25">
      <c r="A132" s="586"/>
      <c r="B132" s="586"/>
      <c r="C132" s="586"/>
      <c r="D132" s="586"/>
      <c r="E132" s="286"/>
      <c r="F132" s="133"/>
      <c r="G132" s="133"/>
      <c r="H132" s="286"/>
      <c r="I132" s="133"/>
      <c r="J132" s="286"/>
      <c r="K132" s="286"/>
      <c r="L132" s="133"/>
      <c r="M132" s="134"/>
      <c r="N132" s="134"/>
      <c r="O132" s="134"/>
      <c r="P132" s="134"/>
      <c r="Q132" s="134"/>
      <c r="R132" s="134"/>
      <c r="S132" s="134"/>
      <c r="T132" s="134"/>
      <c r="U132" s="134"/>
    </row>
    <row customHeight="1" ht="14.25">
      <c r="A133" s="586"/>
      <c r="B133" s="586"/>
      <c r="C133" s="586"/>
      <c r="D133" s="586"/>
      <c r="E133" s="286">
        <v>4742</v>
      </c>
      <c r="F133" s="133"/>
      <c r="G133" s="133"/>
      <c r="H133" s="286">
        <v>56479.34</v>
      </c>
      <c r="I133" s="133"/>
      <c r="J133" s="286">
        <v>4723.6</v>
      </c>
      <c r="K133" s="286">
        <v>57831.44</v>
      </c>
      <c r="L133" s="133"/>
      <c r="M133" s="134"/>
      <c r="N133" s="134"/>
      <c r="O133" s="134"/>
      <c r="P133" s="134"/>
      <c r="Q133" s="134"/>
      <c r="R133" s="134"/>
      <c r="S133" s="134"/>
      <c r="T133" s="134"/>
      <c r="U133" s="134"/>
    </row>
    <row customHeight="1" ht="14.25">
      <c r="A134" s="586"/>
      <c r="B134" s="586"/>
      <c r="C134" s="586"/>
      <c r="D134" s="586"/>
      <c r="E134" s="286"/>
      <c r="F134" s="133"/>
      <c r="G134" s="133"/>
      <c r="H134" s="286"/>
      <c r="I134" s="133"/>
      <c r="J134" s="286"/>
      <c r="K134" s="286"/>
      <c r="L134" s="133"/>
      <c r="M134" s="134"/>
      <c r="N134" s="134"/>
      <c r="O134" s="134"/>
      <c r="P134" s="134"/>
      <c r="Q134" s="134"/>
      <c r="R134" s="134"/>
      <c r="S134" s="134"/>
      <c r="T134" s="134"/>
      <c r="U134" s="134"/>
    </row>
    <row customHeight="1" ht="14.25">
      <c r="A135" s="586"/>
      <c r="B135" s="586"/>
      <c r="C135" s="586"/>
      <c r="D135" s="586"/>
      <c r="E135" s="286"/>
      <c r="F135" s="133"/>
      <c r="G135" s="133"/>
      <c r="H135" s="286"/>
      <c r="I135" s="133"/>
      <c r="J135" s="286"/>
      <c r="K135" s="286"/>
      <c r="L135" s="133"/>
      <c r="M135" s="134"/>
      <c r="N135" s="134"/>
      <c r="O135" s="134"/>
      <c r="P135" s="134"/>
      <c r="Q135" s="134"/>
      <c r="R135" s="134"/>
      <c r="S135" s="134"/>
      <c r="T135" s="134"/>
      <c r="U135" s="134"/>
    </row>
    <row customHeight="1" ht="14.25">
      <c r="A136" s="586"/>
      <c r="B136" s="586"/>
      <c r="C136" s="586"/>
      <c r="D136" s="586"/>
      <c r="E136" s="286">
        <v>3671</v>
      </c>
      <c r="F136" s="133"/>
      <c r="G136" s="133"/>
      <c r="H136" s="286">
        <v>37648</v>
      </c>
      <c r="I136" s="133"/>
      <c r="J136" s="286">
        <v>4036</v>
      </c>
      <c r="K136" s="286">
        <v>49569</v>
      </c>
      <c r="L136" s="133"/>
      <c r="M136" s="134"/>
      <c r="N136" s="134"/>
      <c r="O136" s="134"/>
      <c r="P136" s="134"/>
      <c r="Q136" s="134"/>
      <c r="R136" s="134"/>
      <c r="S136" s="134"/>
      <c r="T136" s="134"/>
      <c r="U136" s="134"/>
    </row>
    <row customHeight="1" ht="14.25">
      <c r="A137" s="586"/>
      <c r="B137" s="586"/>
      <c r="C137" s="586"/>
      <c r="D137" s="586"/>
      <c r="E137" s="286"/>
      <c r="F137" s="133"/>
      <c r="G137" s="133"/>
      <c r="H137" s="286"/>
      <c r="I137" s="133"/>
      <c r="J137" s="286"/>
      <c r="K137" s="286"/>
      <c r="L137" s="133"/>
      <c r="M137" s="134"/>
      <c r="N137" s="134"/>
      <c r="O137" s="134"/>
      <c r="P137" s="134"/>
      <c r="Q137" s="134"/>
      <c r="R137" s="134"/>
      <c r="S137" s="134"/>
      <c r="T137" s="134"/>
      <c r="U137" s="134"/>
    </row>
    <row customHeight="1" ht="14.25">
      <c r="A138" s="586"/>
      <c r="B138" s="586"/>
      <c r="C138" s="586"/>
      <c r="D138" s="586"/>
      <c r="E138" s="286">
        <v>6938.88</v>
      </c>
      <c r="F138" s="133"/>
      <c r="G138" s="133"/>
      <c r="H138" s="286">
        <v>6938.88</v>
      </c>
      <c r="I138" s="133"/>
      <c r="J138" s="286">
        <v>5079.1</v>
      </c>
      <c r="K138" s="286">
        <v>49370.66</v>
      </c>
      <c r="L138" s="133"/>
      <c r="M138" s="134"/>
      <c r="N138" s="134"/>
      <c r="O138" s="134"/>
      <c r="P138" s="134"/>
      <c r="Q138" s="134"/>
      <c r="R138" s="134"/>
      <c r="S138" s="134"/>
      <c r="T138" s="134"/>
      <c r="U138" s="134"/>
    </row>
    <row customHeight="1" ht="14.25">
      <c r="A139" s="586"/>
      <c r="B139" s="586"/>
      <c r="C139" s="586"/>
      <c r="D139" s="586"/>
      <c r="E139" s="286"/>
      <c r="F139" s="133"/>
      <c r="G139" s="133"/>
      <c r="H139" s="286"/>
      <c r="I139" s="133"/>
      <c r="J139" s="286"/>
      <c r="K139" s="286"/>
      <c r="L139" s="133"/>
      <c r="M139" s="134"/>
      <c r="N139" s="134"/>
      <c r="O139" s="134"/>
      <c r="P139" s="134"/>
      <c r="Q139" s="134"/>
      <c r="R139" s="134"/>
      <c r="S139" s="134"/>
      <c r="T139" s="134"/>
      <c r="U139" s="134"/>
    </row>
    <row customHeight="1" ht="14.25">
      <c r="A140" s="586"/>
      <c r="B140" s="586"/>
      <c r="C140" s="586"/>
      <c r="D140" s="586"/>
      <c r="E140" s="286">
        <v>666.74</v>
      </c>
      <c r="F140" s="133"/>
      <c r="G140" s="133"/>
      <c r="H140" s="286">
        <v>5098.36</v>
      </c>
      <c r="I140" s="133"/>
      <c r="J140" s="286">
        <v>521.56</v>
      </c>
      <c r="K140" s="286">
        <v>6177.67</v>
      </c>
      <c r="L140" s="133"/>
      <c r="M140" s="134"/>
      <c r="N140" s="134"/>
      <c r="O140" s="134"/>
      <c r="P140" s="134"/>
      <c r="Q140" s="134"/>
      <c r="R140" s="134"/>
      <c r="S140" s="134"/>
      <c r="T140" s="134"/>
      <c r="U140" s="134"/>
    </row>
    <row customHeight="1" ht="14.25">
      <c r="A141" s="586"/>
      <c r="B141" s="586"/>
      <c r="C141" s="586"/>
      <c r="D141" s="586"/>
      <c r="E141" s="286"/>
      <c r="F141" s="133"/>
      <c r="G141" s="133"/>
      <c r="H141" s="286"/>
      <c r="I141" s="133"/>
      <c r="J141" s="286"/>
      <c r="K141" s="286"/>
      <c r="L141" s="133"/>
      <c r="M141" s="134"/>
      <c r="N141" s="134"/>
      <c r="O141" s="134"/>
      <c r="P141" s="134"/>
      <c r="Q141" s="134"/>
      <c r="R141" s="134"/>
      <c r="S141" s="134"/>
      <c r="T141" s="134"/>
      <c r="U141" s="134"/>
    </row>
    <row customHeight="1" ht="14.25">
      <c r="A142" s="586"/>
      <c r="B142" s="586"/>
      <c r="C142" s="770" t="s">
        <v>162</v>
      </c>
      <c r="D142" s="770"/>
      <c r="E142" s="295">
        <v>0</v>
      </c>
      <c r="F142" s="133"/>
      <c r="G142" s="133"/>
      <c r="H142" s="286">
        <v>2830</v>
      </c>
      <c r="I142" s="133"/>
      <c r="J142" s="286">
        <v>0</v>
      </c>
      <c r="K142" s="286">
        <v>3152</v>
      </c>
      <c r="L142" s="133"/>
      <c r="M142" s="134"/>
      <c r="N142" s="134"/>
      <c r="O142" s="134"/>
      <c r="P142" s="134"/>
      <c r="Q142" s="134"/>
      <c r="R142" s="134"/>
      <c r="S142" s="134"/>
      <c r="T142" s="134"/>
      <c r="U142" s="134"/>
    </row>
    <row customHeight="1" ht="14.25">
      <c r="A143" s="586"/>
      <c r="B143" s="586"/>
      <c r="C143" s="770" t="s">
        <v>163</v>
      </c>
      <c r="D143" s="770"/>
      <c r="E143" s="295"/>
      <c r="F143" s="133"/>
      <c r="G143" s="133"/>
      <c r="H143" s="286"/>
      <c r="I143" s="133"/>
      <c r="J143" s="286"/>
      <c r="K143" s="286"/>
      <c r="L143" s="133"/>
      <c r="M143" s="134"/>
      <c r="N143" s="134"/>
      <c r="O143" s="134"/>
      <c r="P143" s="134"/>
      <c r="Q143" s="134"/>
      <c r="R143" s="134"/>
      <c r="S143" s="134"/>
      <c r="T143" s="134"/>
      <c r="U143" s="134"/>
    </row>
    <row customHeight="1" ht="14.25">
      <c r="A144" s="586"/>
      <c r="B144" s="586"/>
      <c r="C144" s="586"/>
      <c r="D144" s="586"/>
      <c r="E144" s="286"/>
      <c r="F144" s="133"/>
      <c r="G144" s="133"/>
      <c r="H144" s="286"/>
      <c r="I144" s="133"/>
      <c r="J144" s="286"/>
      <c r="K144" s="286"/>
      <c r="L144" s="133"/>
      <c r="M144" s="134"/>
      <c r="N144" s="134"/>
      <c r="O144" s="134"/>
      <c r="P144" s="134"/>
      <c r="Q144" s="134"/>
      <c r="R144" s="134"/>
      <c r="S144" s="134"/>
      <c r="T144" s="134"/>
      <c r="U144" s="134"/>
    </row>
    <row customHeight="1" ht="14.25">
      <c r="A145" s="586"/>
      <c r="B145" s="586"/>
      <c r="C145" s="586"/>
      <c r="D145" s="586"/>
      <c r="E145" s="286">
        <v>531433.78</v>
      </c>
      <c r="F145" s="133"/>
      <c r="G145" s="133"/>
      <c r="H145" s="286">
        <v>4500299.88</v>
      </c>
      <c r="I145" s="133"/>
      <c r="J145" s="286">
        <v>417565.62</v>
      </c>
      <c r="K145" s="286">
        <v>5027124.11</v>
      </c>
      <c r="L145" s="133"/>
      <c r="M145" s="134"/>
      <c r="N145" s="134"/>
      <c r="O145" s="134"/>
      <c r="P145" s="134"/>
      <c r="Q145" s="134"/>
      <c r="R145" s="134"/>
      <c r="S145" s="134"/>
      <c r="T145" s="134"/>
      <c r="U145" s="134"/>
    </row>
    <row customHeight="1" ht="14.25">
      <c r="A146" s="586"/>
      <c r="B146" s="586"/>
      <c r="C146" s="586"/>
      <c r="D146" s="586"/>
      <c r="E146" s="286"/>
      <c r="F146" s="133"/>
      <c r="G146" s="133"/>
      <c r="H146" s="286"/>
      <c r="I146" s="133"/>
      <c r="J146" s="286"/>
      <c r="K146" s="286"/>
      <c r="L146" s="133"/>
      <c r="M146" s="134"/>
      <c r="N146" s="134"/>
      <c r="O146" s="134"/>
      <c r="P146" s="134"/>
      <c r="Q146" s="134"/>
      <c r="R146" s="134"/>
      <c r="S146" s="134"/>
      <c r="T146" s="134"/>
      <c r="U146" s="134"/>
    </row>
    <row customHeight="1" ht="14.25">
      <c r="A147" s="586"/>
      <c r="B147" s="586"/>
      <c r="C147" s="586"/>
      <c r="D147" s="586"/>
      <c r="E147" s="286">
        <v>531433.78</v>
      </c>
      <c r="F147" s="133"/>
      <c r="G147" s="133"/>
      <c r="H147" s="286">
        <v>4500299.88</v>
      </c>
      <c r="I147" s="133"/>
      <c r="J147" s="286">
        <v>417565.62</v>
      </c>
      <c r="K147" s="286">
        <v>5027124.11</v>
      </c>
      <c r="L147" s="133"/>
      <c r="M147" s="134"/>
      <c r="N147" s="134"/>
      <c r="O147" s="134"/>
      <c r="P147" s="134"/>
      <c r="Q147" s="134"/>
      <c r="R147" s="134"/>
      <c r="S147" s="134"/>
      <c r="T147" s="134"/>
      <c r="U147" s="134"/>
    </row>
    <row customHeight="1" ht="14.25">
      <c r="A148" s="586"/>
      <c r="B148" s="586"/>
      <c r="C148" s="586"/>
      <c r="D148" s="586"/>
      <c r="E148" s="286"/>
      <c r="F148" s="133"/>
      <c r="G148" s="133"/>
      <c r="H148" s="286"/>
      <c r="I148" s="133"/>
      <c r="J148" s="286"/>
      <c r="K148" s="286"/>
      <c r="L148" s="133"/>
      <c r="M148" s="134"/>
      <c r="N148" s="134"/>
      <c r="O148" s="134"/>
      <c r="P148" s="134"/>
      <c r="Q148" s="134"/>
      <c r="R148" s="134"/>
      <c r="S148" s="134"/>
      <c r="T148" s="134"/>
      <c r="U148" s="134"/>
    </row>
    <row customHeight="1" ht="14.25">
      <c r="A149" s="586"/>
      <c r="B149" s="586"/>
      <c r="C149" s="586"/>
      <c r="D149" s="586"/>
      <c r="E149" s="286"/>
      <c r="F149" s="133"/>
      <c r="G149" s="133"/>
      <c r="H149" s="286"/>
      <c r="I149" s="133"/>
      <c r="J149" s="286"/>
      <c r="K149" s="286"/>
      <c r="L149" s="133"/>
      <c r="M149" s="134"/>
      <c r="N149" s="134"/>
      <c r="O149" s="134"/>
      <c r="P149" s="134"/>
      <c r="Q149" s="134"/>
      <c r="R149" s="134"/>
      <c r="S149" s="134"/>
      <c r="T149" s="134"/>
      <c r="U149" s="134"/>
    </row>
    <row customHeight="1" ht="14.25">
      <c r="A150" s="586"/>
      <c r="B150" s="586"/>
      <c r="C150" s="586"/>
      <c r="D150" s="586"/>
      <c r="E150" s="286"/>
      <c r="F150" s="133"/>
      <c r="G150" s="133"/>
      <c r="H150" s="286"/>
      <c r="I150" s="133"/>
      <c r="J150" s="286"/>
      <c r="K150" s="286"/>
      <c r="L150" s="133"/>
      <c r="M150" s="134"/>
      <c r="N150" s="134"/>
      <c r="O150" s="134"/>
      <c r="P150" s="134"/>
      <c r="Q150" s="134"/>
      <c r="R150" s="134"/>
      <c r="S150" s="134"/>
      <c r="T150" s="134"/>
      <c r="U150" s="134"/>
    </row>
    <row customHeight="1" ht="14.25">
      <c r="A151" s="586"/>
      <c r="B151" s="586"/>
      <c r="C151" s="586"/>
      <c r="D151" s="586"/>
      <c r="E151" s="286"/>
      <c r="F151" s="133"/>
      <c r="G151" s="133"/>
      <c r="H151" s="286"/>
      <c r="I151" s="133"/>
      <c r="J151" s="286"/>
      <c r="K151" s="286"/>
      <c r="L151" s="133"/>
      <c r="M151" s="134"/>
      <c r="N151" s="134"/>
      <c r="O151" s="134"/>
      <c r="P151" s="134"/>
      <c r="Q151" s="134"/>
      <c r="R151" s="134"/>
      <c r="S151" s="134"/>
      <c r="T151" s="134"/>
      <c r="U151" s="134"/>
    </row>
    <row customHeight="1" ht="14.25">
      <c r="A152" s="586"/>
      <c r="B152" s="586"/>
      <c r="C152" s="586"/>
      <c r="D152" s="586"/>
      <c r="E152" s="286"/>
      <c r="F152" s="133"/>
      <c r="G152" s="133"/>
      <c r="H152" s="286"/>
      <c r="I152" s="133"/>
      <c r="J152" s="286"/>
      <c r="K152" s="286"/>
      <c r="L152" s="133"/>
      <c r="M152" s="134"/>
      <c r="N152" s="134"/>
      <c r="O152" s="134"/>
      <c r="P152" s="134"/>
      <c r="Q152" s="134"/>
      <c r="R152" s="134"/>
      <c r="S152" s="134"/>
      <c r="T152" s="134"/>
      <c r="U152" s="134"/>
    </row>
    <row customHeight="1" ht="14.25">
      <c r="A153" s="586"/>
      <c r="B153" s="586"/>
      <c r="C153" s="586"/>
      <c r="D153" s="586"/>
      <c r="E153" s="286"/>
      <c r="F153" s="133"/>
      <c r="G153" s="133"/>
      <c r="H153" s="286"/>
      <c r="I153" s="133"/>
      <c r="J153" s="286"/>
      <c r="K153" s="286"/>
      <c r="L153" s="133"/>
      <c r="M153" s="134"/>
      <c r="N153" s="134"/>
      <c r="O153" s="134"/>
      <c r="P153" s="134"/>
      <c r="Q153" s="134"/>
      <c r="R153" s="134"/>
      <c r="S153" s="134"/>
      <c r="T153" s="134"/>
      <c r="U153" s="134"/>
    </row>
    <row customHeight="1" ht="14.25">
      <c r="A154" s="586"/>
      <c r="B154" s="586"/>
      <c r="C154" s="586"/>
      <c r="D154" s="586"/>
      <c r="E154" s="286"/>
      <c r="F154" s="133"/>
      <c r="G154" s="133"/>
      <c r="H154" s="286"/>
      <c r="I154" s="133"/>
      <c r="J154" s="286"/>
      <c r="K154" s="286"/>
      <c r="L154" s="133"/>
      <c r="M154" s="134"/>
      <c r="N154" s="134"/>
      <c r="O154" s="134"/>
      <c r="P154" s="134"/>
      <c r="Q154" s="134"/>
      <c r="R154" s="134"/>
      <c r="S154" s="134"/>
      <c r="T154" s="134"/>
      <c r="U154" s="134"/>
    </row>
    <row customHeight="1" ht="14.25">
      <c r="A155" s="586"/>
      <c r="B155" s="586"/>
      <c r="C155" s="586"/>
      <c r="D155" s="586"/>
      <c r="E155" s="286"/>
      <c r="F155" s="133"/>
      <c r="G155" s="133"/>
      <c r="H155" s="286"/>
      <c r="I155" s="133"/>
      <c r="J155" s="286"/>
      <c r="K155" s="286"/>
      <c r="L155" s="133"/>
      <c r="M155" s="134"/>
      <c r="N155" s="134"/>
      <c r="O155" s="134"/>
      <c r="P155" s="134"/>
      <c r="Q155" s="134"/>
      <c r="R155" s="134"/>
      <c r="S155" s="134"/>
      <c r="T155" s="134"/>
      <c r="U155" s="134"/>
    </row>
    <row customHeight="1" ht="14.25">
      <c r="A156" s="586"/>
      <c r="B156" s="586"/>
      <c r="C156" s="586"/>
      <c r="D156" s="586"/>
      <c r="E156" s="286">
        <v>26881.22</v>
      </c>
      <c r="F156" s="133"/>
      <c r="G156" s="133"/>
      <c r="H156" s="286">
        <v>278184</v>
      </c>
      <c r="I156" s="133"/>
      <c r="J156" s="296">
        <v>25900.25</v>
      </c>
      <c r="K156" s="296">
        <v>1833916.34</v>
      </c>
      <c r="L156" s="133"/>
      <c r="M156" s="134"/>
      <c r="N156" s="134"/>
      <c r="O156" s="134"/>
      <c r="P156" s="134"/>
      <c r="Q156" s="134"/>
      <c r="R156" s="134"/>
      <c r="S156" s="134"/>
      <c r="T156" s="134"/>
      <c r="U156" s="134"/>
    </row>
    <row customHeight="1" ht="14.25">
      <c r="A157" s="586"/>
      <c r="B157" s="586"/>
      <c r="C157" s="586"/>
      <c r="D157" s="586"/>
      <c r="E157" s="286">
        <v>550368</v>
      </c>
      <c r="F157" s="133"/>
      <c r="G157" s="133"/>
      <c r="H157" s="286">
        <v>4553852</v>
      </c>
      <c r="I157" s="133"/>
      <c r="J157" s="296">
        <v>433198</v>
      </c>
      <c r="K157" s="296">
        <v>31458400</v>
      </c>
      <c r="L157" s="133"/>
      <c r="M157" s="134"/>
      <c r="N157" s="134"/>
      <c r="O157" s="134"/>
      <c r="P157" s="134"/>
      <c r="Q157" s="134"/>
      <c r="R157" s="134"/>
      <c r="S157" s="134"/>
      <c r="T157" s="134"/>
      <c r="U157" s="134"/>
    </row>
    <row customHeight="1" ht="14.25">
      <c r="A158" s="586"/>
      <c r="B158" s="586"/>
      <c r="C158" s="586"/>
      <c r="D158" s="586"/>
      <c r="E158" s="286"/>
      <c r="F158" s="133"/>
      <c r="G158" s="133"/>
      <c r="H158" s="286"/>
      <c r="I158" s="133"/>
      <c r="J158" s="286"/>
      <c r="K158" s="286"/>
      <c r="L158" s="133"/>
      <c r="M158" s="134"/>
      <c r="N158" s="134"/>
      <c r="O158" s="134"/>
      <c r="P158" s="134"/>
      <c r="Q158" s="134"/>
      <c r="R158" s="134"/>
      <c r="S158" s="134"/>
      <c r="T158" s="134"/>
      <c r="U158" s="134"/>
    </row>
    <row customHeight="1" ht="14.25">
      <c r="A159" s="586"/>
      <c r="B159" s="586"/>
      <c r="C159" s="586"/>
      <c r="D159" s="586"/>
      <c r="E159" s="286">
        <v>286850</v>
      </c>
      <c r="F159" s="133"/>
      <c r="G159" s="133"/>
      <c r="H159" s="286">
        <v>2355704</v>
      </c>
      <c r="I159" s="133"/>
      <c r="J159" s="286">
        <v>231779</v>
      </c>
      <c r="K159" s="286">
        <v>2630578</v>
      </c>
      <c r="L159" s="133"/>
      <c r="M159" s="134"/>
      <c r="N159" s="134"/>
      <c r="O159" s="134"/>
      <c r="P159" s="134"/>
      <c r="Q159" s="134"/>
      <c r="R159" s="134"/>
      <c r="S159" s="134"/>
      <c r="T159" s="134"/>
      <c r="U159" s="134"/>
    </row>
    <row customHeight="1" ht="14.25">
      <c r="A160" s="586"/>
      <c r="B160" s="586"/>
      <c r="C160" s="586"/>
      <c r="D160" s="586"/>
      <c r="E160" s="286">
        <v>550368</v>
      </c>
      <c r="F160" s="133"/>
      <c r="G160" s="133"/>
      <c r="H160" s="286">
        <v>4553852</v>
      </c>
      <c r="I160" s="133"/>
      <c r="J160" s="286">
        <v>433198</v>
      </c>
      <c r="K160" s="286">
        <v>5100900</v>
      </c>
      <c r="L160" s="133"/>
      <c r="M160" s="134"/>
      <c r="N160" s="134"/>
      <c r="O160" s="134"/>
      <c r="P160" s="134"/>
      <c r="Q160" s="134"/>
      <c r="R160" s="134"/>
      <c r="S160" s="134"/>
      <c r="T160" s="134"/>
      <c r="U160" s="134"/>
    </row>
    <row customHeight="1" ht="14.25">
      <c r="A161" s="586"/>
      <c r="B161" s="586"/>
      <c r="C161" s="586"/>
      <c r="D161" s="586"/>
      <c r="E161" s="286"/>
      <c r="F161" s="133"/>
      <c r="G161" s="133"/>
      <c r="H161" s="286"/>
      <c r="I161" s="133"/>
      <c r="J161" s="286"/>
      <c r="K161" s="286"/>
      <c r="L161" s="133"/>
      <c r="M161" s="134"/>
      <c r="N161" s="134"/>
      <c r="O161" s="134"/>
      <c r="P161" s="134"/>
      <c r="Q161" s="134"/>
      <c r="R161" s="134"/>
      <c r="S161" s="134"/>
      <c r="T161" s="134"/>
      <c r="U161" s="134"/>
    </row>
    <row customHeight="1" ht="14.25">
      <c r="A162" s="586"/>
      <c r="B162" s="586"/>
      <c r="C162" s="586"/>
      <c r="D162" s="586"/>
      <c r="E162" s="286">
        <v>128734</v>
      </c>
      <c r="F162" s="133"/>
      <c r="G162" s="133"/>
      <c r="H162" s="286">
        <v>1136217</v>
      </c>
      <c r="I162" s="133"/>
      <c r="J162" s="286">
        <v>109905</v>
      </c>
      <c r="K162" s="286">
        <v>1188526</v>
      </c>
      <c r="L162" s="133"/>
      <c r="M162" s="134"/>
      <c r="N162" s="134"/>
      <c r="O162" s="134"/>
      <c r="P162" s="134"/>
      <c r="Q162" s="134"/>
      <c r="R162" s="134"/>
      <c r="S162" s="134"/>
      <c r="T162" s="134"/>
      <c r="U162" s="134"/>
    </row>
    <row customHeight="1" ht="14.25">
      <c r="A163" s="586"/>
      <c r="B163" s="586"/>
      <c r="C163" s="586"/>
      <c r="D163" s="586"/>
      <c r="E163" s="286">
        <v>174870</v>
      </c>
      <c r="F163" s="133"/>
      <c r="G163" s="133"/>
      <c r="H163" s="286">
        <v>1591516</v>
      </c>
      <c r="I163" s="133"/>
      <c r="J163" s="286">
        <v>153134</v>
      </c>
      <c r="K163" s="286">
        <v>1667450</v>
      </c>
      <c r="L163" s="133"/>
      <c r="M163" s="134"/>
      <c r="N163" s="134"/>
      <c r="O163" s="134"/>
      <c r="P163" s="134"/>
      <c r="Q163" s="134"/>
      <c r="R163" s="134"/>
      <c r="S163" s="134"/>
      <c r="T163" s="134"/>
      <c r="U163" s="134"/>
    </row>
    <row customHeight="1" ht="14.25">
      <c r="A164" s="586"/>
      <c r="B164" s="586"/>
      <c r="C164" s="586"/>
      <c r="D164" s="586"/>
      <c r="E164" s="286"/>
      <c r="F164" s="133"/>
      <c r="G164" s="133"/>
      <c r="H164" s="286"/>
      <c r="I164" s="133"/>
      <c r="J164" s="286"/>
      <c r="K164" s="286"/>
      <c r="L164" s="133"/>
      <c r="M164" s="134"/>
      <c r="N164" s="134"/>
      <c r="O164" s="134"/>
      <c r="P164" s="134"/>
      <c r="Q164" s="134"/>
      <c r="R164" s="134"/>
      <c r="S164" s="134"/>
      <c r="T164" s="134"/>
      <c r="U164" s="134"/>
    </row>
    <row customHeight="1" ht="14.25">
      <c r="A165" s="586"/>
      <c r="B165" s="586"/>
      <c r="C165" s="586"/>
      <c r="D165" s="586"/>
      <c r="E165" s="286">
        <v>20523</v>
      </c>
      <c r="F165" s="133"/>
      <c r="G165" s="133"/>
      <c r="H165" s="286">
        <v>210684</v>
      </c>
      <c r="I165" s="133"/>
      <c r="J165" s="286">
        <v>20270</v>
      </c>
      <c r="K165" s="286">
        <v>230013</v>
      </c>
      <c r="L165" s="133"/>
      <c r="M165" s="134"/>
      <c r="N165" s="134"/>
      <c r="O165" s="134"/>
      <c r="P165" s="134"/>
      <c r="Q165" s="134"/>
      <c r="R165" s="134"/>
      <c r="S165" s="134"/>
      <c r="T165" s="134"/>
      <c r="U165" s="134"/>
    </row>
    <row customHeight="1" ht="14.25">
      <c r="A166" s="586"/>
      <c r="B166" s="586"/>
      <c r="C166" s="586"/>
      <c r="D166" s="586"/>
      <c r="E166" s="286">
        <v>174870</v>
      </c>
      <c r="F166" s="133"/>
      <c r="G166" s="133"/>
      <c r="H166" s="286">
        <v>1591516</v>
      </c>
      <c r="I166" s="133"/>
      <c r="J166" s="286">
        <v>153134</v>
      </c>
      <c r="K166" s="286">
        <v>1667450</v>
      </c>
      <c r="L166" s="133"/>
      <c r="M166" s="134"/>
      <c r="N166" s="134"/>
      <c r="O166" s="134"/>
      <c r="P166" s="134"/>
      <c r="Q166" s="134"/>
      <c r="R166" s="134"/>
      <c r="S166" s="134"/>
      <c r="T166" s="134"/>
      <c r="U166" s="134"/>
    </row>
    <row customHeight="1" ht="14.25">
      <c r="A167" s="586"/>
      <c r="B167" s="586"/>
      <c r="C167" s="586"/>
      <c r="D167" s="586"/>
      <c r="E167" s="286"/>
      <c r="F167" s="133"/>
      <c r="G167" s="133"/>
      <c r="H167" s="286"/>
      <c r="I167" s="133"/>
      <c r="J167" s="286"/>
      <c r="K167" s="286"/>
      <c r="L167" s="133"/>
      <c r="M167" s="134"/>
      <c r="N167" s="134"/>
      <c r="O167" s="134"/>
      <c r="P167" s="134"/>
      <c r="Q167" s="134"/>
      <c r="R167" s="134"/>
      <c r="S167" s="134"/>
      <c r="T167" s="134"/>
      <c r="U167" s="134"/>
    </row>
    <row customHeight="1" ht="14.25">
      <c r="A168" s="586"/>
      <c r="B168" s="586"/>
      <c r="C168" s="586"/>
      <c r="D168" s="586"/>
      <c r="E168" s="286">
        <v>102858</v>
      </c>
      <c r="F168" s="133"/>
      <c r="G168" s="133"/>
      <c r="H168" s="286">
        <v>846401</v>
      </c>
      <c r="I168" s="133"/>
      <c r="J168" s="286">
        <v>87687</v>
      </c>
      <c r="K168" s="286">
        <v>950653</v>
      </c>
      <c r="L168" s="133"/>
      <c r="M168" s="134"/>
      <c r="N168" s="134"/>
      <c r="O168" s="134"/>
      <c r="P168" s="134"/>
      <c r="Q168" s="134"/>
      <c r="R168" s="134"/>
      <c r="S168" s="134"/>
      <c r="T168" s="134"/>
      <c r="U168" s="134"/>
    </row>
    <row customHeight="1" ht="14.25">
      <c r="A169" s="586"/>
      <c r="B169" s="586"/>
      <c r="C169" s="586"/>
      <c r="D169" s="586"/>
      <c r="E169" s="286">
        <v>110093</v>
      </c>
      <c r="F169" s="133"/>
      <c r="G169" s="133"/>
      <c r="H169" s="286">
        <v>907947</v>
      </c>
      <c r="I169" s="133"/>
      <c r="J169" s="286">
        <v>93966</v>
      </c>
      <c r="K169" s="286">
        <v>1019022</v>
      </c>
      <c r="L169" s="133"/>
      <c r="M169" s="134"/>
      <c r="N169" s="134"/>
      <c r="O169" s="134"/>
      <c r="P169" s="134"/>
      <c r="Q169" s="134"/>
      <c r="R169" s="134"/>
      <c r="S169" s="134"/>
      <c r="T169" s="134"/>
      <c r="U169" s="134"/>
    </row>
    <row customHeight="1" ht="14.25">
      <c r="A170" s="586"/>
      <c r="B170" s="586"/>
      <c r="C170" s="586"/>
      <c r="D170" s="586"/>
      <c r="E170" s="286"/>
      <c r="F170" s="133"/>
      <c r="G170" s="133"/>
      <c r="H170" s="286"/>
      <c r="I170" s="133"/>
      <c r="J170" s="286"/>
      <c r="K170" s="286"/>
      <c r="L170" s="133"/>
      <c r="M170" s="134"/>
      <c r="N170" s="134"/>
      <c r="O170" s="134"/>
      <c r="P170" s="134"/>
      <c r="Q170" s="134"/>
      <c r="R170" s="134"/>
      <c r="S170" s="134"/>
      <c r="T170" s="134"/>
      <c r="U170" s="134"/>
    </row>
    <row customHeight="1" ht="14.25">
      <c r="A171" s="586"/>
      <c r="B171" s="586"/>
      <c r="C171" s="586"/>
      <c r="D171" s="586"/>
      <c r="E171" s="286">
        <v>98586</v>
      </c>
      <c r="F171" s="133"/>
      <c r="G171" s="133"/>
      <c r="H171" s="286">
        <v>763443</v>
      </c>
      <c r="I171" s="133"/>
      <c r="J171" s="286">
        <v>75052</v>
      </c>
      <c r="K171" s="286">
        <v>817000</v>
      </c>
      <c r="L171" s="133"/>
      <c r="M171" s="134"/>
      <c r="N171" s="134"/>
      <c r="O171" s="134"/>
      <c r="P171" s="134"/>
      <c r="Q171" s="134"/>
      <c r="R171" s="134"/>
      <c r="S171" s="134"/>
      <c r="T171" s="134"/>
      <c r="U171" s="134"/>
    </row>
    <row customHeight="1" ht="14.25">
      <c r="A172" s="586"/>
      <c r="B172" s="586"/>
      <c r="C172" s="586"/>
      <c r="D172" s="586"/>
      <c r="E172" s="286">
        <v>99150</v>
      </c>
      <c r="F172" s="133"/>
      <c r="G172" s="133"/>
      <c r="H172" s="286">
        <v>769527</v>
      </c>
      <c r="I172" s="133"/>
      <c r="J172" s="286">
        <v>75564</v>
      </c>
      <c r="K172" s="286">
        <v>823073</v>
      </c>
      <c r="L172" s="133"/>
      <c r="M172" s="134"/>
      <c r="N172" s="134"/>
      <c r="O172" s="134"/>
      <c r="P172" s="134"/>
      <c r="Q172" s="134"/>
      <c r="R172" s="134"/>
      <c r="S172" s="134"/>
      <c r="T172" s="134"/>
      <c r="U172" s="134"/>
    </row>
    <row customHeight="1" ht="14.25">
      <c r="A173" s="586"/>
      <c r="B173" s="586"/>
      <c r="C173" s="586"/>
      <c r="D173" s="586"/>
      <c r="E173" s="286"/>
      <c r="F173" s="133"/>
      <c r="G173" s="133"/>
      <c r="H173" s="286"/>
      <c r="I173" s="133"/>
      <c r="J173" s="286"/>
      <c r="K173" s="286"/>
      <c r="L173" s="133"/>
      <c r="M173" s="134"/>
      <c r="N173" s="134"/>
      <c r="O173" s="134"/>
      <c r="P173" s="134"/>
      <c r="Q173" s="134"/>
      <c r="R173" s="134"/>
      <c r="S173" s="134"/>
      <c r="T173" s="134"/>
      <c r="U173" s="134"/>
    </row>
    <row customHeight="1" ht="14.25">
      <c r="A174" s="586"/>
      <c r="B174" s="586"/>
      <c r="C174" s="586"/>
      <c r="D174" s="586"/>
      <c r="E174" s="286">
        <v>201273</v>
      </c>
      <c r="F174" s="133"/>
      <c r="G174" s="133"/>
      <c r="H174" s="286">
        <v>1723471</v>
      </c>
      <c r="I174" s="133"/>
      <c r="J174" s="286">
        <v>171097</v>
      </c>
      <c r="K174" s="286">
        <v>1918309</v>
      </c>
      <c r="L174" s="133"/>
      <c r="M174" s="134"/>
      <c r="N174" s="134"/>
      <c r="O174" s="134"/>
      <c r="P174" s="134"/>
      <c r="Q174" s="134"/>
      <c r="R174" s="134"/>
      <c r="S174" s="134"/>
      <c r="T174" s="134"/>
      <c r="U174" s="134"/>
    </row>
    <row customHeight="1" ht="14.25">
      <c r="A175" s="586"/>
      <c r="B175" s="586"/>
      <c r="C175" s="586"/>
      <c r="D175" s="586"/>
      <c r="E175" s="286">
        <v>202494</v>
      </c>
      <c r="F175" s="133"/>
      <c r="G175" s="133"/>
      <c r="H175" s="286">
        <v>1736966</v>
      </c>
      <c r="I175" s="133"/>
      <c r="J175" s="286">
        <v>172264</v>
      </c>
      <c r="K175" s="286">
        <v>1933004</v>
      </c>
      <c r="L175" s="133"/>
      <c r="M175" s="134"/>
      <c r="N175" s="134"/>
      <c r="O175" s="134"/>
      <c r="P175" s="134"/>
      <c r="Q175" s="134"/>
      <c r="R175" s="134"/>
      <c r="S175" s="134"/>
      <c r="T175" s="134"/>
      <c r="U175" s="134"/>
    </row>
    <row customHeight="1" ht="14.25">
      <c r="A176" s="586"/>
      <c r="B176" s="586"/>
      <c r="C176" s="586"/>
      <c r="D176" s="586"/>
      <c r="E176" s="286"/>
      <c r="F176" s="133"/>
      <c r="G176" s="133"/>
      <c r="H176" s="286"/>
      <c r="I176" s="133"/>
      <c r="J176" s="286"/>
      <c r="K176" s="286"/>
      <c r="L176" s="133"/>
      <c r="M176" s="134"/>
      <c r="N176" s="134"/>
      <c r="O176" s="134"/>
      <c r="P176" s="134"/>
      <c r="Q176" s="134"/>
      <c r="R176" s="134"/>
      <c r="S176" s="134"/>
      <c r="T176" s="134"/>
      <c r="U176" s="134"/>
    </row>
    <row customHeight="1" ht="14.25">
      <c r="A177" s="586"/>
      <c r="B177" s="586"/>
      <c r="C177" s="586"/>
      <c r="D177" s="586"/>
      <c r="E177" s="286">
        <v>531379.86</v>
      </c>
      <c r="F177" s="133"/>
      <c r="G177" s="133"/>
      <c r="H177" s="286">
        <v>4457298.6</v>
      </c>
      <c r="I177" s="133"/>
      <c r="J177" s="286">
        <v>433130.56</v>
      </c>
      <c r="K177" s="286">
        <v>5042491.11</v>
      </c>
      <c r="L177" s="133"/>
      <c r="M177" s="134"/>
      <c r="N177" s="134"/>
      <c r="O177" s="134"/>
      <c r="P177" s="134"/>
      <c r="Q177" s="134"/>
      <c r="R177" s="134"/>
      <c r="S177" s="134"/>
      <c r="T177" s="134"/>
      <c r="U177" s="134"/>
    </row>
    <row customHeight="1" ht="14.25">
      <c r="A178" s="586"/>
      <c r="B178" s="586"/>
      <c r="C178" s="586"/>
      <c r="D178" s="586"/>
      <c r="E178" s="286"/>
      <c r="F178" s="133"/>
      <c r="G178" s="133"/>
      <c r="H178" s="286"/>
      <c r="I178" s="133"/>
      <c r="J178" s="286"/>
      <c r="K178" s="286"/>
      <c r="L178" s="133"/>
      <c r="M178" s="134"/>
      <c r="N178" s="134"/>
      <c r="O178" s="134"/>
      <c r="P178" s="134"/>
      <c r="Q178" s="134"/>
      <c r="R178" s="134"/>
      <c r="S178" s="134"/>
      <c r="T178" s="134"/>
      <c r="U178" s="134"/>
    </row>
    <row customHeight="1" ht="14.25">
      <c r="A179" s="586"/>
      <c r="B179" s="586"/>
      <c r="C179" s="586"/>
      <c r="D179" s="586"/>
      <c r="E179" s="286">
        <v>531433.78</v>
      </c>
      <c r="F179" s="133"/>
      <c r="G179" s="133"/>
      <c r="H179" s="286">
        <v>4500299.88</v>
      </c>
      <c r="I179" s="133"/>
      <c r="J179" s="286">
        <v>417565.62</v>
      </c>
      <c r="K179" s="286">
        <v>5027124.11</v>
      </c>
      <c r="L179" s="133"/>
      <c r="M179" s="134"/>
      <c r="N179" s="134"/>
      <c r="O179" s="134"/>
      <c r="P179" s="134"/>
      <c r="Q179" s="134"/>
      <c r="R179" s="134"/>
      <c r="S179" s="134"/>
      <c r="T179" s="134"/>
      <c r="U179" s="134"/>
    </row>
    <row customHeight="1" ht="14.25">
      <c r="A180" s="586"/>
      <c r="B180" s="586"/>
      <c r="C180" s="586"/>
      <c r="D180" s="586"/>
      <c r="E180" s="286">
        <v>565972</v>
      </c>
      <c r="F180" s="133"/>
      <c r="G180" s="133"/>
      <c r="H180" s="286">
        <v>4811616.58</v>
      </c>
      <c r="I180" s="133"/>
      <c r="J180" s="286">
        <v>445769</v>
      </c>
      <c r="K180" s="286">
        <v>5340945.44</v>
      </c>
      <c r="L180" s="133"/>
      <c r="M180" s="134"/>
      <c r="N180" s="134"/>
      <c r="O180" s="134"/>
      <c r="P180" s="134"/>
      <c r="Q180" s="134"/>
      <c r="R180" s="134"/>
      <c r="S180" s="134"/>
      <c r="T180" s="134"/>
      <c r="U180" s="134"/>
    </row>
    <row customHeight="1" ht="14.25">
      <c r="A181" s="586"/>
      <c r="B181" s="586"/>
      <c r="C181" s="586"/>
      <c r="D181" s="586"/>
      <c r="E181" s="286"/>
      <c r="F181" s="133"/>
      <c r="G181" s="133"/>
      <c r="H181" s="286"/>
      <c r="I181" s="133"/>
      <c r="J181" s="286"/>
      <c r="K181" s="286"/>
      <c r="L181" s="133"/>
      <c r="M181" s="134"/>
      <c r="N181" s="134"/>
      <c r="O181" s="134"/>
      <c r="P181" s="134"/>
      <c r="Q181" s="134"/>
      <c r="R181" s="134"/>
      <c r="S181" s="134"/>
      <c r="T181" s="134"/>
      <c r="U181" s="134"/>
    </row>
    <row customHeight="1" ht="14.25">
      <c r="A182" s="586"/>
      <c r="B182" s="586"/>
      <c r="C182" s="586"/>
      <c r="D182" s="586"/>
      <c r="E182" s="286">
        <v>25952</v>
      </c>
      <c r="F182" s="133"/>
      <c r="G182" s="133"/>
      <c r="H182" s="286">
        <v>257157</v>
      </c>
      <c r="I182" s="133"/>
      <c r="J182" s="286">
        <v>23945.5</v>
      </c>
      <c r="K182" s="286">
        <v>263776.5</v>
      </c>
      <c r="L182" s="133"/>
      <c r="M182" s="134"/>
      <c r="N182" s="134"/>
      <c r="O182" s="134"/>
      <c r="P182" s="134"/>
      <c r="Q182" s="134"/>
      <c r="R182" s="134"/>
      <c r="S182" s="134"/>
      <c r="T182" s="134"/>
      <c r="U182" s="134"/>
    </row>
    <row customHeight="1" ht="14.25">
      <c r="A183" s="586"/>
      <c r="B183" s="586"/>
      <c r="C183" s="586"/>
      <c r="D183" s="586"/>
      <c r="E183" s="286">
        <v>565972</v>
      </c>
      <c r="F183" s="133"/>
      <c r="G183" s="133"/>
      <c r="H183" s="286">
        <v>4811616.58</v>
      </c>
      <c r="I183" s="133"/>
      <c r="J183" s="286">
        <v>445769</v>
      </c>
      <c r="K183" s="286">
        <v>5340945.44</v>
      </c>
      <c r="L183" s="133"/>
      <c r="M183" s="134"/>
      <c r="N183" s="134"/>
      <c r="O183" s="134"/>
      <c r="P183" s="134"/>
      <c r="Q183" s="134"/>
      <c r="R183" s="134"/>
      <c r="S183" s="134"/>
      <c r="T183" s="134"/>
      <c r="U183" s="134"/>
    </row>
    <row customHeight="1" ht="14.25">
      <c r="A184" s="586"/>
      <c r="B184" s="586"/>
      <c r="C184" s="586"/>
      <c r="D184" s="586"/>
      <c r="E184" s="286"/>
      <c r="F184" s="133"/>
      <c r="G184" s="133"/>
      <c r="H184" s="286"/>
      <c r="I184" s="133"/>
      <c r="J184" s="286"/>
      <c r="K184" s="286"/>
      <c r="L184" s="133"/>
      <c r="M184" s="134"/>
      <c r="N184" s="134"/>
      <c r="O184" s="134"/>
      <c r="P184" s="134"/>
      <c r="Q184" s="134"/>
      <c r="R184" s="134"/>
      <c r="S184" s="134"/>
      <c r="T184" s="134"/>
      <c r="U184" s="134"/>
    </row>
    <row customHeight="1" ht="14.25">
      <c r="A185" s="586"/>
      <c r="B185" s="586"/>
      <c r="C185" s="586"/>
      <c r="D185" s="586"/>
      <c r="E185" s="286">
        <v>8626</v>
      </c>
      <c r="F185" s="133"/>
      <c r="G185" s="133"/>
      <c r="H185" s="286">
        <v>54572</v>
      </c>
      <c r="I185" s="133"/>
      <c r="J185" s="286">
        <v>4298.53999999998</v>
      </c>
      <c r="K185" s="286">
        <v>51073.94000000001</v>
      </c>
      <c r="L185" s="133"/>
      <c r="M185" s="134"/>
      <c r="N185" s="134"/>
      <c r="O185" s="134"/>
      <c r="P185" s="134"/>
      <c r="Q185" s="134"/>
      <c r="R185" s="134"/>
      <c r="S185" s="134"/>
      <c r="T185" s="134"/>
      <c r="U185" s="134"/>
    </row>
    <row customHeight="1" ht="14.25">
      <c r="A186" s="586"/>
      <c r="B186" s="586"/>
      <c r="C186" s="586"/>
      <c r="D186" s="586"/>
      <c r="E186" s="286">
        <v>565972</v>
      </c>
      <c r="F186" s="133"/>
      <c r="G186" s="133"/>
      <c r="H186" s="286">
        <v>4811616.58</v>
      </c>
      <c r="I186" s="133"/>
      <c r="J186" s="286">
        <v>445769</v>
      </c>
      <c r="K186" s="286">
        <v>5340945.44</v>
      </c>
      <c r="L186" s="133"/>
      <c r="M186" s="134"/>
      <c r="N186" s="134"/>
      <c r="O186" s="134"/>
      <c r="P186" s="134"/>
      <c r="Q186" s="134"/>
      <c r="R186" s="134"/>
      <c r="S186" s="134"/>
      <c r="T186" s="134"/>
      <c r="U186" s="134"/>
    </row>
    <row customHeight="1" ht="14.25">
      <c r="A187" s="586"/>
      <c r="B187" s="586"/>
      <c r="C187" s="586"/>
      <c r="D187" s="586"/>
      <c r="E187" s="286"/>
      <c r="F187" s="133"/>
      <c r="G187" s="133"/>
      <c r="H187" s="286"/>
      <c r="I187" s="133"/>
      <c r="J187" s="286"/>
      <c r="K187" s="286"/>
      <c r="L187" s="133"/>
      <c r="M187" s="134"/>
      <c r="N187" s="134"/>
      <c r="O187" s="134"/>
      <c r="P187" s="134"/>
      <c r="Q187" s="134"/>
      <c r="R187" s="134"/>
      <c r="S187" s="134"/>
      <c r="T187" s="134"/>
      <c r="U187" s="134"/>
    </row>
    <row customHeight="1" ht="14.25">
      <c r="A188" s="586"/>
      <c r="B188" s="586"/>
      <c r="C188" s="586"/>
      <c r="D188" s="586"/>
      <c r="E188" s="286">
        <v>26881.22</v>
      </c>
      <c r="F188" s="133"/>
      <c r="G188" s="133"/>
      <c r="H188" s="286">
        <v>278306.27</v>
      </c>
      <c r="I188" s="133"/>
      <c r="J188" s="286">
        <v>25900.25</v>
      </c>
      <c r="K188" s="286">
        <v>297248.05</v>
      </c>
      <c r="L188" s="133"/>
      <c r="M188" s="134"/>
      <c r="N188" s="134"/>
      <c r="O188" s="134"/>
      <c r="P188" s="134"/>
      <c r="Q188" s="134"/>
      <c r="R188" s="134"/>
      <c r="S188" s="134"/>
      <c r="T188" s="134"/>
      <c r="U188" s="134"/>
    </row>
    <row customHeight="1" ht="14.25">
      <c r="A189" s="586"/>
      <c r="B189" s="586"/>
      <c r="C189" s="586"/>
      <c r="D189" s="586"/>
      <c r="E189" s="286">
        <v>550368</v>
      </c>
      <c r="F189" s="133"/>
      <c r="G189" s="133"/>
      <c r="H189" s="286">
        <v>4553852</v>
      </c>
      <c r="I189" s="133"/>
      <c r="J189" s="286">
        <v>433198</v>
      </c>
      <c r="K189" s="286">
        <v>5180498</v>
      </c>
      <c r="L189" s="133"/>
      <c r="M189" s="134"/>
      <c r="N189" s="134"/>
      <c r="O189" s="134"/>
      <c r="P189" s="134"/>
      <c r="Q189" s="134"/>
      <c r="R189" s="134"/>
      <c r="S189" s="134"/>
      <c r="T189" s="134"/>
      <c r="U189" s="134"/>
    </row>
    <row customHeight="1" ht="14.25">
      <c r="A190" s="586"/>
      <c r="B190" s="586"/>
      <c r="C190" s="586"/>
      <c r="D190" s="586"/>
      <c r="E190" s="286"/>
      <c r="F190" s="133"/>
      <c r="G190" s="133"/>
      <c r="H190" s="286"/>
      <c r="I190" s="133"/>
      <c r="J190" s="286"/>
      <c r="K190" s="286"/>
      <c r="L190" s="133"/>
      <c r="M190" s="134"/>
      <c r="N190" s="134"/>
      <c r="O190" s="134"/>
      <c r="P190" s="134"/>
      <c r="Q190" s="134"/>
      <c r="R190" s="134"/>
      <c r="S190" s="134"/>
      <c r="T190" s="134"/>
      <c r="U190" s="134"/>
    </row>
    <row customHeight="1" ht="14.25">
      <c r="A191" s="586"/>
      <c r="B191" s="586"/>
      <c r="C191" s="586"/>
      <c r="D191" s="586"/>
      <c r="E191" s="286">
        <v>27244</v>
      </c>
      <c r="F191" s="133"/>
      <c r="G191" s="133"/>
      <c r="H191" s="286">
        <v>244455</v>
      </c>
      <c r="I191" s="133"/>
      <c r="J191" s="286">
        <v>23787</v>
      </c>
      <c r="K191" s="286">
        <v>281308</v>
      </c>
      <c r="L191" s="133"/>
      <c r="M191" s="134"/>
      <c r="N191" s="134"/>
      <c r="O191" s="134"/>
      <c r="P191" s="134"/>
      <c r="Q191" s="134"/>
      <c r="R191" s="134"/>
      <c r="S191" s="134"/>
      <c r="T191" s="134"/>
      <c r="U191" s="134"/>
    </row>
    <row customHeight="1" ht="14.25">
      <c r="A192" s="586"/>
      <c r="B192" s="586"/>
      <c r="C192" s="586"/>
      <c r="D192" s="586"/>
      <c r="E192" s="286"/>
      <c r="F192" s="133"/>
      <c r="G192" s="133"/>
      <c r="H192" s="286">
        <v>7596</v>
      </c>
      <c r="I192" s="133"/>
      <c r="J192" s="286">
        <v>0</v>
      </c>
      <c r="K192" s="286">
        <v>22245</v>
      </c>
      <c r="L192" s="133"/>
      <c r="M192" s="134"/>
      <c r="N192" s="134"/>
      <c r="O192" s="134"/>
      <c r="P192" s="134"/>
      <c r="Q192" s="134"/>
      <c r="R192" s="134"/>
      <c r="S192" s="134"/>
      <c r="T192" s="134"/>
      <c r="U192" s="134"/>
    </row>
    <row customHeight="1" ht="14.25">
      <c r="A193" s="586"/>
      <c r="B193" s="586"/>
      <c r="C193" s="586"/>
      <c r="D193" s="586"/>
      <c r="E193" s="286"/>
      <c r="F193" s="133"/>
      <c r="G193" s="133"/>
      <c r="H193" s="286"/>
      <c r="I193" s="133"/>
      <c r="J193" s="286"/>
      <c r="K193" s="286"/>
      <c r="L193" s="133"/>
      <c r="M193" s="134"/>
      <c r="N193" s="134"/>
      <c r="O193" s="134"/>
      <c r="P193" s="134"/>
      <c r="Q193" s="134"/>
      <c r="R193" s="134"/>
      <c r="S193" s="134"/>
      <c r="T193" s="134"/>
      <c r="U193" s="134"/>
    </row>
    <row customHeight="1" ht="14.25">
      <c r="A194" s="586"/>
      <c r="B194" s="586"/>
      <c r="C194" s="586"/>
      <c r="D194" s="586"/>
      <c r="E194" s="286">
        <v>1467</v>
      </c>
      <c r="F194" s="133"/>
      <c r="G194" s="133"/>
      <c r="H194" s="286">
        <v>40209</v>
      </c>
      <c r="I194" s="133"/>
      <c r="J194" s="286">
        <v>6111</v>
      </c>
      <c r="K194" s="286">
        <v>41139</v>
      </c>
      <c r="L194" s="133"/>
      <c r="M194" s="134"/>
      <c r="N194" s="134"/>
      <c r="O194" s="134"/>
      <c r="P194" s="134"/>
      <c r="Q194" s="134"/>
      <c r="R194" s="134"/>
      <c r="S194" s="134"/>
      <c r="T194" s="134"/>
      <c r="U194" s="134"/>
    </row>
    <row customHeight="1" ht="14.25">
      <c r="A195" s="586"/>
      <c r="B195" s="586"/>
      <c r="C195" s="586"/>
      <c r="D195" s="586"/>
      <c r="E195" s="286"/>
      <c r="F195" s="133"/>
      <c r="G195" s="133"/>
      <c r="H195" s="286"/>
      <c r="I195" s="133"/>
      <c r="J195" s="286"/>
      <c r="K195" s="286"/>
      <c r="L195" s="133"/>
      <c r="M195" s="134"/>
      <c r="N195" s="134"/>
      <c r="O195" s="134"/>
      <c r="P195" s="134"/>
      <c r="Q195" s="134"/>
      <c r="R195" s="134"/>
      <c r="S195" s="134"/>
      <c r="T195" s="134"/>
      <c r="U195" s="134"/>
    </row>
    <row customHeight="1" ht="14.25">
      <c r="A196" s="586"/>
      <c r="B196" s="586"/>
      <c r="C196" s="586"/>
      <c r="D196" s="586"/>
      <c r="E196" s="286">
        <v>1073</v>
      </c>
      <c r="F196" s="133"/>
      <c r="G196" s="133"/>
      <c r="H196" s="286">
        <v>38445</v>
      </c>
      <c r="I196" s="133"/>
      <c r="J196" s="286">
        <v>3547</v>
      </c>
      <c r="K196" s="286">
        <v>16721</v>
      </c>
      <c r="L196" s="133"/>
      <c r="M196" s="134"/>
      <c r="N196" s="134"/>
      <c r="O196" s="134"/>
      <c r="P196" s="134"/>
      <c r="Q196" s="134"/>
      <c r="R196" s="134"/>
      <c r="S196" s="134"/>
      <c r="T196" s="134"/>
      <c r="U196" s="134"/>
    </row>
    <row customHeight="1" ht="14.25">
      <c r="A197" s="586"/>
      <c r="B197" s="586"/>
      <c r="C197" s="586"/>
      <c r="D197" s="586"/>
      <c r="E197" s="286"/>
      <c r="F197" s="133"/>
      <c r="G197" s="133"/>
      <c r="H197" s="286"/>
      <c r="I197" s="133"/>
      <c r="J197" s="286"/>
      <c r="K197" s="286"/>
      <c r="L197" s="133"/>
      <c r="M197" s="134"/>
      <c r="N197" s="134"/>
      <c r="O197" s="134"/>
      <c r="P197" s="134"/>
      <c r="Q197" s="134"/>
      <c r="R197" s="134"/>
      <c r="S197" s="134"/>
      <c r="T197" s="134"/>
      <c r="U197" s="134"/>
    </row>
    <row customHeight="1" ht="14.25">
      <c r="A198" s="586"/>
      <c r="B198" s="586"/>
      <c r="C198" s="586"/>
      <c r="D198" s="586"/>
      <c r="E198" s="286">
        <v>184</v>
      </c>
      <c r="F198" s="133"/>
      <c r="G198" s="133"/>
      <c r="H198" s="286">
        <v>1611</v>
      </c>
      <c r="I198" s="133"/>
      <c r="J198" s="286">
        <v>148</v>
      </c>
      <c r="K198" s="286">
        <v>1719</v>
      </c>
      <c r="L198" s="133"/>
      <c r="M198" s="134"/>
      <c r="N198" s="134"/>
      <c r="O198" s="134"/>
      <c r="P198" s="134"/>
      <c r="Q198" s="134"/>
      <c r="R198" s="134"/>
      <c r="S198" s="134"/>
      <c r="T198" s="134"/>
      <c r="U198" s="134"/>
    </row>
    <row customHeight="1" ht="14.25">
      <c r="A199" s="586"/>
      <c r="B199" s="586"/>
      <c r="C199" s="586"/>
      <c r="D199" s="586"/>
      <c r="E199" s="286">
        <v>184</v>
      </c>
      <c r="F199" s="133"/>
      <c r="G199" s="133"/>
      <c r="H199" s="286">
        <v>1611</v>
      </c>
      <c r="I199" s="133"/>
      <c r="J199" s="286">
        <v>148</v>
      </c>
      <c r="K199" s="286">
        <v>1719</v>
      </c>
      <c r="L199" s="133"/>
      <c r="M199" s="134"/>
      <c r="N199" s="134"/>
      <c r="O199" s="134"/>
      <c r="P199" s="134"/>
      <c r="Q199" s="134"/>
      <c r="R199" s="134"/>
      <c r="S199" s="134"/>
      <c r="T199" s="134"/>
      <c r="U199" s="134"/>
    </row>
    <row customHeight="1" ht="14.25">
      <c r="A200" s="586"/>
      <c r="B200" s="586"/>
      <c r="C200" s="586"/>
      <c r="D200" s="586"/>
      <c r="E200" s="286"/>
      <c r="F200" s="133"/>
      <c r="G200" s="133"/>
      <c r="H200" s="286">
        <v>0</v>
      </c>
      <c r="I200" s="133"/>
      <c r="J200" s="133"/>
      <c r="K200" s="133"/>
      <c r="L200" s="133"/>
      <c r="M200" s="134" t="s">
        <v>156</v>
      </c>
      <c r="N200" s="134"/>
      <c r="O200" s="134"/>
      <c r="P200" s="134"/>
      <c r="Q200" s="134"/>
      <c r="R200" s="134"/>
      <c r="S200" s="134"/>
      <c r="T200" s="134"/>
      <c r="U200" s="134"/>
    </row>
    <row customHeight="1" ht="14.25">
      <c r="A201" s="586"/>
      <c r="B201" s="586"/>
      <c r="C201" s="528" t="s">
        <v>164</v>
      </c>
      <c r="D201" s="586"/>
      <c r="E201" s="297">
        <v>0</v>
      </c>
      <c r="F201" s="586"/>
      <c r="G201" s="586"/>
      <c r="H201" s="297">
        <v>0</v>
      </c>
      <c r="I201" s="586"/>
      <c r="J201" s="586"/>
      <c r="K201" s="586"/>
      <c r="L201" s="586"/>
      <c r="M201" s="521"/>
      <c r="N201" s="521"/>
      <c r="O201" s="521"/>
      <c r="P201" s="521"/>
      <c r="Q201" s="521"/>
      <c r="R201" s="521"/>
      <c r="S201" s="521"/>
      <c r="T201" s="521"/>
      <c r="U201" s="521"/>
    </row>
  </sheetData>
  <mergeCells count="12">
    <mergeCell ref="B1:L1"/>
    <mergeCell ref="C2:I2"/>
    <mergeCell ref="J2:L2"/>
    <mergeCell ref="D3:F3"/>
    <mergeCell ref="G3:I3"/>
    <mergeCell ref="J3:K3"/>
    <mergeCell ref="C93:F93"/>
    <mergeCell ref="G93:I93"/>
    <mergeCell ref="K93:L93"/>
    <mergeCell ref="B3:B4"/>
    <mergeCell ref="C3:C4"/>
    <mergeCell ref="L3:L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09FC5BE-4375-FF58-438A-FFB1BEFDE41D}" mc:Ignorable="x14ac xr xr2 xr3">
  <dimension ref="A1:L148"/>
  <sheetViews>
    <sheetView showGridLines="0"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defaultColWidth="9.00390625" customHeight="1" defaultRowHeight="14.4525"/>
  <cols>
    <col min="1" max="1" style="179" width="2.7109375" customWidth="1"/>
    <col min="2" max="2" style="179" width="31.00390625" customWidth="1"/>
    <col min="3" max="3" style="179" width="7.7109375" customWidth="1"/>
    <col min="4" max="4" style="179" width="10.7109375" customWidth="1"/>
    <col min="5" max="5" style="180" width="10.7109375" customWidth="1"/>
    <col min="6" max="7" style="179" width="10.7109375" customWidth="1"/>
    <col min="8" max="8" style="180" width="10.7109375" customWidth="1"/>
    <col min="9" max="12" style="179" width="10.7109375" customWidth="1"/>
  </cols>
  <sheetData>
    <row customHeight="1" ht="25.5">
      <c r="A1" s="384"/>
      <c r="B1" s="432" t="s">
        <v>165</v>
      </c>
      <c r="C1" s="432"/>
      <c r="D1" s="432"/>
      <c r="E1" s="433"/>
      <c r="F1" s="432"/>
      <c r="G1" s="432"/>
      <c r="H1" s="433"/>
      <c r="I1" s="432"/>
      <c r="J1" s="432"/>
      <c r="K1" s="432"/>
      <c r="L1" s="432"/>
    </row>
    <row s="178" customFormat="1" customHeight="1" ht="18.75">
      <c r="A2" s="435"/>
      <c r="B2" s="546" t="s">
        <v>1</v>
      </c>
      <c r="C2" s="547"/>
      <c r="D2" s="547" t="s">
        <v>2</v>
      </c>
      <c r="E2" s="547"/>
      <c r="F2" s="547"/>
      <c r="G2" s="547"/>
      <c r="H2" s="547"/>
      <c r="I2" s="547"/>
      <c r="J2" s="550" t="s">
        <v>3</v>
      </c>
      <c r="K2" s="550"/>
      <c r="L2" s="550"/>
    </row>
    <row customHeight="1" ht="14.25">
      <c r="A3" s="384"/>
      <c r="B3" s="185" t="s">
        <v>4</v>
      </c>
      <c r="C3" s="186" t="s">
        <v>5</v>
      </c>
      <c r="D3" s="186" t="s">
        <v>6</v>
      </c>
      <c r="E3" s="187"/>
      <c r="F3" s="186"/>
      <c r="G3" s="186" t="s">
        <v>7</v>
      </c>
      <c r="H3" s="187"/>
      <c r="I3" s="186"/>
      <c r="J3" s="773" t="s">
        <v>8</v>
      </c>
      <c r="K3" s="774"/>
      <c r="L3" s="215" t="s">
        <v>9</v>
      </c>
    </row>
    <row customHeight="1" ht="14.25">
      <c r="A4" s="384"/>
      <c r="B4" s="188"/>
      <c r="C4" s="189"/>
      <c r="D4" s="189" t="s">
        <v>10</v>
      </c>
      <c r="E4" s="104" t="s">
        <v>11</v>
      </c>
      <c r="F4" s="189" t="s">
        <v>12</v>
      </c>
      <c r="G4" s="189" t="s">
        <v>13</v>
      </c>
      <c r="H4" s="104" t="s">
        <v>14</v>
      </c>
      <c r="I4" s="189" t="s">
        <v>12</v>
      </c>
      <c r="J4" s="451" t="s">
        <v>15</v>
      </c>
      <c r="K4" s="451" t="s">
        <v>16</v>
      </c>
      <c r="L4" s="452"/>
    </row>
    <row customHeight="1" ht="14.25">
      <c r="A5" s="384"/>
      <c r="B5" s="453" t="s">
        <v>17</v>
      </c>
      <c r="C5" s="500"/>
      <c r="D5" s="695"/>
      <c r="E5" s="451"/>
      <c r="F5" s="501"/>
      <c r="G5" s="695"/>
      <c r="H5" s="459"/>
      <c r="I5" s="501"/>
      <c r="J5" s="459"/>
      <c r="K5" s="459"/>
      <c r="L5" s="460"/>
    </row>
    <row customHeight="1" ht="14.25">
      <c r="A6" s="384"/>
      <c r="B6" s="461" t="s">
        <v>18</v>
      </c>
      <c r="C6" s="454" t="s">
        <v>19</v>
      </c>
      <c r="D6" s="462" t="str">
        <f>_xlfn.IFERROR(IF(石化取值!D6=0,"",石化取值!D6),"")</f>
        <v/>
      </c>
      <c r="E6" s="481">
        <f>_xlfn.IFERROR(SUM(E7:E15),"")</f>
        <v>17142.02</v>
      </c>
      <c r="F6" s="463"/>
      <c r="G6" s="462" t="str">
        <f>_xlfn.IFERROR(IF(石化取值!G6=0,"",石化取值!G6),"")</f>
        <v/>
      </c>
      <c r="H6" s="200">
        <f>_xlfn.IFERROR(SUM(H7:H15),"")</f>
        <v>144598.64</v>
      </c>
      <c r="I6" s="501"/>
      <c r="J6" s="696">
        <v>9202.36</v>
      </c>
      <c r="K6" s="696">
        <v>152556.32</v>
      </c>
      <c r="L6" s="460">
        <f>_xlfn.IFERROR(H6-K6,"")</f>
        <v>-7957.67999999999</v>
      </c>
    </row>
    <row customHeight="1" ht="14.25">
      <c r="A7" s="384"/>
      <c r="B7" s="461" t="s">
        <v>20</v>
      </c>
      <c r="C7" s="454" t="s">
        <v>19</v>
      </c>
      <c r="D7" s="558" t="str">
        <f>_xlfn.IFERROR(IF(石化取值!D7=0,"",石化取值!D7),"")</f>
        <v/>
      </c>
      <c r="E7" s="202"/>
      <c r="F7" s="463"/>
      <c r="G7" s="558" t="str">
        <f>_xlfn.IFERROR(IF(石化取值!G7=0,"",石化取值!G7),"")</f>
        <v/>
      </c>
      <c r="H7" s="200"/>
      <c r="I7" s="501"/>
      <c r="J7" s="696"/>
      <c r="K7" s="696"/>
      <c r="L7" s="460">
        <f>_xlfn.IFERROR(H7-K7,"")</f>
        <v>0</v>
      </c>
    </row>
    <row customHeight="1" ht="14.25">
      <c r="A8" s="384"/>
      <c r="B8" s="461" t="s">
        <v>21</v>
      </c>
      <c r="C8" s="454" t="s">
        <v>19</v>
      </c>
      <c r="D8" s="558">
        <v>9000</v>
      </c>
      <c r="E8" s="202">
        <f>_xlfn.IFERROR(石化取值!E8,"")</f>
        <v>10396.72</v>
      </c>
      <c r="F8" s="463">
        <f>_xlfn.IFERROR(E8/石化取值!D8*100,"")</f>
        <v>115.519111111111</v>
      </c>
      <c r="G8" s="558">
        <v>114272</v>
      </c>
      <c r="H8" s="200">
        <f>_xlfn.IFERROR(石化取值!H8,"")</f>
        <v>80486.04</v>
      </c>
      <c r="I8" s="501">
        <f>_xlfn.IFERROR(H8/石化取值!G8*100,"")</f>
        <v>70.4337370484458</v>
      </c>
      <c r="J8" s="696">
        <v>7264.46</v>
      </c>
      <c r="K8" s="696">
        <v>91923.3</v>
      </c>
      <c r="L8" s="460">
        <f>_xlfn.IFERROR(H8-K8,"")</f>
        <v>-11437.26</v>
      </c>
    </row>
    <row customHeight="1" ht="14.25">
      <c r="A9" s="384"/>
      <c r="B9" s="461" t="s">
        <v>22</v>
      </c>
      <c r="C9" s="454" t="s">
        <v>19</v>
      </c>
      <c r="D9" s="558" t="str">
        <f>_xlfn.IFERROR(IF(石化取值!D9=0,"",石化取值!D9),"")</f>
        <v/>
      </c>
      <c r="E9" s="202">
        <f>_xlfn.IFERROR(石化取值!E9,"")</f>
        <v>0</v>
      </c>
      <c r="F9" s="463" t="str">
        <f>_xlfn.IFERROR(E9/石化取值!D9*100,"")</f>
        <v/>
      </c>
      <c r="G9" s="558" t="str">
        <f>_xlfn.IFERROR(IF(石化取值!G9=0,"",石化取值!G9),"")</f>
        <v/>
      </c>
      <c r="H9" s="200">
        <f>_xlfn.IFERROR(石化取值!H9,"")</f>
        <v>0</v>
      </c>
      <c r="I9" s="501" t="str">
        <f>_xlfn.IFERROR(H9/石化取值!G9*100,"")</f>
        <v/>
      </c>
      <c r="J9" s="696">
        <v>0</v>
      </c>
      <c r="K9" s="696">
        <v>0</v>
      </c>
      <c r="L9" s="460">
        <f>_xlfn.IFERROR(H9-K9,"")</f>
        <v>0</v>
      </c>
    </row>
    <row customHeight="1" ht="14.25">
      <c r="A10" s="384"/>
      <c r="B10" s="461" t="s">
        <v>23</v>
      </c>
      <c r="C10" s="454" t="s">
        <v>19</v>
      </c>
      <c r="D10" s="558" t="str">
        <f>_xlfn.IFERROR(IF(石化取值!D10=0,"",石化取值!D10),"")</f>
        <v/>
      </c>
      <c r="E10" s="202">
        <f>_xlfn.IFERROR(石化取值!E10,"")</f>
        <v>0</v>
      </c>
      <c r="F10" s="463" t="str">
        <f>_xlfn.IFERROR(E10/石化取值!D10*100,"")</f>
        <v/>
      </c>
      <c r="G10" s="558" t="str">
        <f>_xlfn.IFERROR(IF(石化取值!G10=0,"",石化取值!G10),"")</f>
        <v/>
      </c>
      <c r="H10" s="200">
        <f>_xlfn.IFERROR(石化取值!H10,"")</f>
        <v>0</v>
      </c>
      <c r="I10" s="501" t="str">
        <f>_xlfn.IFERROR(H10/石化取值!G10*100,"")</f>
        <v/>
      </c>
      <c r="J10" s="696">
        <v>0</v>
      </c>
      <c r="K10" s="696">
        <v>0</v>
      </c>
      <c r="L10" s="460">
        <f>_xlfn.IFERROR(H10-K10,"")</f>
        <v>0</v>
      </c>
    </row>
    <row customHeight="1" ht="14.25">
      <c r="A11" s="384"/>
      <c r="B11" s="461" t="s">
        <v>24</v>
      </c>
      <c r="C11" s="454" t="s">
        <v>19</v>
      </c>
      <c r="D11" s="558" t="str">
        <f>_xlfn.IFERROR(IF(石化取值!D11=0,"",石化取值!D11),"")</f>
        <v/>
      </c>
      <c r="E11" s="202">
        <f>_xlfn.IFERROR(石化取值!E11,"")</f>
        <v>0</v>
      </c>
      <c r="F11" s="463" t="str">
        <f>_xlfn.IFERROR(E11/石化取值!D11*100,"")</f>
        <v/>
      </c>
      <c r="G11" s="558" t="str">
        <f>_xlfn.IFERROR(IF(石化取值!G11=0,"",石化取值!G11),"")</f>
        <v/>
      </c>
      <c r="H11" s="200">
        <f>_xlfn.IFERROR(石化取值!H11,"")</f>
        <v>0</v>
      </c>
      <c r="I11" s="501" t="str">
        <f>_xlfn.IFERROR(H11/石化取值!G11*100,"")</f>
        <v/>
      </c>
      <c r="J11" s="696">
        <v>0</v>
      </c>
      <c r="K11" s="696">
        <v>0</v>
      </c>
      <c r="L11" s="460">
        <f>_xlfn.IFERROR(H11-K11,"")</f>
        <v>0</v>
      </c>
    </row>
    <row customHeight="1" ht="14.25">
      <c r="A12" s="384"/>
      <c r="B12" s="461" t="s">
        <v>25</v>
      </c>
      <c r="C12" s="454" t="s">
        <v>19</v>
      </c>
      <c r="D12" s="558" t="str">
        <f>_xlfn.IFERROR(IF(石化取值!D12=0,"",石化取值!D12),"")</f>
        <v/>
      </c>
      <c r="E12" s="202"/>
      <c r="F12" s="463" t="str">
        <f>_xlfn.IFERROR(E12/石化取值!D12*100,"")</f>
        <v/>
      </c>
      <c r="G12" s="558" t="str">
        <f>_xlfn.IFERROR(IF(石化取值!G12=0,"",石化取值!G12),"")</f>
        <v/>
      </c>
      <c r="H12" s="200"/>
      <c r="I12" s="501" t="str">
        <f>_xlfn.IFERROR(H12/石化取值!G12*100,"")</f>
        <v/>
      </c>
      <c r="J12" s="696">
        <v>0</v>
      </c>
      <c r="K12" s="696">
        <v>0</v>
      </c>
      <c r="L12" s="460">
        <f>_xlfn.IFERROR(H12-K12,"")</f>
        <v>0</v>
      </c>
    </row>
    <row customHeight="1" ht="14.25">
      <c r="A13" s="384"/>
      <c r="B13" s="461" t="s">
        <v>26</v>
      </c>
      <c r="C13" s="454" t="s">
        <v>19</v>
      </c>
      <c r="D13" s="558" t="str">
        <f>_xlfn.IFERROR(IF(石化取值!D13=0,"",石化取值!D13),"")</f>
        <v/>
      </c>
      <c r="E13" s="202">
        <f>_xlfn.IFERROR(石化取值!E13,"")</f>
        <v>0</v>
      </c>
      <c r="F13" s="463" t="str">
        <f>_xlfn.IFERROR(E13/石化取值!D13*100,"")</f>
        <v/>
      </c>
      <c r="G13" s="558" t="str">
        <f>_xlfn.IFERROR(IF(石化取值!G13=0,"",石化取值!G13),"")</f>
        <v/>
      </c>
      <c r="H13" s="200">
        <f>_xlfn.IFERROR(石化取值!H13,"")</f>
        <v>0</v>
      </c>
      <c r="I13" s="501" t="str">
        <f>_xlfn.IFERROR(H13/石化取值!G13*100,"")</f>
        <v/>
      </c>
      <c r="J13" s="696">
        <v>0</v>
      </c>
      <c r="K13" s="696">
        <v>0</v>
      </c>
      <c r="L13" s="460">
        <f>_xlfn.IFERROR(H13-K13,"")</f>
        <v>0</v>
      </c>
    </row>
    <row customHeight="1" ht="14.25">
      <c r="A14" s="384"/>
      <c r="B14" s="461" t="s">
        <v>27</v>
      </c>
      <c r="C14" s="454" t="s">
        <v>19</v>
      </c>
      <c r="D14" s="558" t="str">
        <f>_xlfn.IFERROR(IF(石化取值!D14=0,"",石化取值!D14),"")</f>
        <v/>
      </c>
      <c r="E14" s="202">
        <f>_xlfn.IFERROR(石化取值!E14,"")</f>
        <v>0</v>
      </c>
      <c r="F14" s="463" t="str">
        <f>_xlfn.IFERROR(E14/石化取值!D14*100,"")</f>
        <v/>
      </c>
      <c r="G14" s="558" t="str">
        <f>_xlfn.IFERROR(IF(石化取值!G14=0,"",石化取值!G14),"")</f>
        <v/>
      </c>
      <c r="H14" s="200">
        <f>_xlfn.IFERROR(石化取值!H14,"")</f>
        <v>0</v>
      </c>
      <c r="I14" s="501" t="str">
        <f>_xlfn.IFERROR(H14/石化取值!G14*100,"")</f>
        <v/>
      </c>
      <c r="J14" s="696">
        <v>0</v>
      </c>
      <c r="K14" s="696">
        <v>0</v>
      </c>
      <c r="L14" s="460">
        <f>_xlfn.IFERROR(H14-K14,"")</f>
        <v>0</v>
      </c>
    </row>
    <row customHeight="1" ht="14.25">
      <c r="A15" s="384"/>
      <c r="B15" s="461" t="s">
        <v>28</v>
      </c>
      <c r="C15" s="454" t="s">
        <v>19</v>
      </c>
      <c r="D15" s="558" t="str">
        <f>_xlfn.IFERROR(IF(石化取值!D15=0,"",石化取值!D15),"")</f>
        <v/>
      </c>
      <c r="E15" s="202">
        <f>_xlfn.IFERROR(石化取值!E15,"")</f>
        <v>6745.3</v>
      </c>
      <c r="F15" s="463" t="str">
        <f>_xlfn.IFERROR(E15/石化取值!D15*100,"")</f>
        <v/>
      </c>
      <c r="G15" s="558">
        <v>50000</v>
      </c>
      <c r="H15" s="200">
        <f>_xlfn.IFERROR(石化取值!H15,"")</f>
        <v>64112.6</v>
      </c>
      <c r="I15" s="501">
        <f>_xlfn.IFERROR(H15/石化取值!G15*100,"")</f>
        <v>128.2252</v>
      </c>
      <c r="J15" s="696">
        <v>1937.9</v>
      </c>
      <c r="K15" s="696">
        <v>60633.02</v>
      </c>
      <c r="L15" s="460">
        <f>_xlfn.IFERROR(H15-K15,"")</f>
        <v>3479.58</v>
      </c>
    </row>
    <row customHeight="1" ht="14.25">
      <c r="A16" s="384"/>
      <c r="B16" s="461" t="s">
        <v>29</v>
      </c>
      <c r="C16" s="454" t="s">
        <v>19</v>
      </c>
      <c r="D16" s="558" t="str">
        <f>_xlfn.IFERROR(IF(石化取值!D16=0,"",石化取值!D16),"")</f>
        <v/>
      </c>
      <c r="E16" s="202">
        <f>_xlfn.IFERROR(石化取值!E16,"")</f>
        <v>0</v>
      </c>
      <c r="F16" s="463" t="str">
        <f>_xlfn.IFERROR(E16/石化取值!D16*100,"")</f>
        <v/>
      </c>
      <c r="G16" s="558" t="str">
        <f>_xlfn.IFERROR(IF(石化取值!G16=0,"",石化取值!G16),"")</f>
        <v/>
      </c>
      <c r="H16" s="200">
        <f>_xlfn.IFERROR(石化取值!H16,"")</f>
        <v>0</v>
      </c>
      <c r="I16" s="501" t="str">
        <f>_xlfn.IFERROR(H16/石化取值!G16*100,"")</f>
        <v/>
      </c>
      <c r="J16" s="696">
        <v>0</v>
      </c>
      <c r="K16" s="696">
        <v>0</v>
      </c>
      <c r="L16" s="460">
        <f>_xlfn.IFERROR(H16-K16,"")</f>
        <v>0</v>
      </c>
    </row>
    <row customHeight="1" ht="14.25">
      <c r="A17" s="384"/>
      <c r="B17" s="461" t="s">
        <v>130</v>
      </c>
      <c r="C17" s="454" t="s">
        <v>19</v>
      </c>
      <c r="D17" s="558" t="str">
        <f>_xlfn.IFERROR(IF(石化取值!D17=0,"",石化取值!D17),"")</f>
        <v/>
      </c>
      <c r="E17" s="202">
        <f>_xlfn.IFERROR(石化取值!E17,"")</f>
        <v>0</v>
      </c>
      <c r="F17" s="463" t="str">
        <f>_xlfn.IFERROR(E17/石化取值!D17*100,"")</f>
        <v/>
      </c>
      <c r="G17" s="558" t="str">
        <f>_xlfn.IFERROR(IF(石化取值!G17=0,"",石化取值!G17),"")</f>
        <v/>
      </c>
      <c r="H17" s="200">
        <f>_xlfn.IFERROR(石化取值!H17,"")</f>
        <v>0</v>
      </c>
      <c r="I17" s="501" t="str">
        <f>_xlfn.IFERROR(H17/石化取值!G17*100,"")</f>
        <v/>
      </c>
      <c r="J17" s="696">
        <v>0</v>
      </c>
      <c r="K17" s="696">
        <v>0</v>
      </c>
      <c r="L17" s="460">
        <f>_xlfn.IFERROR(H17-K17,"")</f>
        <v>0</v>
      </c>
    </row>
    <row customHeight="1" ht="14.25">
      <c r="A18" s="384"/>
      <c r="B18" s="465" t="s">
        <v>166</v>
      </c>
      <c r="C18" s="466" t="s">
        <v>19</v>
      </c>
      <c r="D18" s="558" t="str">
        <f>_xlfn.IFERROR(IF(石化取值!D18=0,"",石化取值!D18),"")</f>
        <v/>
      </c>
      <c r="E18" s="564">
        <v>0</v>
      </c>
      <c r="F18" s="468" t="str">
        <f>_xlfn.IFERROR(E18/石化取值!D18*100,"")</f>
        <v/>
      </c>
      <c r="G18" s="558" t="str">
        <f>_xlfn.IFERROR(IF(石化取值!G18=0,"",石化取值!G18),"")</f>
        <v/>
      </c>
      <c r="H18" s="775">
        <v>0</v>
      </c>
      <c r="I18" s="565" t="str">
        <f>_xlfn.IFERROR(H18/石化取值!G18*100,"")</f>
        <v/>
      </c>
      <c r="J18" s="699">
        <v>0</v>
      </c>
      <c r="K18" s="699">
        <v>0</v>
      </c>
      <c r="L18" s="471">
        <f>_xlfn.IFERROR(H18-K18,"")</f>
        <v>0</v>
      </c>
    </row>
    <row customHeight="1" ht="14.25">
      <c r="A19" s="384"/>
      <c r="B19" s="461" t="s">
        <v>32</v>
      </c>
      <c r="C19" s="454" t="s">
        <v>19</v>
      </c>
      <c r="D19" s="558" t="str">
        <f>_xlfn.IFERROR(IF(石化取值!D19=0,"",石化取值!D19),"")</f>
        <v/>
      </c>
      <c r="E19" s="202">
        <f>_xlfn.IFERROR(石化取值!E19,"")</f>
        <v>0</v>
      </c>
      <c r="F19" s="463" t="str">
        <f>_xlfn.IFERROR(E19/石化取值!D19*100,"")</f>
        <v/>
      </c>
      <c r="G19" s="558" t="str">
        <f>_xlfn.IFERROR(IF(石化取值!G19=0,"",石化取值!G19),"")</f>
        <v/>
      </c>
      <c r="H19" s="200">
        <f>_xlfn.IFERROR(石化取值!H19,"")</f>
        <v>0</v>
      </c>
      <c r="I19" s="501" t="str">
        <f>_xlfn.IFERROR(H19/石化取值!G19*100,"")</f>
        <v/>
      </c>
      <c r="J19" s="696">
        <v>0</v>
      </c>
      <c r="K19" s="696">
        <v>0</v>
      </c>
      <c r="L19" s="460">
        <f>_xlfn.IFERROR(H19-K19,"")</f>
        <v>0</v>
      </c>
    </row>
    <row customHeight="1" ht="14.25">
      <c r="A20" s="384"/>
      <c r="B20" s="461" t="s">
        <v>33</v>
      </c>
      <c r="C20" s="454" t="s">
        <v>19</v>
      </c>
      <c r="D20" s="558" t="str">
        <f>_xlfn.IFERROR(IF(石化取值!D20=0,"",石化取值!D20),"")</f>
        <v/>
      </c>
      <c r="E20" s="202">
        <f>_xlfn.IFERROR(石化取值!E20,"")</f>
        <v>0</v>
      </c>
      <c r="F20" s="463" t="str">
        <f>_xlfn.IFERROR(E20/石化取值!D20*100,"")</f>
        <v/>
      </c>
      <c r="G20" s="558" t="str">
        <f>_xlfn.IFERROR(IF(石化取值!G20=0,"",石化取值!G20),"")</f>
        <v/>
      </c>
      <c r="H20" s="200">
        <f>_xlfn.IFERROR(石化取值!H20,"")</f>
        <v>0</v>
      </c>
      <c r="I20" s="501" t="str">
        <f>_xlfn.IFERROR(H20/石化取值!G20*100,"")</f>
        <v/>
      </c>
      <c r="J20" s="696">
        <v>0</v>
      </c>
      <c r="K20" s="696">
        <v>0</v>
      </c>
      <c r="L20" s="460">
        <f>_xlfn.IFERROR(H20-K20,"")</f>
        <v>0</v>
      </c>
    </row>
    <row customHeight="1" ht="14.25">
      <c r="A21" s="384"/>
      <c r="B21" s="461" t="s">
        <v>34</v>
      </c>
      <c r="C21" s="454" t="s">
        <v>19</v>
      </c>
      <c r="D21" s="558">
        <v>120000</v>
      </c>
      <c r="E21" s="202">
        <f>_xlfn.IFERROR(石化取值!E21,"")</f>
        <v>120602</v>
      </c>
      <c r="F21" s="463">
        <f>_xlfn.IFERROR(E21/石化取值!D21*100,"")</f>
        <v>100.501666666667</v>
      </c>
      <c r="G21" s="558">
        <v>1430000</v>
      </c>
      <c r="H21" s="200">
        <f>_xlfn.IFERROR(石化取值!H21,"")</f>
        <v>1364477</v>
      </c>
      <c r="I21" s="501">
        <f>_xlfn.IFERROR(H21/石化取值!G21*100,"")</f>
        <v>95.417972027972</v>
      </c>
      <c r="J21" s="696">
        <v>116179</v>
      </c>
      <c r="K21" s="696">
        <v>1243604</v>
      </c>
      <c r="L21" s="460">
        <f>_xlfn.IFERROR(H21-K21,"")</f>
        <v>120873</v>
      </c>
    </row>
    <row customHeight="1" ht="14.25">
      <c r="A22" s="384"/>
      <c r="B22" s="461" t="s">
        <v>35</v>
      </c>
      <c r="C22" s="454" t="s">
        <v>19</v>
      </c>
      <c r="D22" s="558" t="str">
        <f>_xlfn.IFERROR(IF(石化取值!D22=0,"",石化取值!D22),"")</f>
        <v/>
      </c>
      <c r="E22" s="202">
        <f>_xlfn.IFERROR(石化取值!E22,"")</f>
        <v>0</v>
      </c>
      <c r="F22" s="463" t="str">
        <f>_xlfn.IFERROR(E22/石化取值!D22*100,"")</f>
        <v/>
      </c>
      <c r="G22" s="558" t="str">
        <f>_xlfn.IFERROR(IF(石化取值!G22=0,"",石化取值!G22),"")</f>
        <v/>
      </c>
      <c r="H22" s="200">
        <f>_xlfn.IFERROR(石化取值!H22,"")</f>
        <v>0</v>
      </c>
      <c r="I22" s="501" t="str">
        <f>_xlfn.IFERROR(H22/石化取值!G22*100,"")</f>
        <v/>
      </c>
      <c r="J22" s="696">
        <v>0</v>
      </c>
      <c r="K22" s="696">
        <v>0</v>
      </c>
      <c r="L22" s="460">
        <f>_xlfn.IFERROR(H22-K22,"")</f>
        <v>0</v>
      </c>
    </row>
    <row customHeight="1" ht="14.25">
      <c r="A23" s="384"/>
      <c r="B23" s="461" t="s">
        <v>36</v>
      </c>
      <c r="C23" s="454" t="s">
        <v>19</v>
      </c>
      <c r="D23" s="558" t="str">
        <f>_xlfn.IFERROR(IF(石化取值!D23=0,"",石化取值!D23),"")</f>
        <v/>
      </c>
      <c r="E23" s="202">
        <f>_xlfn.IFERROR(石化取值!E23,"")</f>
        <v>0</v>
      </c>
      <c r="F23" s="463" t="str">
        <f>_xlfn.IFERROR(E23/石化取值!D23*100,"")</f>
        <v/>
      </c>
      <c r="G23" s="558" t="str">
        <f>_xlfn.IFERROR(IF(石化取值!G23=0,"",石化取值!G23),"")</f>
        <v/>
      </c>
      <c r="H23" s="200">
        <f>_xlfn.IFERROR(石化取值!H23,"")</f>
        <v>0</v>
      </c>
      <c r="I23" s="501" t="str">
        <f>_xlfn.IFERROR(H23/石化取值!G23*100,"")</f>
        <v/>
      </c>
      <c r="J23" s="696">
        <v>0</v>
      </c>
      <c r="K23" s="696">
        <v>0</v>
      </c>
      <c r="L23" s="460">
        <f>_xlfn.IFERROR(H23-K23,"")</f>
        <v>0</v>
      </c>
    </row>
    <row customHeight="1" ht="14.25">
      <c r="A24" s="384"/>
      <c r="B24" s="461" t="s">
        <v>37</v>
      </c>
      <c r="C24" s="454" t="s">
        <v>19</v>
      </c>
      <c r="D24" s="558">
        <v>119000</v>
      </c>
      <c r="E24" s="202">
        <f>_xlfn.IFERROR(石化取值!E24,"")</f>
        <v>124858</v>
      </c>
      <c r="F24" s="463">
        <f>_xlfn.IFERROR(E24/石化取值!D24*100,"")</f>
        <v>104.92268907563</v>
      </c>
      <c r="G24" s="558">
        <v>1460000</v>
      </c>
      <c r="H24" s="200">
        <f>_xlfn.IFERROR(石化取值!H24,"")</f>
        <v>1289549</v>
      </c>
      <c r="I24" s="501">
        <f>_xlfn.IFERROR(H24/石化取值!G24*100,"")</f>
        <v>88.3252739726027</v>
      </c>
      <c r="J24" s="696">
        <v>125697</v>
      </c>
      <c r="K24" s="696">
        <v>1389269</v>
      </c>
      <c r="L24" s="460">
        <f>_xlfn.IFERROR(H24-K24,"")</f>
        <v>-99720</v>
      </c>
    </row>
    <row customHeight="1" ht="14.25">
      <c r="A25" s="384"/>
      <c r="B25" s="461" t="s">
        <v>38</v>
      </c>
      <c r="C25" s="454" t="s">
        <v>19</v>
      </c>
      <c r="D25" s="558">
        <v>209000</v>
      </c>
      <c r="E25" s="202">
        <f>_xlfn.IFERROR(石化取值!E25,"")</f>
        <v>223525</v>
      </c>
      <c r="F25" s="463">
        <f>_xlfn.IFERROR(E25/石化取值!D25*100,"")</f>
        <v>106.94976076555</v>
      </c>
      <c r="G25" s="558">
        <v>2760000</v>
      </c>
      <c r="H25" s="200">
        <f>_xlfn.IFERROR(石化取值!H25,"")</f>
        <v>2702048</v>
      </c>
      <c r="I25" s="501">
        <f>_xlfn.IFERROR(H25/石化取值!G25*100,"")</f>
        <v>97.9002898550725</v>
      </c>
      <c r="J25" s="696">
        <v>206515</v>
      </c>
      <c r="K25" s="696">
        <v>2563471</v>
      </c>
      <c r="L25" s="460">
        <f>_xlfn.IFERROR(H25-K25,"")</f>
        <v>138577</v>
      </c>
    </row>
    <row customHeight="1" ht="14.25">
      <c r="A26" s="384"/>
      <c r="B26" s="461" t="s">
        <v>39</v>
      </c>
      <c r="C26" s="454" t="s">
        <v>19</v>
      </c>
      <c r="D26" s="558">
        <v>55800</v>
      </c>
      <c r="E26" s="202">
        <f>_xlfn.IFERROR(石化取值!E26,"")</f>
        <v>53873</v>
      </c>
      <c r="F26" s="463">
        <f>_xlfn.IFERROR(E26/石化取值!D26*100,"")</f>
        <v>96.5465949820788</v>
      </c>
      <c r="G26" s="558">
        <v>600000</v>
      </c>
      <c r="H26" s="200">
        <f>_xlfn.IFERROR(石化取值!H26,"")</f>
        <v>603872</v>
      </c>
      <c r="I26" s="501">
        <f>_xlfn.IFERROR(H26/石化取值!G26*100,"")</f>
        <v>100.645333333333</v>
      </c>
      <c r="J26" s="696">
        <v>55942</v>
      </c>
      <c r="K26" s="696">
        <v>603693</v>
      </c>
      <c r="L26" s="460">
        <f>_xlfn.IFERROR(H26-K26,"")</f>
        <v>179</v>
      </c>
    </row>
    <row customHeight="1" ht="14.25">
      <c r="A27" s="384"/>
      <c r="B27" s="461" t="s">
        <v>40</v>
      </c>
      <c r="C27" s="454" t="s">
        <v>19</v>
      </c>
      <c r="D27" s="558" t="str">
        <f>_xlfn.IFERROR(IF(石化取值!D27=0,"",石化取值!D27),"")</f>
        <v/>
      </c>
      <c r="E27" s="202">
        <f>_xlfn.IFERROR(石化取值!E27,"")</f>
        <v>0</v>
      </c>
      <c r="F27" s="463" t="str">
        <f>_xlfn.IFERROR(E27/石化取值!D27*100,"")</f>
        <v/>
      </c>
      <c r="G27" s="558" t="str">
        <f>_xlfn.IFERROR(IF(石化取值!G27=0,"",石化取值!G27),"")</f>
        <v/>
      </c>
      <c r="H27" s="200">
        <f>_xlfn.IFERROR(石化取值!H27,"")</f>
        <v>0</v>
      </c>
      <c r="I27" s="501" t="str">
        <f>_xlfn.IFERROR(H27/石化取值!G27*100,"")</f>
        <v/>
      </c>
      <c r="J27" s="696">
        <v>0</v>
      </c>
      <c r="K27" s="696">
        <v>0</v>
      </c>
      <c r="L27" s="460">
        <f>_xlfn.IFERROR(H27-K27,"")</f>
        <v>0</v>
      </c>
    </row>
    <row customHeight="1" ht="14.25">
      <c r="A28" s="384"/>
      <c r="B28" s="461" t="s">
        <v>41</v>
      </c>
      <c r="C28" s="454" t="s">
        <v>19</v>
      </c>
      <c r="D28" s="558" t="str">
        <f>_xlfn.IFERROR(IF(石化取值!D28=0,"",石化取值!D28),"")</f>
        <v/>
      </c>
      <c r="E28" s="202">
        <f>_xlfn.IFERROR(石化取值!E28,"")</f>
        <v>29971</v>
      </c>
      <c r="F28" s="463" t="str">
        <f>_xlfn.IFERROR(E28/石化取值!D28*100,"")</f>
        <v/>
      </c>
      <c r="G28" s="558">
        <v>306492</v>
      </c>
      <c r="H28" s="200">
        <f>_xlfn.IFERROR(石化取值!H28,"")</f>
        <v>317896.8</v>
      </c>
      <c r="I28" s="501">
        <f>_xlfn.IFERROR(H28/石化取值!G28*100,"")</f>
        <v>103.721075917153</v>
      </c>
      <c r="J28" s="696">
        <v>29161</v>
      </c>
      <c r="K28" s="696">
        <v>313358</v>
      </c>
      <c r="L28" s="460">
        <f>_xlfn.IFERROR(H28-K28,"")</f>
        <v>4538.79999999999</v>
      </c>
    </row>
    <row customHeight="1" ht="14.25">
      <c r="A29" s="384"/>
      <c r="B29" s="461" t="s">
        <v>42</v>
      </c>
      <c r="C29" s="454" t="s">
        <v>19</v>
      </c>
      <c r="D29" s="558" t="str">
        <f>_xlfn.IFERROR(IF(石化取值!D29=0,"",石化取值!D29),"")</f>
        <v/>
      </c>
      <c r="E29" s="202">
        <f>_xlfn.IFERROR(石化取值!E29,"")</f>
        <v>56218</v>
      </c>
      <c r="F29" s="463" t="str">
        <f>_xlfn.IFERROR(E29/石化取值!D29*100,"")</f>
        <v/>
      </c>
      <c r="G29" s="558">
        <v>450000</v>
      </c>
      <c r="H29" s="200">
        <f>_xlfn.IFERROR(石化取值!H29,"")</f>
        <v>486669</v>
      </c>
      <c r="I29" s="501">
        <f>_xlfn.IFERROR(H29/石化取值!G29*100,"")</f>
        <v>108.148666666667</v>
      </c>
      <c r="J29" s="696">
        <v>40798</v>
      </c>
      <c r="K29" s="696">
        <v>517512</v>
      </c>
      <c r="L29" s="460">
        <f>_xlfn.IFERROR(H29-K29,"")</f>
        <v>-30843</v>
      </c>
    </row>
    <row customHeight="1" ht="14.25">
      <c r="A30" s="384"/>
      <c r="B30" s="453" t="s">
        <v>43</v>
      </c>
      <c r="C30" s="454"/>
      <c r="D30" s="201"/>
      <c r="E30" s="202"/>
      <c r="F30" s="463"/>
      <c r="G30" s="201"/>
      <c r="H30" s="200"/>
      <c r="I30" s="501"/>
      <c r="J30" s="218"/>
      <c r="K30" s="218"/>
      <c r="L30" s="460"/>
    </row>
    <row customHeight="1" ht="14.25">
      <c r="A31" s="384"/>
      <c r="B31" s="473" t="s">
        <v>44</v>
      </c>
      <c r="C31" s="454" t="s">
        <v>19</v>
      </c>
      <c r="D31" s="558" t="str">
        <f>_xlfn.IFERROR(IF(石化取值!D31=0,"",石化取值!D31),"")</f>
        <v/>
      </c>
      <c r="E31" s="202"/>
      <c r="F31" s="463" t="str">
        <f>_xlfn.IFERROR(E31/石化取值!D31*100,"")</f>
        <v/>
      </c>
      <c r="G31" s="558" t="str">
        <f>_xlfn.IFERROR(IF(石化取值!G31=0,"",石化取值!G31),"")</f>
        <v/>
      </c>
      <c r="H31" s="200"/>
      <c r="I31" s="501" t="str">
        <f>_xlfn.IFERROR(H31/石化取值!G31*100,"")</f>
        <v/>
      </c>
      <c r="J31" s="696"/>
      <c r="K31" s="696"/>
      <c r="L31" s="460">
        <f>_xlfn.IFERROR(H31-K31,"")</f>
        <v>0</v>
      </c>
    </row>
    <row customHeight="1" ht="14.25">
      <c r="A32" s="384"/>
      <c r="B32" s="461" t="s">
        <v>45</v>
      </c>
      <c r="C32" s="454" t="s">
        <v>19</v>
      </c>
      <c r="D32" s="558" t="str">
        <f>_xlfn.IFERROR(IF(石化取值!D32=0,"",石化取值!D32),"")</f>
        <v/>
      </c>
      <c r="E32" s="202"/>
      <c r="F32" s="463" t="str">
        <f>_xlfn.IFERROR(E32/石化取值!D32*100,"")</f>
        <v/>
      </c>
      <c r="G32" s="558" t="str">
        <f>_xlfn.IFERROR(IF(石化取值!G32=0,"",石化取值!G32),"")</f>
        <v/>
      </c>
      <c r="H32" s="200"/>
      <c r="I32" s="501" t="str">
        <f>_xlfn.IFERROR(H32/石化取值!G32*100,"")</f>
        <v/>
      </c>
      <c r="J32" s="696"/>
      <c r="K32" s="696"/>
      <c r="L32" s="460">
        <f>_xlfn.IFERROR(H32-K32,"")</f>
        <v>0</v>
      </c>
    </row>
    <row customHeight="1" ht="14.25">
      <c r="A33" s="384"/>
      <c r="B33" s="473" t="s">
        <v>46</v>
      </c>
      <c r="C33" s="454" t="s">
        <v>19</v>
      </c>
      <c r="D33" s="558" t="str">
        <f>_xlfn.IFERROR(IF(石化取值!D33=0,"",石化取值!D33),"")</f>
        <v/>
      </c>
      <c r="E33" s="202"/>
      <c r="F33" s="463" t="str">
        <f>_xlfn.IFERROR(E33/石化取值!D33*100,"")</f>
        <v/>
      </c>
      <c r="G33" s="558" t="str">
        <f>_xlfn.IFERROR(IF(石化取值!G33=0,"",石化取值!G33),"")</f>
        <v/>
      </c>
      <c r="H33" s="200"/>
      <c r="I33" s="501" t="str">
        <f>_xlfn.IFERROR(H33/石化取值!G33*100,"")</f>
        <v/>
      </c>
      <c r="J33" s="696"/>
      <c r="K33" s="696"/>
      <c r="L33" s="460">
        <f>_xlfn.IFERROR(H33-K33,"")</f>
        <v>0</v>
      </c>
    </row>
    <row customHeight="1" ht="14.25">
      <c r="A34" s="384"/>
      <c r="B34" s="473" t="s">
        <v>47</v>
      </c>
      <c r="C34" s="454"/>
      <c r="D34" s="558" t="str">
        <f>_xlfn.IFERROR(IF(石化取值!D34=0,"",石化取值!D34),"")</f>
        <v/>
      </c>
      <c r="E34" s="202"/>
      <c r="F34" s="463" t="str">
        <f>_xlfn.IFERROR(E34/石化取值!D34*100,"")</f>
        <v/>
      </c>
      <c r="G34" s="558" t="str">
        <f>_xlfn.IFERROR(IF(石化取值!G34=0,"",石化取值!G34),"")</f>
        <v/>
      </c>
      <c r="H34" s="200"/>
      <c r="I34" s="501" t="str">
        <f>_xlfn.IFERROR(H34/石化取值!G34*100,"")</f>
        <v/>
      </c>
      <c r="J34" s="696"/>
      <c r="K34" s="696"/>
      <c r="L34" s="460">
        <f>_xlfn.IFERROR(H34-K34,"")</f>
        <v>0</v>
      </c>
    </row>
    <row customHeight="1" ht="14.25">
      <c r="A35" s="384"/>
      <c r="B35" s="461" t="s">
        <v>48</v>
      </c>
      <c r="C35" s="454" t="s">
        <v>19</v>
      </c>
      <c r="D35" s="558" t="str">
        <f>_xlfn.IFERROR(IF(石化取值!D35=0,"",石化取值!D35),"")</f>
        <v/>
      </c>
      <c r="E35" s="202"/>
      <c r="F35" s="463" t="str">
        <f>_xlfn.IFERROR(E35/石化取值!D35*100,"")</f>
        <v/>
      </c>
      <c r="G35" s="558" t="str">
        <f>_xlfn.IFERROR(IF(石化取值!G35=0,"",石化取值!G35),"")</f>
        <v/>
      </c>
      <c r="H35" s="200"/>
      <c r="I35" s="501" t="str">
        <f>_xlfn.IFERROR(H35/石化取值!G35*100,"")</f>
        <v/>
      </c>
      <c r="J35" s="696"/>
      <c r="K35" s="696"/>
      <c r="L35" s="460">
        <f>_xlfn.IFERROR(H35-K35,"")</f>
        <v>0</v>
      </c>
    </row>
    <row customHeight="1" ht="14.25">
      <c r="A36" s="384"/>
      <c r="B36" s="474" t="s">
        <v>49</v>
      </c>
      <c r="C36" s="454" t="s">
        <v>19</v>
      </c>
      <c r="D36" s="558" t="str">
        <f>_xlfn.IFERROR(IF(石化取值!D36=0,"",石化取值!D36),"")</f>
        <v/>
      </c>
      <c r="E36" s="202"/>
      <c r="F36" s="463" t="str">
        <f>_xlfn.IFERROR(E36/石化取值!D36*100,"")</f>
        <v/>
      </c>
      <c r="G36" s="558" t="str">
        <f>_xlfn.IFERROR(IF(石化取值!G36=0,"",石化取值!G36),"")</f>
        <v/>
      </c>
      <c r="H36" s="200"/>
      <c r="I36" s="501" t="str">
        <f>_xlfn.IFERROR(H36/石化取值!G36*100,"")</f>
        <v/>
      </c>
      <c r="J36" s="696"/>
      <c r="K36" s="696"/>
      <c r="L36" s="460">
        <f>_xlfn.IFERROR(H36-K36,"")</f>
        <v>0</v>
      </c>
    </row>
    <row customHeight="1" ht="14.25">
      <c r="A37" s="384"/>
      <c r="B37" s="461" t="s">
        <v>50</v>
      </c>
      <c r="C37" s="454" t="s">
        <v>19</v>
      </c>
      <c r="D37" s="558" t="str">
        <f>_xlfn.IFERROR(IF(石化取值!D37=0,"",石化取值!D37),"")</f>
        <v/>
      </c>
      <c r="E37" s="202"/>
      <c r="F37" s="463" t="str">
        <f>_xlfn.IFERROR(E37/石化取值!D37*100,"")</f>
        <v/>
      </c>
      <c r="G37" s="558" t="str">
        <f>_xlfn.IFERROR(IF(石化取值!G37=0,"",石化取值!G37),"")</f>
        <v/>
      </c>
      <c r="H37" s="200"/>
      <c r="I37" s="501" t="str">
        <f>_xlfn.IFERROR(H37/石化取值!G37*100,"")</f>
        <v/>
      </c>
      <c r="J37" s="696"/>
      <c r="K37" s="696"/>
      <c r="L37" s="460">
        <f>_xlfn.IFERROR(H37-K37,"")</f>
        <v>0</v>
      </c>
    </row>
    <row customHeight="1" ht="14.25">
      <c r="A38" s="384"/>
      <c r="B38" s="461" t="s">
        <v>51</v>
      </c>
      <c r="C38" s="454" t="s">
        <v>19</v>
      </c>
      <c r="D38" s="558" t="str">
        <f>_xlfn.IFERROR(IF(石化取值!D38=0,"",石化取值!D38),"")</f>
        <v/>
      </c>
      <c r="E38" s="202"/>
      <c r="F38" s="463" t="str">
        <f>_xlfn.IFERROR(E38/石化取值!D38*100,"")</f>
        <v/>
      </c>
      <c r="G38" s="558" t="str">
        <f>_xlfn.IFERROR(IF(石化取值!G38=0,"",石化取值!G38),"")</f>
        <v/>
      </c>
      <c r="H38" s="200"/>
      <c r="I38" s="501" t="str">
        <f>_xlfn.IFERROR(H38/石化取值!G38*100,"")</f>
        <v/>
      </c>
      <c r="J38" s="696"/>
      <c r="K38" s="696"/>
      <c r="L38" s="460">
        <f>_xlfn.IFERROR(H38-K38,"")</f>
        <v>0</v>
      </c>
    </row>
    <row customHeight="1" ht="14.25">
      <c r="A39" s="384"/>
      <c r="B39" s="461" t="s">
        <v>52</v>
      </c>
      <c r="C39" s="454" t="s">
        <v>19</v>
      </c>
      <c r="D39" s="558" t="str">
        <f>_xlfn.IFERROR(IF(石化取值!D39=0,"",石化取值!D39),"")</f>
        <v/>
      </c>
      <c r="E39" s="202"/>
      <c r="F39" s="463" t="str">
        <f>_xlfn.IFERROR(E39/石化取值!D39*100,"")</f>
        <v/>
      </c>
      <c r="G39" s="558" t="str">
        <f>_xlfn.IFERROR(IF(石化取值!G39=0,"",石化取值!G39),"")</f>
        <v/>
      </c>
      <c r="H39" s="200"/>
      <c r="I39" s="501" t="str">
        <f>_xlfn.IFERROR(H39/石化取值!G39*100,"")</f>
        <v/>
      </c>
      <c r="J39" s="696"/>
      <c r="K39" s="696"/>
      <c r="L39" s="460">
        <f>_xlfn.IFERROR(H39-K39,"")</f>
        <v>0</v>
      </c>
    </row>
    <row customHeight="1" ht="14.25">
      <c r="A40" s="384"/>
      <c r="B40" s="461" t="s">
        <v>53</v>
      </c>
      <c r="C40" s="454" t="s">
        <v>19</v>
      </c>
      <c r="D40" s="558" t="str">
        <f>_xlfn.IFERROR(IF(石化取值!D40=0,"",石化取值!D40),"")</f>
        <v/>
      </c>
      <c r="E40" s="202"/>
      <c r="F40" s="463" t="str">
        <f>_xlfn.IFERROR(E40/石化取值!D40*100,"")</f>
        <v/>
      </c>
      <c r="G40" s="558" t="str">
        <f>_xlfn.IFERROR(IF(石化取值!G40=0,"",石化取值!G40),"")</f>
        <v/>
      </c>
      <c r="H40" s="200"/>
      <c r="I40" s="501" t="str">
        <f>_xlfn.IFERROR(H40/石化取值!G40*100,"")</f>
        <v/>
      </c>
      <c r="J40" s="696"/>
      <c r="K40" s="696"/>
      <c r="L40" s="460">
        <f>_xlfn.IFERROR(H40-K40,"")</f>
        <v>0</v>
      </c>
    </row>
    <row customHeight="1" ht="14.25">
      <c r="A41" s="384"/>
      <c r="B41" s="461" t="s">
        <v>54</v>
      </c>
      <c r="C41" s="454" t="s">
        <v>19</v>
      </c>
      <c r="D41" s="558" t="str">
        <f>_xlfn.IFERROR(IF(石化取值!D41=0,"",石化取值!D41),"")</f>
        <v/>
      </c>
      <c r="E41" s="202">
        <f>_xlfn.IFERROR(石化取值!E41,"")</f>
        <v>0</v>
      </c>
      <c r="F41" s="463" t="str">
        <f>_xlfn.IFERROR(E41/石化取值!D41*100,"")</f>
        <v/>
      </c>
      <c r="G41" s="558" t="str">
        <f>_xlfn.IFERROR(IF(石化取值!G41=0,"",石化取值!G41),"")</f>
        <v/>
      </c>
      <c r="H41" s="200">
        <f>_xlfn.IFERROR(石化取值!H41,"")</f>
        <v>0</v>
      </c>
      <c r="I41" s="501" t="str">
        <f>_xlfn.IFERROR(H41/石化取值!G41*100,"")</f>
        <v/>
      </c>
      <c r="J41" s="696">
        <v>0</v>
      </c>
      <c r="K41" s="696">
        <v>0</v>
      </c>
      <c r="L41" s="460">
        <f>_xlfn.IFERROR(H41-K41,"")</f>
        <v>0</v>
      </c>
    </row>
    <row customHeight="1" ht="14.25">
      <c r="A42" s="384"/>
      <c r="B42" s="461" t="s">
        <v>55</v>
      </c>
      <c r="C42" s="454" t="s">
        <v>19</v>
      </c>
      <c r="D42" s="558" t="str">
        <f>_xlfn.IFERROR(IF(石化取值!D42=0,"",石化取值!D42),"")</f>
        <v/>
      </c>
      <c r="E42" s="202">
        <f>_xlfn.IFERROR(石化取值!E42,"")</f>
        <v>0</v>
      </c>
      <c r="F42" s="463" t="str">
        <f>_xlfn.IFERROR(E42/石化取值!D42*100,"")</f>
        <v/>
      </c>
      <c r="G42" s="558" t="str">
        <f>_xlfn.IFERROR(IF(石化取值!G42=0,"",石化取值!G42),"")</f>
        <v/>
      </c>
      <c r="H42" s="200">
        <f>_xlfn.IFERROR(石化取值!H42,"")</f>
        <v>0</v>
      </c>
      <c r="I42" s="501" t="str">
        <f>_xlfn.IFERROR(H42/石化取值!G42*100,"")</f>
        <v/>
      </c>
      <c r="J42" s="696">
        <v>0</v>
      </c>
      <c r="K42" s="696">
        <v>0</v>
      </c>
      <c r="L42" s="460">
        <f>_xlfn.IFERROR(H42-K42,"")</f>
        <v>0</v>
      </c>
    </row>
    <row customHeight="1" ht="14.25">
      <c r="A43" s="384"/>
      <c r="B43" s="461" t="s">
        <v>56</v>
      </c>
      <c r="C43" s="454" t="s">
        <v>19</v>
      </c>
      <c r="D43" s="558" t="str">
        <f>_xlfn.IFERROR(IF(石化取值!D43=0,"",石化取值!D43),"")</f>
        <v/>
      </c>
      <c r="E43" s="202">
        <f>_xlfn.IFERROR(石化取值!E43,"")</f>
        <v>0</v>
      </c>
      <c r="F43" s="463" t="str">
        <f>_xlfn.IFERROR(E43/石化取值!D43*100,"")</f>
        <v/>
      </c>
      <c r="G43" s="558" t="str">
        <f>_xlfn.IFERROR(IF(石化取值!G43=0,"",石化取值!G43),"")</f>
        <v/>
      </c>
      <c r="H43" s="200">
        <f>_xlfn.IFERROR(石化取值!H43,"")</f>
        <v>0</v>
      </c>
      <c r="I43" s="501" t="str">
        <f>_xlfn.IFERROR(H43/石化取值!G43*100,"")</f>
        <v/>
      </c>
      <c r="J43" s="696">
        <v>0</v>
      </c>
      <c r="K43" s="696">
        <v>0</v>
      </c>
      <c r="L43" s="460">
        <f>_xlfn.IFERROR(H43-K43,"")</f>
        <v>0</v>
      </c>
    </row>
    <row customHeight="1" ht="14.25">
      <c r="A44" s="384"/>
      <c r="B44" s="461" t="s">
        <v>57</v>
      </c>
      <c r="C44" s="454" t="s">
        <v>19</v>
      </c>
      <c r="D44" s="558" t="str">
        <f>_xlfn.IFERROR(IF(石化取值!D44=0,"",石化取值!D44),"")</f>
        <v/>
      </c>
      <c r="E44" s="202">
        <f>_xlfn.IFERROR(石化取值!E44,"")</f>
        <v>0</v>
      </c>
      <c r="F44" s="463" t="str">
        <f>_xlfn.IFERROR(E44/石化取值!D44*100,"")</f>
        <v/>
      </c>
      <c r="G44" s="558" t="str">
        <f>_xlfn.IFERROR(IF(石化取值!G44=0,"",石化取值!G44),"")</f>
        <v/>
      </c>
      <c r="H44" s="200">
        <f>_xlfn.IFERROR(石化取值!H44,"")</f>
        <v>0</v>
      </c>
      <c r="I44" s="501" t="str">
        <f>_xlfn.IFERROR(H44/石化取值!G44*100,"")</f>
        <v/>
      </c>
      <c r="J44" s="696">
        <v>0</v>
      </c>
      <c r="K44" s="696">
        <v>0</v>
      </c>
      <c r="L44" s="460">
        <f>_xlfn.IFERROR(H44-K44,"")</f>
        <v>0</v>
      </c>
    </row>
    <row customHeight="1" ht="14.25">
      <c r="A45" s="384"/>
      <c r="B45" s="461" t="s">
        <v>58</v>
      </c>
      <c r="C45" s="454" t="s">
        <v>19</v>
      </c>
      <c r="D45" s="558" t="str">
        <f>_xlfn.IFERROR(IF(石化取值!D45=0,"",石化取值!D45),"")</f>
        <v/>
      </c>
      <c r="E45" s="202">
        <f>_xlfn.IFERROR(石化取值!E45,"")</f>
        <v>0</v>
      </c>
      <c r="F45" s="463" t="str">
        <f>_xlfn.IFERROR(E45/石化取值!D45*100,"")</f>
        <v/>
      </c>
      <c r="G45" s="558" t="str">
        <f>_xlfn.IFERROR(IF(石化取值!G45=0,"",石化取值!G45),"")</f>
        <v/>
      </c>
      <c r="H45" s="200">
        <f>_xlfn.IFERROR(石化取值!H45,"")</f>
        <v>0</v>
      </c>
      <c r="I45" s="501" t="str">
        <f>_xlfn.IFERROR(H45/石化取值!G45*100,"")</f>
        <v/>
      </c>
      <c r="J45" s="696">
        <v>0</v>
      </c>
      <c r="K45" s="696">
        <v>0</v>
      </c>
      <c r="L45" s="460">
        <f>_xlfn.IFERROR(H45-K45,"")</f>
        <v>0</v>
      </c>
    </row>
    <row customHeight="1" ht="14.25">
      <c r="A46" s="384"/>
      <c r="B46" s="461" t="s">
        <v>59</v>
      </c>
      <c r="C46" s="454" t="s">
        <v>19</v>
      </c>
      <c r="D46" s="558" t="str">
        <f>_xlfn.IFERROR(IF(石化取值!D46=0,"",石化取值!D46),"")</f>
        <v/>
      </c>
      <c r="E46" s="202">
        <f>_xlfn.IFERROR(石化取值!E46,"")</f>
        <v>0</v>
      </c>
      <c r="F46" s="463" t="str">
        <f>_xlfn.IFERROR(E46/石化取值!D46*100,"")</f>
        <v/>
      </c>
      <c r="G46" s="558" t="str">
        <f>_xlfn.IFERROR(IF(石化取值!G46=0,"",石化取值!G46),"")</f>
        <v/>
      </c>
      <c r="H46" s="200">
        <f>_xlfn.IFERROR(石化取值!H46,"")</f>
        <v>0</v>
      </c>
      <c r="I46" s="501" t="str">
        <f>_xlfn.IFERROR(H46/石化取值!G46*100,"")</f>
        <v/>
      </c>
      <c r="J46" s="696">
        <v>0</v>
      </c>
      <c r="K46" s="696">
        <v>0</v>
      </c>
      <c r="L46" s="460">
        <f>_xlfn.IFERROR(H46-K46,"")</f>
        <v>0</v>
      </c>
    </row>
    <row customHeight="1" ht="14.25">
      <c r="A47" s="384"/>
      <c r="B47" s="461" t="s">
        <v>60</v>
      </c>
      <c r="C47" s="454" t="s">
        <v>19</v>
      </c>
      <c r="D47" s="558" t="str">
        <f>_xlfn.IFERROR(IF(石化取值!D47=0,"",石化取值!D47),"")</f>
        <v/>
      </c>
      <c r="E47" s="202">
        <f>_xlfn.IFERROR(石化取值!E47,"")</f>
        <v>0</v>
      </c>
      <c r="F47" s="463" t="str">
        <f>_xlfn.IFERROR(E47/石化取值!D47*100,"")</f>
        <v/>
      </c>
      <c r="G47" s="558" t="str">
        <f>_xlfn.IFERROR(IF(石化取值!G47=0,"",石化取值!G47),"")</f>
        <v/>
      </c>
      <c r="H47" s="200">
        <f>_xlfn.IFERROR(石化取值!H47,"")</f>
        <v>0</v>
      </c>
      <c r="I47" s="501" t="str">
        <f>_xlfn.IFERROR(H47/石化取值!G47*100,"")</f>
        <v/>
      </c>
      <c r="J47" s="696">
        <v>0</v>
      </c>
      <c r="K47" s="696">
        <v>0</v>
      </c>
      <c r="L47" s="460">
        <f>_xlfn.IFERROR(H47-K47,"")</f>
        <v>0</v>
      </c>
    </row>
    <row customHeight="1" ht="14.25">
      <c r="A48" s="384"/>
      <c r="B48" s="461" t="s">
        <v>61</v>
      </c>
      <c r="C48" s="454" t="s">
        <v>19</v>
      </c>
      <c r="D48" s="558" t="str">
        <f>_xlfn.IFERROR(IF(石化取值!D48=0,"",石化取值!D48),"")</f>
        <v/>
      </c>
      <c r="E48" s="202">
        <f>_xlfn.IFERROR(石化取值!E48,"")</f>
        <v>0</v>
      </c>
      <c r="F48" s="463" t="str">
        <f>_xlfn.IFERROR(E48/石化取值!D48*100,"")</f>
        <v/>
      </c>
      <c r="G48" s="558" t="str">
        <f>_xlfn.IFERROR(IF(石化取值!G48=0,"",石化取值!G48),"")</f>
        <v/>
      </c>
      <c r="H48" s="200">
        <f>_xlfn.IFERROR(石化取值!H48,"")</f>
        <v>0</v>
      </c>
      <c r="I48" s="501" t="str">
        <f>_xlfn.IFERROR(H48/石化取值!G48*100,"")</f>
        <v/>
      </c>
      <c r="J48" s="696">
        <v>0</v>
      </c>
      <c r="K48" s="696">
        <v>0</v>
      </c>
      <c r="L48" s="460">
        <f>_xlfn.IFERROR(H48-K48,"")</f>
        <v>0</v>
      </c>
    </row>
    <row customHeight="1" ht="14.25">
      <c r="A49" s="384"/>
      <c r="B49" s="461" t="s">
        <v>62</v>
      </c>
      <c r="C49" s="454" t="s">
        <v>19</v>
      </c>
      <c r="D49" s="558" t="str">
        <f>_xlfn.IFERROR(IF(石化取值!D49=0,"",石化取值!D49),"")</f>
        <v/>
      </c>
      <c r="E49" s="202">
        <f>_xlfn.IFERROR(石化取值!E49,"")</f>
        <v>0</v>
      </c>
      <c r="F49" s="463" t="str">
        <f>_xlfn.IFERROR(E49/石化取值!D49*100,"")</f>
        <v/>
      </c>
      <c r="G49" s="558">
        <v>86489</v>
      </c>
      <c r="H49" s="200">
        <f>_xlfn.IFERROR(石化取值!H49,"")</f>
        <v>0</v>
      </c>
      <c r="I49" s="501">
        <f>_xlfn.IFERROR(H49/石化取值!G49*100,"")</f>
        <v>0</v>
      </c>
      <c r="J49" s="696">
        <v>0</v>
      </c>
      <c r="K49" s="696">
        <v>0</v>
      </c>
      <c r="L49" s="460">
        <f>_xlfn.IFERROR(H49-K49,"")</f>
        <v>0</v>
      </c>
    </row>
    <row customHeight="1" ht="14.25">
      <c r="A50" s="384"/>
      <c r="B50" s="461" t="s">
        <v>63</v>
      </c>
      <c r="C50" s="454" t="s">
        <v>19</v>
      </c>
      <c r="D50" s="558" t="str">
        <f>_xlfn.IFERROR(IF(石化取值!D50=0,"",石化取值!D50),"")</f>
        <v/>
      </c>
      <c r="E50" s="202">
        <f>_xlfn.IFERROR(石化取值!E50,"")</f>
        <v>0</v>
      </c>
      <c r="F50" s="463" t="str">
        <f>_xlfn.IFERROR(E50/石化取值!D50*100,"")</f>
        <v/>
      </c>
      <c r="G50" s="558" t="str">
        <f>_xlfn.IFERROR(IF(石化取值!G50=0,"",石化取值!G50),"")</f>
        <v/>
      </c>
      <c r="H50" s="200">
        <f>_xlfn.IFERROR(石化取值!H50,"")</f>
        <v>0</v>
      </c>
      <c r="I50" s="501" t="str">
        <f>_xlfn.IFERROR(H50/石化取值!G50*100,"")</f>
        <v/>
      </c>
      <c r="J50" s="696">
        <v>0</v>
      </c>
      <c r="K50" s="696">
        <v>0</v>
      </c>
      <c r="L50" s="460">
        <f>_xlfn.IFERROR(H50-K50,"")</f>
        <v>0</v>
      </c>
    </row>
    <row customHeight="1" ht="14.25">
      <c r="A51" s="384"/>
      <c r="B51" s="461" t="s">
        <v>64</v>
      </c>
      <c r="C51" s="454" t="s">
        <v>19</v>
      </c>
      <c r="D51" s="558" t="str">
        <f>_xlfn.IFERROR(IF(石化取值!D51=0,"",石化取值!D51),"")</f>
        <v/>
      </c>
      <c r="E51" s="202">
        <f>_xlfn.IFERROR(石化取值!E51,"")</f>
        <v>0</v>
      </c>
      <c r="F51" s="463" t="str">
        <f>_xlfn.IFERROR(E51/石化取值!D51*100,"")</f>
        <v/>
      </c>
      <c r="G51" s="558" t="str">
        <f>_xlfn.IFERROR(IF(石化取值!G51=0,"",石化取值!G51),"")</f>
        <v/>
      </c>
      <c r="H51" s="200">
        <f>_xlfn.IFERROR(石化取值!H51,"")</f>
        <v>0</v>
      </c>
      <c r="I51" s="501" t="str">
        <f>_xlfn.IFERROR(H51/石化取值!G51*100,"")</f>
        <v/>
      </c>
      <c r="J51" s="696">
        <v>0</v>
      </c>
      <c r="K51" s="696">
        <v>0</v>
      </c>
      <c r="L51" s="460">
        <f>_xlfn.IFERROR(H51-K51,"")</f>
        <v>0</v>
      </c>
    </row>
    <row customHeight="1" ht="14.25">
      <c r="A52" s="384"/>
      <c r="B52" s="461" t="s">
        <v>65</v>
      </c>
      <c r="C52" s="454" t="s">
        <v>19</v>
      </c>
      <c r="D52" s="558" t="str">
        <f>_xlfn.IFERROR(IF(石化取值!D52=0,"",石化取值!D52),"")</f>
        <v/>
      </c>
      <c r="E52" s="202">
        <f>_xlfn.IFERROR(石化取值!E52,"")</f>
        <v>0</v>
      </c>
      <c r="F52" s="463" t="str">
        <f>_xlfn.IFERROR(E52/石化取值!D52*100,"")</f>
        <v/>
      </c>
      <c r="G52" s="558" t="str">
        <f>_xlfn.IFERROR(IF(石化取值!G52=0,"",石化取值!G52),"")</f>
        <v/>
      </c>
      <c r="H52" s="200">
        <f>_xlfn.IFERROR(石化取值!H52,"")</f>
        <v>0</v>
      </c>
      <c r="I52" s="501" t="str">
        <f>_xlfn.IFERROR(H52/石化取值!G52*100,"")</f>
        <v/>
      </c>
      <c r="J52" s="696">
        <v>0</v>
      </c>
      <c r="K52" s="696">
        <v>0</v>
      </c>
      <c r="L52" s="460">
        <f>_xlfn.IFERROR(H52-K52,"")</f>
        <v>0</v>
      </c>
    </row>
    <row customHeight="1" ht="14.25">
      <c r="A53" s="384"/>
      <c r="B53" s="461" t="s">
        <v>66</v>
      </c>
      <c r="C53" s="454" t="s">
        <v>19</v>
      </c>
      <c r="D53" s="558">
        <v>17500</v>
      </c>
      <c r="E53" s="202">
        <f>_xlfn.IFERROR(石化取值!E53,"")</f>
        <v>18230</v>
      </c>
      <c r="F53" s="463">
        <f>_xlfn.IFERROR(E53/石化取值!D53*100,"")</f>
        <v>104.171428571429</v>
      </c>
      <c r="G53" s="558">
        <v>200000</v>
      </c>
      <c r="H53" s="200">
        <f>_xlfn.IFERROR(石化取值!H53,"")</f>
        <v>198259</v>
      </c>
      <c r="I53" s="501">
        <f>_xlfn.IFERROR(H53/石化取值!G53*100,"")</f>
        <v>99.1295</v>
      </c>
      <c r="J53" s="696">
        <v>18136</v>
      </c>
      <c r="K53" s="696">
        <v>203114</v>
      </c>
      <c r="L53" s="460">
        <f>_xlfn.IFERROR(H53-K53,"")</f>
        <v>-4855</v>
      </c>
    </row>
    <row customHeight="1" ht="14.25">
      <c r="A54" s="384"/>
      <c r="B54" s="461" t="s">
        <v>67</v>
      </c>
      <c r="C54" s="454" t="s">
        <v>19</v>
      </c>
      <c r="D54" s="558" t="str">
        <f>_xlfn.IFERROR(IF(石化取值!D54=0,"",石化取值!D54),"")</f>
        <v/>
      </c>
      <c r="E54" s="202">
        <f>_xlfn.IFERROR(石化取值!E54,"")</f>
        <v>0</v>
      </c>
      <c r="F54" s="463" t="str">
        <f>_xlfn.IFERROR(E54/石化取值!D54*100,"")</f>
        <v/>
      </c>
      <c r="G54" s="558" t="str">
        <f>_xlfn.IFERROR(IF(石化取值!G54=0,"",石化取值!G54),"")</f>
        <v/>
      </c>
      <c r="H54" s="200">
        <f>_xlfn.IFERROR(石化取值!H54,"")</f>
        <v>0</v>
      </c>
      <c r="I54" s="501" t="str">
        <f>_xlfn.IFERROR(H54/石化取值!G54*100,"")</f>
        <v/>
      </c>
      <c r="J54" s="696"/>
      <c r="K54" s="696"/>
      <c r="L54" s="460">
        <f>_xlfn.IFERROR(H54-K54,"")</f>
        <v>0</v>
      </c>
    </row>
    <row customHeight="1" ht="14.25">
      <c r="A55" s="384"/>
      <c r="B55" s="461" t="s">
        <v>68</v>
      </c>
      <c r="C55" s="454" t="s">
        <v>19</v>
      </c>
      <c r="D55" s="558">
        <v>200</v>
      </c>
      <c r="E55" s="202">
        <f>_xlfn.IFERROR(石化取值!E55,"")</f>
        <v>0</v>
      </c>
      <c r="F55" s="463">
        <f>_xlfn.IFERROR(E55/石化取值!D55*100,"")</f>
        <v>0</v>
      </c>
      <c r="G55" s="558">
        <v>11600</v>
      </c>
      <c r="H55" s="200">
        <f>_xlfn.IFERROR(石化取值!H55,"")</f>
        <v>0</v>
      </c>
      <c r="I55" s="501">
        <f>_xlfn.IFERROR(H55/石化取值!G55*100,"")</f>
        <v>0</v>
      </c>
      <c r="J55" s="696"/>
      <c r="K55" s="696"/>
      <c r="L55" s="460">
        <f>_xlfn.IFERROR(H55-K55,"")</f>
        <v>0</v>
      </c>
    </row>
    <row customHeight="1" ht="14.25">
      <c r="A56" s="384"/>
      <c r="B56" s="461" t="s">
        <v>69</v>
      </c>
      <c r="C56" s="454" t="s">
        <v>19</v>
      </c>
      <c r="D56" s="558" t="str">
        <f>_xlfn.IFERROR(IF(石化取值!D56=0,"",石化取值!D56),"")</f>
        <v/>
      </c>
      <c r="E56" s="202">
        <f>_xlfn.IFERROR(石化取值!E56,"")</f>
        <v>0</v>
      </c>
      <c r="F56" s="463" t="str">
        <f>_xlfn.IFERROR(E56/石化取值!D56*100,"")</f>
        <v/>
      </c>
      <c r="G56" s="558" t="str">
        <f>_xlfn.IFERROR(IF(石化取值!G56=0,"",石化取值!G56),"")</f>
        <v/>
      </c>
      <c r="H56" s="200">
        <f>_xlfn.IFERROR(石化取值!H56,"")</f>
        <v>0</v>
      </c>
      <c r="I56" s="501" t="str">
        <f>_xlfn.IFERROR(H56/石化取值!G56*100,"")</f>
        <v/>
      </c>
      <c r="J56" s="696"/>
      <c r="K56" s="696"/>
      <c r="L56" s="460">
        <f>_xlfn.IFERROR(H56-K56,"")</f>
        <v>0</v>
      </c>
    </row>
    <row customHeight="1" ht="14.25">
      <c r="A57" s="384"/>
      <c r="B57" s="461" t="s">
        <v>153</v>
      </c>
      <c r="C57" s="454" t="s">
        <v>19</v>
      </c>
      <c r="D57" s="558" t="str">
        <f>_xlfn.IFERROR(IF(石化取值!D57=0,"",石化取值!D57),"")</f>
        <v/>
      </c>
      <c r="E57" s="202">
        <f>_xlfn.IFERROR(石化取值!E57,"")</f>
        <v>0</v>
      </c>
      <c r="F57" s="463" t="str">
        <f>_xlfn.IFERROR(E57/石化取值!D57*100,"")</f>
        <v/>
      </c>
      <c r="G57" s="558" t="str">
        <f>_xlfn.IFERROR(IF(石化取值!G57=0,"",石化取值!G57),"")</f>
        <v/>
      </c>
      <c r="H57" s="200">
        <f>_xlfn.IFERROR(石化取值!H57,"")</f>
        <v>0</v>
      </c>
      <c r="I57" s="501" t="str">
        <f>_xlfn.IFERROR(H57/石化取值!G57*100,"")</f>
        <v/>
      </c>
      <c r="J57" s="776"/>
      <c r="K57" s="776"/>
      <c r="L57" s="460">
        <f>_xlfn.IFERROR(H57-K57,"")</f>
        <v>0</v>
      </c>
    </row>
    <row customHeight="1" ht="14.25">
      <c r="A58" s="384"/>
      <c r="B58" s="461" t="s">
        <v>71</v>
      </c>
      <c r="C58" s="454" t="s">
        <v>19</v>
      </c>
      <c r="D58" s="558" t="str">
        <f>_xlfn.IFERROR(IF(石化取值!D58=0,"",石化取值!D58),"")</f>
        <v/>
      </c>
      <c r="E58" s="202">
        <f>_xlfn.IFERROR(石化取值!E58,"")</f>
        <v>202</v>
      </c>
      <c r="F58" s="463" t="str">
        <f>_xlfn.IFERROR(E58/石化取值!D58*100,"")</f>
        <v/>
      </c>
      <c r="G58" s="558">
        <v>1200</v>
      </c>
      <c r="H58" s="200">
        <f>_xlfn.IFERROR(石化取值!H58,"")</f>
        <v>1763</v>
      </c>
      <c r="I58" s="501">
        <f>_xlfn.IFERROR(H58/石化取值!G58*100,"")</f>
        <v>146.916666666667</v>
      </c>
      <c r="J58" s="696">
        <v>133</v>
      </c>
      <c r="K58" s="696">
        <v>1550.7</v>
      </c>
      <c r="L58" s="460">
        <f>_xlfn.IFERROR(H58-K58,"")</f>
        <v>212.3</v>
      </c>
    </row>
    <row customHeight="1" ht="14.25">
      <c r="A59" s="384"/>
      <c r="B59" s="461" t="s">
        <v>72</v>
      </c>
      <c r="C59" s="454" t="s">
        <v>19</v>
      </c>
      <c r="D59" s="558" t="str">
        <f>_xlfn.IFERROR(IF(石化取值!D59=0,"",石化取值!D59),"")</f>
        <v/>
      </c>
      <c r="E59" s="202">
        <f>_xlfn.IFERROR(石化取值!E59,"")</f>
        <v>0</v>
      </c>
      <c r="F59" s="463" t="str">
        <f>_xlfn.IFERROR(E59/石化取值!D59*100,"")</f>
        <v/>
      </c>
      <c r="G59" s="558" t="str">
        <f>_xlfn.IFERROR(IF(石化取值!G59=0,"",石化取值!G59),"")</f>
        <v/>
      </c>
      <c r="H59" s="200">
        <f>_xlfn.IFERROR(石化取值!H59,"")</f>
        <v>0</v>
      </c>
      <c r="I59" s="501" t="str">
        <f>_xlfn.IFERROR(H59/石化取值!G59*100,"")</f>
        <v/>
      </c>
      <c r="J59" s="696">
        <v>0</v>
      </c>
      <c r="K59" s="696">
        <v>0</v>
      </c>
      <c r="L59" s="460">
        <f>_xlfn.IFERROR(H59-K59,"")</f>
        <v>0</v>
      </c>
    </row>
    <row customHeight="1" ht="14.25">
      <c r="A60" s="384"/>
      <c r="B60" s="478" t="s">
        <v>73</v>
      </c>
      <c r="C60" s="454" t="s">
        <v>19</v>
      </c>
      <c r="D60" s="558" t="str">
        <f>_xlfn.IFERROR(IF(石化取值!D60=0,"",石化取值!D60),"")</f>
        <v/>
      </c>
      <c r="E60" s="202">
        <f>_xlfn.IFERROR(石化取值!E60,"")</f>
        <v>0</v>
      </c>
      <c r="F60" s="463" t="str">
        <f>_xlfn.IFERROR(E60/石化取值!D60*100,"")</f>
        <v/>
      </c>
      <c r="G60" s="558">
        <v>25313</v>
      </c>
      <c r="H60" s="200">
        <f>_xlfn.IFERROR(石化取值!H60,"")</f>
        <v>0</v>
      </c>
      <c r="I60" s="501">
        <f>_xlfn.IFERROR(H60/石化取值!G60*100,"")</f>
        <v>0</v>
      </c>
      <c r="J60" s="696">
        <v>0</v>
      </c>
      <c r="K60" s="696">
        <v>0</v>
      </c>
      <c r="L60" s="460">
        <f>_xlfn.IFERROR(H60-K60,"")</f>
        <v>0</v>
      </c>
    </row>
    <row customHeight="1" ht="14.25">
      <c r="A61" s="384"/>
      <c r="B61" s="478" t="s">
        <v>74</v>
      </c>
      <c r="C61" s="479" t="s">
        <v>19</v>
      </c>
      <c r="D61" s="558" t="str">
        <f>_xlfn.IFERROR(IF(石化取值!D61=0,"",石化取值!D61),"")</f>
        <v/>
      </c>
      <c r="E61" s="202">
        <f>_xlfn.IFERROR(石化取值!E61,"")</f>
        <v>0</v>
      </c>
      <c r="F61" s="463" t="str">
        <f>_xlfn.IFERROR(E61/石化取值!D61*100,"")</f>
        <v/>
      </c>
      <c r="G61" s="558" t="str">
        <f>_xlfn.IFERROR(IF(石化取值!G61=0,"",石化取值!G61),"")</f>
        <v/>
      </c>
      <c r="H61" s="200">
        <f>_xlfn.IFERROR(石化取值!H61,"")</f>
        <v>0</v>
      </c>
      <c r="I61" s="501" t="str">
        <f>_xlfn.IFERROR(H61/石化取值!G61*100,"")</f>
        <v/>
      </c>
      <c r="J61" s="696">
        <v>0</v>
      </c>
      <c r="K61" s="696">
        <v>0</v>
      </c>
      <c r="L61" s="460">
        <f>_xlfn.IFERROR(H61-K61,"")</f>
        <v>0</v>
      </c>
    </row>
    <row customHeight="1" ht="14.25">
      <c r="A62" s="384"/>
      <c r="B62" s="461" t="s">
        <v>75</v>
      </c>
      <c r="C62" s="454" t="s">
        <v>19</v>
      </c>
      <c r="D62" s="558">
        <v>18000.055</v>
      </c>
      <c r="E62" s="202">
        <f>_xlfn.IFERROR(石化取值!E62,"")</f>
        <v>18963</v>
      </c>
      <c r="F62" s="463">
        <f>_xlfn.IFERROR(E62/石化取值!D62*100,"")</f>
        <v>105.349678098206</v>
      </c>
      <c r="G62" s="558">
        <v>210000</v>
      </c>
      <c r="H62" s="200">
        <f>_xlfn.IFERROR(石化取值!H62,"")</f>
        <v>210582</v>
      </c>
      <c r="I62" s="501">
        <f>_xlfn.IFERROR(H62/石化取值!G62*100,"")</f>
        <v>100.277142857143</v>
      </c>
      <c r="J62" s="696">
        <v>18694</v>
      </c>
      <c r="K62" s="696">
        <v>211394</v>
      </c>
      <c r="L62" s="460">
        <f>_xlfn.IFERROR(H62-K62,"")</f>
        <v>-812</v>
      </c>
    </row>
    <row customHeight="1" ht="14.25">
      <c r="A63" s="384"/>
      <c r="B63" s="461" t="s">
        <v>76</v>
      </c>
      <c r="C63" s="454" t="s">
        <v>19</v>
      </c>
      <c r="D63" s="558" t="str">
        <f>_xlfn.IFERROR(IF(石化取值!D63=0,"",石化取值!D63),"")</f>
        <v/>
      </c>
      <c r="E63" s="202">
        <f>_xlfn.IFERROR(石化取值!E63,"")</f>
        <v>0</v>
      </c>
      <c r="F63" s="463" t="str">
        <f>_xlfn.IFERROR(E63/石化取值!D63*100,"")</f>
        <v/>
      </c>
      <c r="G63" s="558" t="str">
        <f>_xlfn.IFERROR(IF(石化取值!G63=0,"",石化取值!G63),"")</f>
        <v/>
      </c>
      <c r="H63" s="200">
        <f>_xlfn.IFERROR(石化取值!H63,"")</f>
        <v>0</v>
      </c>
      <c r="I63" s="501" t="str">
        <f>_xlfn.IFERROR(H63/石化取值!G63*100,"")</f>
        <v/>
      </c>
      <c r="J63" s="696">
        <v>0</v>
      </c>
      <c r="K63" s="696">
        <v>3378.14</v>
      </c>
      <c r="L63" s="460">
        <f>_xlfn.IFERROR(H63-K63,"")</f>
        <v>-3378.14</v>
      </c>
    </row>
    <row customHeight="1" ht="14.25">
      <c r="A64" s="384"/>
      <c r="B64" s="461" t="s">
        <v>77</v>
      </c>
      <c r="C64" s="454" t="s">
        <v>19</v>
      </c>
      <c r="D64" s="558">
        <v>23600</v>
      </c>
      <c r="E64" s="202">
        <f>_xlfn.IFERROR(石化取值!E64,"")</f>
        <v>27446</v>
      </c>
      <c r="F64" s="463">
        <f>_xlfn.IFERROR(E64/石化取值!D64*100,"")</f>
        <v>116.296610169492</v>
      </c>
      <c r="G64" s="558">
        <v>253000</v>
      </c>
      <c r="H64" s="200">
        <f>_xlfn.IFERROR(石化取值!H64,"")</f>
        <v>241696</v>
      </c>
      <c r="I64" s="501">
        <f>_xlfn.IFERROR(H64/石化取值!G64*100,"")</f>
        <v>95.5320158102767</v>
      </c>
      <c r="J64" s="696">
        <v>20018</v>
      </c>
      <c r="K64" s="696">
        <v>251236</v>
      </c>
      <c r="L64" s="460">
        <f>_xlfn.IFERROR(H64-K64,"")</f>
        <v>-9540</v>
      </c>
    </row>
    <row customHeight="1" ht="14.25">
      <c r="A65" s="384"/>
      <c r="B65" s="461" t="s">
        <v>78</v>
      </c>
      <c r="C65" s="454" t="s">
        <v>19</v>
      </c>
      <c r="D65" s="558" t="str">
        <f>_xlfn.IFERROR(IF(石化取值!D65=0,"",石化取值!D65),"")</f>
        <v/>
      </c>
      <c r="E65" s="202">
        <f>_xlfn.IFERROR(石化取值!E65,"")</f>
        <v>0</v>
      </c>
      <c r="F65" s="463" t="str">
        <f>_xlfn.IFERROR(E65/石化取值!D65*100,"")</f>
        <v/>
      </c>
      <c r="G65" s="558" t="str">
        <f>_xlfn.IFERROR(IF(石化取值!G65=0,"",石化取值!G65),"")</f>
        <v/>
      </c>
      <c r="H65" s="200">
        <f>_xlfn.IFERROR(石化取值!H65,"")</f>
        <v>0</v>
      </c>
      <c r="I65" s="501" t="str">
        <f>_xlfn.IFERROR(H65/石化取值!G65*100,"")</f>
        <v/>
      </c>
      <c r="J65" s="696">
        <v>0</v>
      </c>
      <c r="K65" s="696">
        <v>4353.48</v>
      </c>
      <c r="L65" s="460">
        <f>_xlfn.IFERROR(H65-K65,"")</f>
        <v>-4353.48</v>
      </c>
    </row>
    <row customHeight="1" ht="14.25">
      <c r="A66" s="384"/>
      <c r="B66" s="461" t="s">
        <v>79</v>
      </c>
      <c r="C66" s="454" t="s">
        <v>19</v>
      </c>
      <c r="D66" s="558" t="str">
        <f>_xlfn.IFERROR(IF(石化取值!D66=0,"",石化取值!D66),"")</f>
        <v/>
      </c>
      <c r="E66" s="202">
        <f>_xlfn.IFERROR(石化取值!E66,"")</f>
        <v>0</v>
      </c>
      <c r="F66" s="463" t="str">
        <f>_xlfn.IFERROR(E66/石化取值!D66*100,"")</f>
        <v/>
      </c>
      <c r="G66" s="558" t="str">
        <f>_xlfn.IFERROR(IF(石化取值!G66=0,"",石化取值!G66),"")</f>
        <v/>
      </c>
      <c r="H66" s="200">
        <f>_xlfn.IFERROR(石化取值!H66,"")</f>
        <v>0</v>
      </c>
      <c r="I66" s="501" t="str">
        <f>_xlfn.IFERROR(H66/石化取值!G66*100,"")</f>
        <v/>
      </c>
      <c r="J66" s="696">
        <v>0</v>
      </c>
      <c r="K66" s="696">
        <v>0</v>
      </c>
      <c r="L66" s="460">
        <f>_xlfn.IFERROR(H66-K66,"")</f>
        <v>0</v>
      </c>
    </row>
    <row customHeight="1" ht="14.25">
      <c r="A67" s="384"/>
      <c r="B67" s="461" t="s">
        <v>80</v>
      </c>
      <c r="C67" s="454" t="s">
        <v>19</v>
      </c>
      <c r="D67" s="558" t="str">
        <f>_xlfn.IFERROR(IF(石化取值!D67=0,"",石化取值!D67),"")</f>
        <v/>
      </c>
      <c r="E67" s="562"/>
      <c r="F67" s="463" t="str">
        <f>_xlfn.IFERROR(E67/石化取值!D67*100,"")</f>
        <v/>
      </c>
      <c r="G67" s="558" t="str">
        <f>_xlfn.IFERROR(IF(石化取值!G67=0,"",石化取值!G67),"")</f>
        <v/>
      </c>
      <c r="H67" s="701">
        <v>0</v>
      </c>
      <c r="I67" s="501" t="str">
        <f>_xlfn.IFERROR(H67/石化取值!G67*100,"")</f>
        <v/>
      </c>
      <c r="J67" s="696"/>
      <c r="K67" s="696">
        <v>0</v>
      </c>
      <c r="L67" s="460">
        <f>_xlfn.IFERROR(H67-K67,"")</f>
        <v>0</v>
      </c>
    </row>
    <row customHeight="1" ht="14.25">
      <c r="A68" s="384"/>
      <c r="B68" s="453" t="s">
        <v>81</v>
      </c>
      <c r="C68" s="454"/>
      <c r="D68" s="201"/>
      <c r="E68" s="202"/>
      <c r="F68" s="463"/>
      <c r="G68" s="201"/>
      <c r="H68" s="202"/>
      <c r="I68" s="501"/>
      <c r="J68" s="67"/>
      <c r="K68" s="67"/>
      <c r="L68" s="460"/>
    </row>
    <row customHeight="1" ht="14.25">
      <c r="A69" s="384"/>
      <c r="B69" s="461" t="s">
        <v>82</v>
      </c>
      <c r="C69" s="454" t="s">
        <v>19</v>
      </c>
      <c r="D69" s="558" t="str">
        <f>_xlfn.IFERROR(IF(石化取值!D69=0,"",石化取值!D69),"")</f>
        <v/>
      </c>
      <c r="E69" s="202">
        <f>_xlfn.IFERROR(石化取值!E69,"")</f>
        <v>0</v>
      </c>
      <c r="F69" s="463" t="str">
        <f>_xlfn.IFERROR(E69/石化取值!D69*100,"")</f>
        <v/>
      </c>
      <c r="G69" s="558" t="str">
        <f>_xlfn.IFERROR(IF(石化取值!G69=0,"",石化取值!G69),"")</f>
        <v/>
      </c>
      <c r="H69" s="202">
        <f>_xlfn.IFERROR(石化取值!H69,"")</f>
        <v>0</v>
      </c>
      <c r="I69" s="501" t="str">
        <f>_xlfn.IFERROR(H69/石化取值!G69*100,"")</f>
        <v/>
      </c>
      <c r="J69" s="696">
        <v>0</v>
      </c>
      <c r="K69" s="696">
        <v>0</v>
      </c>
      <c r="L69" s="460">
        <f>_xlfn.IFERROR(H69-K69,"")</f>
        <v>0</v>
      </c>
    </row>
    <row customHeight="1" ht="14.25">
      <c r="A70" s="384"/>
      <c r="B70" s="461" t="s">
        <v>83</v>
      </c>
      <c r="C70" s="454" t="s">
        <v>19</v>
      </c>
      <c r="D70" s="569">
        <v>488000</v>
      </c>
      <c r="E70" s="202">
        <f>_xlfn.IFERROR(石化取值!E70,"")</f>
        <v>514535</v>
      </c>
      <c r="F70" s="463">
        <f>_xlfn.IFERROR(E70/石化取值!D70*100,"")</f>
        <v>105.4375</v>
      </c>
      <c r="G70" s="569">
        <v>6074000</v>
      </c>
      <c r="H70" s="200">
        <f>_xlfn.IFERROR(石化取值!H70,"")</f>
        <v>5931263</v>
      </c>
      <c r="I70" s="501">
        <f>_xlfn.IFERROR(H70/石化取值!G70*100,"")</f>
        <v>97.6500329272308</v>
      </c>
      <c r="J70" s="696">
        <v>485974</v>
      </c>
      <c r="K70" s="696">
        <v>5726520.7</v>
      </c>
      <c r="L70" s="460">
        <f>_xlfn.IFERROR(H70-K70,"")</f>
        <v>204742.3</v>
      </c>
    </row>
    <row customHeight="1" ht="14.25">
      <c r="A71" s="384"/>
      <c r="B71" s="461" t="s">
        <v>84</v>
      </c>
      <c r="C71" s="454" t="s">
        <v>85</v>
      </c>
      <c r="D71" s="570">
        <v>97.35</v>
      </c>
      <c r="E71" s="225">
        <f>_xlfn.IFERROR(石化取值!E71,"")</f>
        <v>95.0084450884658</v>
      </c>
      <c r="F71" s="463">
        <f>_xlfn.IFERROR(IF(D71=0,"",E71-D71),"")</f>
        <v>-2.34155491153419</v>
      </c>
      <c r="G71" s="570">
        <v>96.75</v>
      </c>
      <c r="H71" s="226">
        <f>_xlfn.IFERROR(石化取值!H71,"")</f>
        <v>96.9178808475622</v>
      </c>
      <c r="I71" s="463">
        <f>_xlfn.IFERROR(IF(G71=0,"",H71-G71),"")</f>
        <v>0.167880847562202</v>
      </c>
      <c r="J71" s="702">
        <v>96.9071508455486</v>
      </c>
      <c r="K71" s="702">
        <v>97.0782569866043</v>
      </c>
      <c r="L71" s="486">
        <f>_xlfn.IFERROR(H71-K71,"")</f>
        <v>-0.1603761390421</v>
      </c>
    </row>
    <row customHeight="1" ht="14.25">
      <c r="A72" s="384"/>
      <c r="B72" s="461" t="s">
        <v>86</v>
      </c>
      <c r="C72" s="454" t="s">
        <v>85</v>
      </c>
      <c r="D72" s="570">
        <v>1.6</v>
      </c>
      <c r="E72" s="225">
        <f>_xlfn.IFERROR(石化取值!E72,"")</f>
        <v>3.9615310068576</v>
      </c>
      <c r="F72" s="463">
        <f>_xlfn.IFERROR(IF(D72=0,"",E72-D72),"")</f>
        <v>2.3615310068576</v>
      </c>
      <c r="G72" s="570">
        <v>2.05</v>
      </c>
      <c r="H72" s="226">
        <f>_xlfn.IFERROR(石化取值!H72,"")</f>
        <v>2.04207529857369</v>
      </c>
      <c r="I72" s="463">
        <f>_xlfn.IFERROR(IF(G72=0,"",H72-G72),"")</f>
        <v>-0.00792470142630997</v>
      </c>
      <c r="J72" s="702">
        <v>2.04292815722547</v>
      </c>
      <c r="K72" s="702">
        <v>1.87155399656296</v>
      </c>
      <c r="L72" s="486">
        <f>_xlfn.IFERROR(H72-K72,"")</f>
        <v>0.17052130201073</v>
      </c>
    </row>
    <row customHeight="1" ht="14.25">
      <c r="A73" s="384"/>
      <c r="B73" s="461" t="s">
        <v>87</v>
      </c>
      <c r="C73" s="454" t="s">
        <v>85</v>
      </c>
      <c r="D73" s="570">
        <v>1.05</v>
      </c>
      <c r="E73" s="225">
        <f>_xlfn.IFERROR(石化取值!E73,"")</f>
        <v>1.03006082309616</v>
      </c>
      <c r="F73" s="463">
        <f>_xlfn.IFERROR(IF(D73=0,"",E73-D73),"")</f>
        <v>-0.01993917690384</v>
      </c>
      <c r="G73" s="570">
        <v>1.2</v>
      </c>
      <c r="H73" s="226">
        <f>_xlfn.IFERROR(石化取值!H73,"")</f>
        <v>1.04002953657254</v>
      </c>
      <c r="I73" s="463">
        <f>_xlfn.IFERROR(IF(G73=0,"",H73-G73),"")</f>
        <v>-0.15997046342746</v>
      </c>
      <c r="J73" s="702">
        <v>1.04992099722595</v>
      </c>
      <c r="K73" s="702">
        <v>1.05018901683275</v>
      </c>
      <c r="L73" s="486">
        <f>_xlfn.IFERROR(H73-K73,"")</f>
        <v>-0.0101594802602099</v>
      </c>
    </row>
    <row customHeight="1" ht="14.25">
      <c r="A74" s="384"/>
      <c r="B74" s="461" t="s">
        <v>88</v>
      </c>
      <c r="C74" s="488" t="s">
        <v>89</v>
      </c>
      <c r="D74" s="570">
        <v>49</v>
      </c>
      <c r="E74" s="225">
        <f>_xlfn.IFERROR(石化取值!E74,"")</f>
        <v>42.2073974729342</v>
      </c>
      <c r="F74" s="463">
        <f>_xlfn.IFERROR(IF(D74=0,"",E74-D74),"")</f>
        <v>-6.7926025270658</v>
      </c>
      <c r="G74" s="570">
        <v>49.5</v>
      </c>
      <c r="H74" s="226">
        <f>_xlfn.IFERROR(石化取值!H74,"")</f>
        <v>42.4189937861165</v>
      </c>
      <c r="I74" s="463">
        <f>_xlfn.IFERROR(IF(G74=0,"",H74-G74),"")</f>
        <v>-7.0810062138835</v>
      </c>
      <c r="J74" s="702">
        <v>49.2749287383038</v>
      </c>
      <c r="K74" s="702">
        <v>44.5041448910358</v>
      </c>
      <c r="L74" s="486">
        <f>_xlfn.IFERROR(H74-K74,"")</f>
        <v>-2.0851511049193</v>
      </c>
    </row>
    <row customHeight="1" ht="14.25">
      <c r="A75" s="384"/>
      <c r="B75" s="461" t="s">
        <v>90</v>
      </c>
      <c r="C75" s="488" t="s">
        <v>91</v>
      </c>
      <c r="D75" s="570">
        <v>1.05008925758689</v>
      </c>
      <c r="E75" s="225">
        <f>_xlfn.IFERROR(石化取值!E75,"")</f>
        <v>1.03148656061437</v>
      </c>
      <c r="F75" s="463">
        <f>_xlfn.IFERROR(IF(D75=0,"",E75-D75),"")</f>
        <v>-0.0186026969725201</v>
      </c>
      <c r="G75" s="570">
        <v>1.05</v>
      </c>
      <c r="H75" s="226">
        <f>_xlfn.IFERROR(石化取值!H75,"")</f>
        <v>1.03334840980044</v>
      </c>
      <c r="I75" s="463">
        <f>_xlfn.IFERROR(IF(G75=0,"",H75-G75),"")</f>
        <v>-0.0166515901995601</v>
      </c>
      <c r="J75" s="702">
        <v>1.03076753418615</v>
      </c>
      <c r="K75" s="702">
        <v>1.03140600844846</v>
      </c>
      <c r="L75" s="486">
        <f>_xlfn.IFERROR(H75-K75,"")</f>
        <v>0.00194240135197998</v>
      </c>
    </row>
    <row customHeight="1" ht="14.25">
      <c r="A76" s="384"/>
      <c r="B76" s="461" t="s">
        <v>92</v>
      </c>
      <c r="C76" s="454" t="s">
        <v>85</v>
      </c>
      <c r="D76" s="570">
        <v>100</v>
      </c>
      <c r="E76" s="225">
        <f>_xlfn.IFERROR(石化取值!E76,"")</f>
        <v>100</v>
      </c>
      <c r="F76" s="463">
        <f>_xlfn.IFERROR(IF(D76=0,"",E76-D76),"")</f>
        <v>0</v>
      </c>
      <c r="G76" s="570">
        <v>100</v>
      </c>
      <c r="H76" s="226">
        <f>_xlfn.IFERROR(石化取值!H76,"")</f>
        <v>100</v>
      </c>
      <c r="I76" s="463">
        <f>_xlfn.IFERROR(IF(G76=0,"",H76-G76),"")</f>
        <v>0</v>
      </c>
      <c r="J76" s="702">
        <v>100</v>
      </c>
      <c r="K76" s="702">
        <v>100</v>
      </c>
      <c r="L76" s="486">
        <f>_xlfn.IFERROR(H76-K76,"")</f>
        <v>0</v>
      </c>
    </row>
    <row customHeight="1" ht="14.25">
      <c r="A77" s="384"/>
      <c r="B77" s="453" t="s">
        <v>93</v>
      </c>
      <c r="C77" s="491"/>
      <c r="D77" s="224"/>
      <c r="E77" s="225"/>
      <c r="F77" s="463"/>
      <c r="G77" s="224"/>
      <c r="H77" s="226"/>
      <c r="I77" s="463"/>
      <c r="J77" s="243"/>
      <c r="K77" s="243"/>
      <c r="L77" s="486"/>
    </row>
    <row customHeight="1" ht="14.25">
      <c r="A78" s="384"/>
      <c r="B78" s="461" t="s">
        <v>94</v>
      </c>
      <c r="C78" s="454" t="s">
        <v>85</v>
      </c>
      <c r="D78" s="570" t="str">
        <f>_xlfn.IFERROR(IF(石化取值!D78=0,"",石化取值!D78),"")</f>
        <v/>
      </c>
      <c r="E78" s="225"/>
      <c r="F78" s="463" t="str">
        <f>_xlfn.IFERROR(IF(D78=0,"",E78-D78),"")</f>
        <v/>
      </c>
      <c r="G78" s="570" t="str">
        <f>_xlfn.IFERROR(IF(石化取值!G78=0,"",石化取值!G78),"")</f>
        <v/>
      </c>
      <c r="H78" s="226"/>
      <c r="I78" s="463" t="str">
        <f>_xlfn.IFERROR(IF(G78=0,"",H78-G78),"")</f>
        <v/>
      </c>
      <c r="J78" s="702"/>
      <c r="K78" s="702"/>
      <c r="L78" s="486">
        <f>_xlfn.IFERROR(H78-K78,"")</f>
        <v>0</v>
      </c>
    </row>
    <row customHeight="1" ht="14.25">
      <c r="A79" s="384"/>
      <c r="B79" s="461" t="s">
        <v>95</v>
      </c>
      <c r="C79" s="454" t="s">
        <v>85</v>
      </c>
      <c r="D79" s="570" t="str">
        <f>_xlfn.IFERROR(IF(石化取值!D79=0,"",石化取值!D79),"")</f>
        <v/>
      </c>
      <c r="E79" s="225"/>
      <c r="F79" s="463" t="str">
        <f>_xlfn.IFERROR(IF(D79=0,"",E79-D79),"")</f>
        <v/>
      </c>
      <c r="G79" s="570" t="str">
        <f>_xlfn.IFERROR(IF(石化取值!G79=0,"",石化取值!G79),"")</f>
        <v/>
      </c>
      <c r="H79" s="226"/>
      <c r="I79" s="463" t="str">
        <f>_xlfn.IFERROR(IF(G79=0,"",H79-G79),"")</f>
        <v/>
      </c>
      <c r="J79" s="702"/>
      <c r="K79" s="702"/>
      <c r="L79" s="486">
        <f>_xlfn.IFERROR(H79-K79,"")</f>
        <v>0</v>
      </c>
    </row>
    <row customHeight="1" ht="14.25">
      <c r="A80" s="384"/>
      <c r="B80" s="461" t="s">
        <v>96</v>
      </c>
      <c r="C80" s="454" t="s">
        <v>85</v>
      </c>
      <c r="D80" s="570" t="str">
        <f>_xlfn.IFERROR(IF(石化取值!D80=0,"",石化取值!D80),"")</f>
        <v/>
      </c>
      <c r="E80" s="225"/>
      <c r="F80" s="463" t="str">
        <f>_xlfn.IFERROR(IF(D80=0,"",E80-D80),"")</f>
        <v/>
      </c>
      <c r="G80" s="570" t="str">
        <f>_xlfn.IFERROR(IF(石化取值!G80=0,"",石化取值!G80),"")</f>
        <v/>
      </c>
      <c r="H80" s="226"/>
      <c r="I80" s="463" t="str">
        <f>_xlfn.IFERROR(IF(G80=0,"",H80-G80),"")</f>
        <v/>
      </c>
      <c r="J80" s="702"/>
      <c r="K80" s="702"/>
      <c r="L80" s="486">
        <f>_xlfn.IFERROR(H80-K80,"")</f>
        <v>0</v>
      </c>
    </row>
    <row customHeight="1" ht="14.25">
      <c r="A81" s="384"/>
      <c r="B81" s="461" t="s">
        <v>97</v>
      </c>
      <c r="C81" s="454" t="s">
        <v>85</v>
      </c>
      <c r="D81" s="570" t="str">
        <f>_xlfn.IFERROR(IF(石化取值!D81=0,"",石化取值!D81),"")</f>
        <v/>
      </c>
      <c r="E81" s="225"/>
      <c r="F81" s="463" t="str">
        <f>_xlfn.IFERROR(IF(D81=0,"",E81-D81),"")</f>
        <v/>
      </c>
      <c r="G81" s="570" t="str">
        <f>_xlfn.IFERROR(IF(石化取值!G81=0,"",石化取值!G81),"")</f>
        <v/>
      </c>
      <c r="H81" s="226"/>
      <c r="I81" s="463" t="str">
        <f>_xlfn.IFERROR(IF(G81=0,"",H81-G81),"")</f>
        <v/>
      </c>
      <c r="J81" s="777"/>
      <c r="K81" s="777"/>
      <c r="L81" s="486">
        <f>_xlfn.IFERROR(H81-K81,"")</f>
        <v>0</v>
      </c>
    </row>
    <row customHeight="1" ht="14.25">
      <c r="A82" s="384"/>
      <c r="B82" s="461" t="s">
        <v>98</v>
      </c>
      <c r="C82" s="454" t="s">
        <v>85</v>
      </c>
      <c r="D82" s="570">
        <v>92.7</v>
      </c>
      <c r="E82" s="225">
        <f>_xlfn.IFERROR(石化取值!E82,"")</f>
        <v>93.0432331138787</v>
      </c>
      <c r="F82" s="463">
        <f>_xlfn.IFERROR(IF(D82=0,"",E82-D82),"")</f>
        <v>0.343233113878696</v>
      </c>
      <c r="G82" s="570">
        <v>92.5</v>
      </c>
      <c r="H82" s="226">
        <f>_xlfn.IFERROR(石化取值!H82,"")</f>
        <v>92.8475449954982</v>
      </c>
      <c r="I82" s="463">
        <f>_xlfn.IFERROR(IF(G82=0,"",H82-G82),"")</f>
        <v>0.347544995498197</v>
      </c>
      <c r="J82" s="702">
        <v>93.0004561925993</v>
      </c>
      <c r="K82" s="702">
        <v>92.9171183109736</v>
      </c>
      <c r="L82" s="486">
        <f>_xlfn.IFERROR(H82-K82,"")</f>
        <v>-0.0695733154754095</v>
      </c>
    </row>
    <row customHeight="1" ht="14.25">
      <c r="A83" s="384"/>
      <c r="B83" s="461" t="s">
        <v>99</v>
      </c>
      <c r="C83" s="454" t="s">
        <v>85</v>
      </c>
      <c r="D83" s="570">
        <v>25.5</v>
      </c>
      <c r="E83" s="225">
        <f>_xlfn.IFERROR(石化取值!E83,"")</f>
        <v>27.7560187849201</v>
      </c>
      <c r="F83" s="463">
        <f>_xlfn.IFERROR(IF(D83=0,"",E83-D83),"")</f>
        <v>2.2560187849201</v>
      </c>
      <c r="G83" s="570">
        <v>24.5</v>
      </c>
      <c r="H83" s="226">
        <f>_xlfn.IFERROR(石化取值!H83,"")</f>
        <v>26.889686411403</v>
      </c>
      <c r="I83" s="463">
        <f>_xlfn.IFERROR(IF(G83=0,"",H83-G83),"")</f>
        <v>2.389686411403</v>
      </c>
      <c r="J83" s="702">
        <v>28.3096778806621</v>
      </c>
      <c r="K83" s="702">
        <v>27.1419413509847</v>
      </c>
      <c r="L83" s="486">
        <f>_xlfn.IFERROR(H83-K83,"")</f>
        <v>-0.252254939581697</v>
      </c>
    </row>
    <row customHeight="1" ht="14.25">
      <c r="A84" s="384"/>
      <c r="B84" s="461" t="s">
        <v>100</v>
      </c>
      <c r="C84" s="454" t="s">
        <v>85</v>
      </c>
      <c r="D84" s="570" t="str">
        <f>_xlfn.IFERROR(IF(石化取值!D84=0,"",石化取值!D84),"")</f>
        <v/>
      </c>
      <c r="E84" s="225">
        <f>_xlfn.IFERROR(石化取值!E84,"")</f>
        <v>36.2999113862106</v>
      </c>
      <c r="F84" s="463" t="str">
        <f>_xlfn.IFERROR(IF(D84=0,"",E84-D84),"")</f>
        <v/>
      </c>
      <c r="G84" s="570">
        <v>17.5</v>
      </c>
      <c r="H84" s="226">
        <f>_xlfn.IFERROR(石化取值!H84,"")</f>
        <v>32.3133205341971</v>
      </c>
      <c r="I84" s="463">
        <f>_xlfn.IFERROR(IF(G84=0,"",H84-G84),"")</f>
        <v>14.8133205341971</v>
      </c>
      <c r="J84" s="702">
        <v>31.1336454266918</v>
      </c>
      <c r="K84" s="702">
        <v>32.9412073215503</v>
      </c>
      <c r="L84" s="486">
        <f>_xlfn.IFERROR(H84-K84,"")</f>
        <v>-0.627886787353198</v>
      </c>
    </row>
    <row customHeight="1" ht="14.25">
      <c r="A85" s="384"/>
      <c r="B85" s="461" t="s">
        <v>101</v>
      </c>
      <c r="C85" s="454" t="s">
        <v>85</v>
      </c>
      <c r="D85" s="570" t="str">
        <f>_xlfn.IFERROR(IF(石化取值!D85=0,"",石化取值!D85),"")</f>
        <v/>
      </c>
      <c r="E85" s="225">
        <f>_xlfn.IFERROR(石化取值!E85,"")</f>
        <v>0</v>
      </c>
      <c r="F85" s="463" t="str">
        <f>_xlfn.IFERROR(IF(D85=0,"",E85-D85),"")</f>
        <v/>
      </c>
      <c r="G85" s="570" t="str">
        <f>_xlfn.IFERROR(IF(石化取值!G85=0,"",石化取值!G85),"")</f>
        <v/>
      </c>
      <c r="H85" s="226">
        <f>_xlfn.IFERROR(石化取值!H85,"")</f>
        <v>0</v>
      </c>
      <c r="I85" s="463" t="str">
        <f>_xlfn.IFERROR(IF(G85=0,"",H85-G85),"")</f>
        <v/>
      </c>
      <c r="J85" s="702">
        <v>0</v>
      </c>
      <c r="K85" s="702">
        <v>0</v>
      </c>
      <c r="L85" s="486">
        <f>_xlfn.IFERROR(H85-K85,"")</f>
        <v>0</v>
      </c>
    </row>
    <row customHeight="1" ht="14.25">
      <c r="A86" s="384"/>
      <c r="B86" s="461" t="s">
        <v>102</v>
      </c>
      <c r="C86" s="454" t="s">
        <v>85</v>
      </c>
      <c r="D86" s="570" t="str">
        <f>_xlfn.IFERROR(IF(石化取值!D86=0,"",石化取值!D86),"")</f>
        <v/>
      </c>
      <c r="E86" s="225">
        <f>_xlfn.IFERROR(石化取值!E86,"")</f>
        <v>96.9474579876622</v>
      </c>
      <c r="F86" s="463" t="str">
        <f>_xlfn.IFERROR(IF(D86=0,"",E86-D86),"")</f>
        <v/>
      </c>
      <c r="G86" s="570" t="str">
        <f>_xlfn.IFERROR(IF(石化取值!G86=0,"",石化取值!G86),"")</f>
        <v/>
      </c>
      <c r="H86" s="226">
        <f>_xlfn.IFERROR(石化取值!H86,"")</f>
        <v>96.7727816209753</v>
      </c>
      <c r="I86" s="463" t="str">
        <f>_xlfn.IFERROR(IF(G86=0,"",H86-G86),"")</f>
        <v/>
      </c>
      <c r="J86" s="702">
        <v>97.015085054028</v>
      </c>
      <c r="K86" s="702">
        <v>96.9550295236595</v>
      </c>
      <c r="L86" s="486">
        <f>_xlfn.IFERROR(H86-K86,"")</f>
        <v>-0.18224790268421</v>
      </c>
    </row>
    <row customHeight="1" ht="14.25">
      <c r="A87" s="384"/>
      <c r="B87" s="461" t="s">
        <v>103</v>
      </c>
      <c r="C87" s="454" t="s">
        <v>85</v>
      </c>
      <c r="D87" s="570">
        <v>98</v>
      </c>
      <c r="E87" s="225">
        <f>_xlfn.IFERROR(石化取值!E87,"")</f>
        <v>98.5151131685595</v>
      </c>
      <c r="F87" s="463">
        <f>_xlfn.IFERROR(IF(D87=0,"",E87-D87),"")</f>
        <v>0.515113168559495</v>
      </c>
      <c r="G87" s="570">
        <v>98.5</v>
      </c>
      <c r="H87" s="226">
        <f>_xlfn.IFERROR(石化取值!H87,"")</f>
        <v>98.499552944479</v>
      </c>
      <c r="I87" s="463">
        <f>_xlfn.IFERROR(IF(G87=0,"",H87-G87),"")</f>
        <v>-0.000447055520993445</v>
      </c>
      <c r="J87" s="702">
        <v>98.0206369284868</v>
      </c>
      <c r="K87" s="702">
        <v>98.6944213107757</v>
      </c>
      <c r="L87" s="486">
        <f>_xlfn.IFERROR(H87-K87,"")</f>
        <v>-0.194868366296689</v>
      </c>
    </row>
    <row customHeight="1" ht="14.25">
      <c r="A88" s="384"/>
      <c r="B88" s="461" t="s">
        <v>104</v>
      </c>
      <c r="C88" s="454" t="s">
        <v>85</v>
      </c>
      <c r="D88" s="575">
        <v>99</v>
      </c>
      <c r="E88" s="230">
        <f>_xlfn.IFERROR(石化取值!E88,"")</f>
        <v>99.2393691980763</v>
      </c>
      <c r="F88" s="495">
        <f>_xlfn.IFERROR(IF(D88=0,"",E88-D88),"")</f>
        <v>0.239369198076304</v>
      </c>
      <c r="G88" s="575">
        <v>99</v>
      </c>
      <c r="H88" s="232">
        <f>_xlfn.IFERROR(石化取值!H88,"")</f>
        <v>99.3357080872722</v>
      </c>
      <c r="I88" s="495">
        <f>_xlfn.IFERROR(IF(G88=0,"",H88-G88),"")</f>
        <v>0.335708087272195</v>
      </c>
      <c r="J88" s="704">
        <v>99.3564632109048</v>
      </c>
      <c r="K88" s="704">
        <v>99.273488953064</v>
      </c>
      <c r="L88" s="486">
        <f>_xlfn.IFERROR(H88-K88,"")</f>
        <v>0.0622191342081919</v>
      </c>
    </row>
    <row customHeight="1" ht="14.25">
      <c r="A89" s="384"/>
      <c r="B89" s="499" t="s">
        <v>105</v>
      </c>
      <c r="C89" s="454" t="s">
        <v>85</v>
      </c>
      <c r="D89" s="500"/>
      <c r="E89" s="500"/>
      <c r="F89" s="500"/>
      <c r="G89" s="500"/>
      <c r="H89" s="500"/>
      <c r="I89" s="500"/>
      <c r="J89" s="500"/>
      <c r="K89" s="500"/>
      <c r="L89" s="583"/>
    </row>
    <row customHeight="1" ht="14.25">
      <c r="A90" s="384"/>
      <c r="B90" s="502" t="s">
        <v>106</v>
      </c>
      <c r="C90" s="580"/>
      <c r="D90" s="504"/>
      <c r="E90" s="504"/>
      <c r="F90" s="504"/>
      <c r="G90" s="504"/>
      <c r="H90" s="504"/>
      <c r="I90" s="504"/>
      <c r="J90" s="504"/>
      <c r="K90" s="504"/>
      <c r="L90" s="583"/>
    </row>
    <row customHeight="1" ht="14.25">
      <c r="A91" s="384"/>
      <c r="B91" s="507"/>
      <c r="C91" s="504"/>
      <c r="D91" s="504"/>
      <c r="E91" s="504"/>
      <c r="F91" s="504"/>
      <c r="G91" s="504"/>
      <c r="H91" s="504"/>
      <c r="I91" s="504"/>
      <c r="J91" s="504"/>
      <c r="K91" s="504"/>
      <c r="L91" s="506"/>
    </row>
    <row customHeight="1" ht="14.25">
      <c r="A92" s="384"/>
      <c r="B92" s="507"/>
      <c r="C92" s="504"/>
      <c r="D92" s="504"/>
      <c r="E92" s="504"/>
      <c r="F92" s="504"/>
      <c r="G92" s="504"/>
      <c r="H92" s="504"/>
      <c r="I92" s="504"/>
      <c r="J92" s="504"/>
      <c r="K92" s="504"/>
      <c r="L92" s="506"/>
    </row>
    <row customHeight="1" ht="15">
      <c r="A93" s="384"/>
      <c r="B93" s="508"/>
      <c r="C93" s="509"/>
      <c r="D93" s="509"/>
      <c r="E93" s="509"/>
      <c r="F93" s="509"/>
      <c r="G93" s="509"/>
      <c r="H93" s="509"/>
      <c r="I93" s="509"/>
      <c r="J93" s="509"/>
      <c r="K93" s="509"/>
      <c r="L93" s="511"/>
    </row>
    <row customHeight="1" ht="14.25">
      <c r="A94" s="384"/>
      <c r="B94" s="239" t="s">
        <v>107</v>
      </c>
      <c r="C94" s="514" t="s">
        <v>110</v>
      </c>
      <c r="D94" s="239" t="s">
        <v>109</v>
      </c>
      <c r="E94" s="239"/>
      <c r="F94" s="515" t="s">
        <v>110</v>
      </c>
      <c r="G94" s="239" t="s">
        <v>111</v>
      </c>
      <c r="H94" s="516" t="s">
        <v>112</v>
      </c>
      <c r="I94" s="250"/>
      <c r="J94" s="239" t="s">
        <v>113</v>
      </c>
      <c r="K94" s="514" t="s">
        <v>114</v>
      </c>
      <c r="L94" s="518"/>
    </row>
    <row customHeight="1" ht="14.25">
      <c r="A95" s="384"/>
      <c r="B95" s="384"/>
      <c r="C95" s="384"/>
      <c r="D95" s="384"/>
      <c r="E95" s="435"/>
      <c r="F95" s="520"/>
      <c r="G95" s="384"/>
      <c r="H95" s="435"/>
      <c r="I95" s="520"/>
      <c r="J95" s="384"/>
      <c r="K95" s="384"/>
      <c r="L95" s="384"/>
    </row>
    <row customHeight="1" ht="14.25" hidden="1">
      <c r="A96" s="384"/>
      <c r="B96" s="384"/>
      <c r="C96" s="435" t="s">
        <v>110</v>
      </c>
      <c r="D96" s="384"/>
      <c r="E96" s="435"/>
      <c r="F96" s="520" t="s">
        <v>110</v>
      </c>
      <c r="G96" s="384"/>
      <c r="H96" s="435" t="s">
        <v>112</v>
      </c>
      <c r="I96" s="520"/>
      <c r="J96" s="384"/>
      <c r="K96" s="435" t="s">
        <v>114</v>
      </c>
      <c r="L96" s="384"/>
    </row>
    <row customHeight="1" ht="14.25">
      <c r="A97" s="384"/>
      <c r="B97" s="384"/>
      <c r="C97" s="384"/>
      <c r="D97" s="384"/>
      <c r="E97" s="519"/>
      <c r="F97" s="384"/>
      <c r="G97" s="384"/>
      <c r="H97" s="519"/>
      <c r="I97" s="384"/>
      <c r="J97" s="384"/>
      <c r="K97" s="384"/>
      <c r="L97" s="384"/>
    </row>
    <row customHeight="1" ht="14.25">
      <c r="A98" s="384"/>
      <c r="B98" s="384"/>
      <c r="C98" s="384"/>
      <c r="D98" s="384"/>
      <c r="E98" s="519"/>
      <c r="F98" s="384"/>
      <c r="G98" s="384"/>
      <c r="H98" s="519"/>
      <c r="I98" s="384"/>
      <c r="J98" s="384"/>
      <c r="K98" s="384"/>
      <c r="L98" s="384"/>
    </row>
    <row customHeight="1" ht="14.25">
      <c r="A99" s="384"/>
      <c r="B99" s="384"/>
      <c r="C99" s="384"/>
      <c r="D99" s="384"/>
      <c r="E99" s="519"/>
      <c r="F99" s="384"/>
      <c r="G99" s="384"/>
      <c r="H99" s="519"/>
      <c r="I99" s="384"/>
      <c r="J99" s="384"/>
      <c r="K99" s="384"/>
      <c r="L99" s="384"/>
    </row>
    <row customHeight="1" ht="14.4525">
      <c r="A100" s="384"/>
      <c r="B100" s="384"/>
      <c r="C100" s="384"/>
      <c r="D100" s="384"/>
      <c r="E100" s="519"/>
      <c r="F100" s="384"/>
      <c r="G100" s="384"/>
      <c r="H100" s="519"/>
      <c r="I100" s="384"/>
      <c r="J100" s="384"/>
      <c r="K100" s="384"/>
      <c r="L100" s="384"/>
    </row>
    <row customHeight="1" ht="14.4525">
      <c r="A101" s="384"/>
      <c r="B101" s="384"/>
      <c r="C101" s="384"/>
      <c r="D101" s="384"/>
      <c r="E101" s="519"/>
      <c r="F101" s="384"/>
      <c r="G101" s="384"/>
      <c r="H101" s="519"/>
      <c r="I101" s="384"/>
      <c r="J101" s="384"/>
      <c r="K101" s="384"/>
      <c r="L101" s="384"/>
    </row>
    <row customHeight="1" ht="14.4525">
      <c r="A102" s="384"/>
      <c r="B102" s="384"/>
      <c r="C102" s="384"/>
      <c r="D102" s="384"/>
      <c r="E102" s="519"/>
      <c r="F102" s="384"/>
      <c r="G102" s="384"/>
      <c r="H102" s="519"/>
      <c r="I102" s="384"/>
      <c r="J102" s="384"/>
      <c r="K102" s="384"/>
      <c r="L102" s="384"/>
    </row>
    <row customHeight="1" ht="14.4525">
      <c r="A103" s="384"/>
      <c r="B103" s="384"/>
      <c r="C103" s="384"/>
      <c r="D103" s="384"/>
      <c r="E103" s="519"/>
      <c r="F103" s="384"/>
      <c r="G103" s="384"/>
      <c r="H103" s="519"/>
      <c r="I103" s="384"/>
      <c r="J103" s="384"/>
      <c r="K103" s="384"/>
      <c r="L103" s="384"/>
    </row>
    <row customHeight="1" ht="14.4525">
      <c r="A104" s="384"/>
      <c r="B104" s="384"/>
      <c r="C104" s="384"/>
      <c r="D104" s="384"/>
      <c r="E104" s="519"/>
      <c r="F104" s="384"/>
      <c r="G104" s="384"/>
      <c r="H104" s="519"/>
      <c r="I104" s="384"/>
      <c r="J104" s="384"/>
      <c r="K104" s="384"/>
      <c r="L104" s="384"/>
    </row>
    <row customHeight="1" ht="14.4525">
      <c r="A105" s="384"/>
      <c r="B105" s="384"/>
      <c r="C105" s="384"/>
      <c r="D105" s="384"/>
      <c r="E105" s="519"/>
      <c r="F105" s="384"/>
      <c r="G105" s="384"/>
      <c r="H105" s="519"/>
      <c r="I105" s="384"/>
      <c r="J105" s="384"/>
      <c r="K105" s="384"/>
      <c r="L105" s="384"/>
    </row>
    <row customHeight="1" ht="14.4525">
      <c r="A106" s="384"/>
      <c r="B106" s="384"/>
      <c r="C106" s="384"/>
      <c r="D106" s="384"/>
      <c r="E106" s="519"/>
      <c r="F106" s="384"/>
      <c r="G106" s="384"/>
      <c r="H106" s="519"/>
      <c r="I106" s="384"/>
      <c r="J106" s="384"/>
      <c r="K106" s="384"/>
      <c r="L106" s="384"/>
    </row>
    <row customHeight="1" ht="14.4525">
      <c r="A107" s="384"/>
      <c r="B107" s="384"/>
      <c r="C107" s="384"/>
      <c r="D107" s="384"/>
      <c r="E107" s="519"/>
      <c r="F107" s="384"/>
      <c r="G107" s="384"/>
      <c r="H107" s="519"/>
      <c r="I107" s="384"/>
      <c r="J107" s="384"/>
      <c r="K107" s="384"/>
      <c r="L107" s="384"/>
    </row>
    <row customHeight="1" ht="14.4525">
      <c r="A108" s="384"/>
      <c r="B108" s="384"/>
      <c r="C108" s="384"/>
      <c r="D108" s="384"/>
      <c r="E108" s="519"/>
      <c r="F108" s="384"/>
      <c r="G108" s="384"/>
      <c r="H108" s="519"/>
      <c r="I108" s="384"/>
      <c r="J108" s="384"/>
      <c r="K108" s="384"/>
      <c r="L108" s="384"/>
    </row>
    <row customHeight="1" ht="14.4525">
      <c r="A109" s="384"/>
      <c r="B109" s="384"/>
      <c r="C109" s="384"/>
      <c r="D109" s="384"/>
      <c r="E109" s="519"/>
      <c r="F109" s="384"/>
      <c r="G109" s="384"/>
      <c r="H109" s="519"/>
      <c r="I109" s="384"/>
      <c r="J109" s="384"/>
      <c r="K109" s="384"/>
      <c r="L109" s="384"/>
    </row>
    <row customHeight="1" ht="14.4525">
      <c r="A110" s="384"/>
      <c r="B110" s="384"/>
      <c r="C110" s="384"/>
      <c r="D110" s="384"/>
      <c r="E110" s="519"/>
      <c r="F110" s="384"/>
      <c r="G110" s="384"/>
      <c r="H110" s="519"/>
      <c r="I110" s="384"/>
      <c r="J110" s="384"/>
      <c r="K110" s="384"/>
      <c r="L110" s="384"/>
    </row>
    <row customHeight="1" ht="14.4525">
      <c r="A111" s="384"/>
      <c r="B111" s="384"/>
      <c r="C111" s="384"/>
      <c r="D111" s="384"/>
      <c r="E111" s="519"/>
      <c r="F111" s="384"/>
      <c r="G111" s="384"/>
      <c r="H111" s="519"/>
      <c r="I111" s="384"/>
      <c r="J111" s="384"/>
      <c r="K111" s="384"/>
      <c r="L111" s="384"/>
    </row>
    <row customHeight="1" ht="14.4525">
      <c r="A112" s="384"/>
      <c r="B112" s="384"/>
      <c r="C112" s="384"/>
      <c r="D112" s="384"/>
      <c r="E112" s="519"/>
      <c r="F112" s="384"/>
      <c r="G112" s="384"/>
      <c r="H112" s="519"/>
      <c r="I112" s="384"/>
      <c r="J112" s="384"/>
      <c r="K112" s="384"/>
      <c r="L112" s="384"/>
    </row>
    <row customHeight="1" ht="14.4525">
      <c r="A113" s="384"/>
      <c r="B113" s="384"/>
      <c r="C113" s="384"/>
      <c r="D113" s="384"/>
      <c r="E113" s="519"/>
      <c r="F113" s="384"/>
      <c r="G113" s="384"/>
      <c r="H113" s="519"/>
      <c r="I113" s="384"/>
      <c r="J113" s="384"/>
      <c r="K113" s="384"/>
      <c r="L113" s="384"/>
    </row>
    <row customHeight="1" ht="14.4525">
      <c r="A114" s="384"/>
      <c r="B114" s="384"/>
      <c r="C114" s="384"/>
      <c r="D114" s="384"/>
      <c r="E114" s="519"/>
      <c r="F114" s="384"/>
      <c r="G114" s="384"/>
      <c r="H114" s="519"/>
      <c r="I114" s="384"/>
      <c r="J114" s="384"/>
      <c r="K114" s="384"/>
      <c r="L114" s="384"/>
    </row>
    <row customHeight="1" ht="14.4525">
      <c r="A115" s="384"/>
      <c r="B115" s="384"/>
      <c r="C115" s="384"/>
      <c r="D115" s="384"/>
      <c r="E115" s="519"/>
      <c r="F115" s="384"/>
      <c r="G115" s="384"/>
      <c r="H115" s="519"/>
      <c r="I115" s="384"/>
      <c r="J115" s="384"/>
      <c r="K115" s="384"/>
      <c r="L115" s="384"/>
    </row>
    <row customHeight="1" ht="14.4525">
      <c r="A116" s="384"/>
      <c r="B116" s="384"/>
      <c r="C116" s="384"/>
      <c r="D116" s="384"/>
      <c r="E116" s="519"/>
      <c r="F116" s="384"/>
      <c r="G116" s="384"/>
      <c r="H116" s="519"/>
      <c r="I116" s="384"/>
      <c r="J116" s="384"/>
      <c r="K116" s="384"/>
      <c r="L116" s="384"/>
    </row>
    <row customHeight="1" ht="14.4525">
      <c r="A117" s="384"/>
      <c r="B117" s="384"/>
      <c r="C117" s="384"/>
      <c r="D117" s="384"/>
      <c r="E117" s="519"/>
      <c r="F117" s="384"/>
      <c r="G117" s="384"/>
      <c r="H117" s="519"/>
      <c r="I117" s="384"/>
      <c r="J117" s="384"/>
      <c r="K117" s="384"/>
      <c r="L117" s="384"/>
    </row>
    <row customHeight="1" ht="14.4525">
      <c r="A118" s="384"/>
      <c r="B118" s="384"/>
      <c r="C118" s="384"/>
      <c r="D118" s="384"/>
      <c r="E118" s="519"/>
      <c r="F118" s="384"/>
      <c r="G118" s="384"/>
      <c r="H118" s="519"/>
      <c r="I118" s="384"/>
      <c r="J118" s="384"/>
      <c r="K118" s="384"/>
      <c r="L118" s="384"/>
    </row>
    <row customHeight="1" ht="14.4525">
      <c r="A119" s="384"/>
      <c r="B119" s="384"/>
      <c r="C119" s="384"/>
      <c r="D119" s="384"/>
      <c r="E119" s="519"/>
      <c r="F119" s="384"/>
      <c r="G119" s="384"/>
      <c r="H119" s="519"/>
      <c r="I119" s="384"/>
      <c r="J119" s="384"/>
      <c r="K119" s="384"/>
      <c r="L119" s="384"/>
    </row>
    <row customHeight="1" ht="14.4525">
      <c r="A120" s="384"/>
      <c r="B120" s="384"/>
      <c r="C120" s="384"/>
      <c r="D120" s="384"/>
      <c r="E120" s="519"/>
      <c r="F120" s="384"/>
      <c r="G120" s="384"/>
      <c r="H120" s="519"/>
      <c r="I120" s="384"/>
      <c r="J120" s="384"/>
      <c r="K120" s="384"/>
      <c r="L120" s="384"/>
    </row>
    <row customHeight="1" ht="14.4525">
      <c r="A121" s="384"/>
      <c r="B121" s="384"/>
      <c r="C121" s="384"/>
      <c r="D121" s="384"/>
      <c r="E121" s="519"/>
      <c r="F121" s="384"/>
      <c r="G121" s="384"/>
      <c r="H121" s="519"/>
      <c r="I121" s="384"/>
      <c r="J121" s="384"/>
      <c r="K121" s="384"/>
      <c r="L121" s="384"/>
    </row>
    <row customHeight="1" ht="14.4525">
      <c r="A122" s="384"/>
      <c r="B122" s="384"/>
      <c r="C122" s="384"/>
      <c r="D122" s="384"/>
      <c r="E122" s="519"/>
      <c r="F122" s="384"/>
      <c r="G122" s="384"/>
      <c r="H122" s="519"/>
      <c r="I122" s="384"/>
      <c r="J122" s="384"/>
      <c r="K122" s="384"/>
      <c r="L122" s="384"/>
    </row>
    <row customHeight="1" ht="14.4525">
      <c r="A123" s="384"/>
      <c r="B123" s="384"/>
      <c r="C123" s="384"/>
      <c r="D123" s="384"/>
      <c r="E123" s="519"/>
      <c r="F123" s="384"/>
      <c r="G123" s="384"/>
      <c r="H123" s="519"/>
      <c r="I123" s="384"/>
      <c r="J123" s="384"/>
      <c r="K123" s="384"/>
      <c r="L123" s="384"/>
    </row>
    <row customHeight="1" ht="14.4525">
      <c r="A124" s="384"/>
      <c r="B124" s="384"/>
      <c r="C124" s="384"/>
      <c r="D124" s="384"/>
      <c r="E124" s="519"/>
      <c r="F124" s="384"/>
      <c r="G124" s="384"/>
      <c r="H124" s="519"/>
      <c r="I124" s="384"/>
      <c r="J124" s="384"/>
      <c r="K124" s="384"/>
      <c r="L124" s="384"/>
    </row>
    <row customHeight="1" ht="14.4525">
      <c r="A125" s="384"/>
      <c r="B125" s="384"/>
      <c r="C125" s="384"/>
      <c r="D125" s="384"/>
      <c r="E125" s="519"/>
      <c r="F125" s="384"/>
      <c r="G125" s="384"/>
      <c r="H125" s="519"/>
      <c r="I125" s="384"/>
      <c r="J125" s="384"/>
      <c r="K125" s="384"/>
      <c r="L125" s="384"/>
    </row>
    <row customHeight="1" ht="14.4525">
      <c r="A126" s="384"/>
      <c r="B126" s="384"/>
      <c r="C126" s="384"/>
      <c r="D126" s="384"/>
      <c r="E126" s="519"/>
      <c r="F126" s="384"/>
      <c r="G126" s="384"/>
      <c r="H126" s="519"/>
      <c r="I126" s="384"/>
      <c r="J126" s="384"/>
      <c r="K126" s="384"/>
      <c r="L126" s="384"/>
    </row>
    <row customHeight="1" ht="14.4525">
      <c r="A127" s="384"/>
      <c r="B127" s="384"/>
      <c r="C127" s="384"/>
      <c r="D127" s="384"/>
      <c r="E127" s="519"/>
      <c r="F127" s="384"/>
      <c r="G127" s="384"/>
      <c r="H127" s="519"/>
      <c r="I127" s="384"/>
      <c r="J127" s="384"/>
      <c r="K127" s="384"/>
      <c r="L127" s="384"/>
    </row>
    <row customHeight="1" ht="14.4525">
      <c r="A128" s="384"/>
      <c r="B128" s="384"/>
      <c r="C128" s="384"/>
      <c r="D128" s="384"/>
      <c r="E128" s="519"/>
      <c r="F128" s="384"/>
      <c r="G128" s="384"/>
      <c r="H128" s="519"/>
      <c r="I128" s="384"/>
      <c r="J128" s="384"/>
      <c r="K128" s="384"/>
      <c r="L128" s="384"/>
    </row>
    <row customHeight="1" ht="14.4525">
      <c r="A129" s="384"/>
      <c r="B129" s="384"/>
      <c r="C129" s="384"/>
      <c r="D129" s="384"/>
      <c r="E129" s="519"/>
      <c r="F129" s="384"/>
      <c r="G129" s="384"/>
      <c r="H129" s="519"/>
      <c r="I129" s="384"/>
      <c r="J129" s="384"/>
      <c r="K129" s="384"/>
      <c r="L129" s="384"/>
    </row>
    <row customHeight="1" ht="14.4525">
      <c r="A130" s="384"/>
      <c r="B130" s="384"/>
      <c r="C130" s="384"/>
      <c r="D130" s="384"/>
      <c r="E130" s="519"/>
      <c r="F130" s="384"/>
      <c r="G130" s="384"/>
      <c r="H130" s="519"/>
      <c r="I130" s="384"/>
      <c r="J130" s="384"/>
      <c r="K130" s="384"/>
      <c r="L130" s="384"/>
    </row>
    <row customHeight="1" ht="14.4525">
      <c r="A131" s="384"/>
      <c r="B131" s="384"/>
      <c r="C131" s="384"/>
      <c r="D131" s="384"/>
      <c r="E131" s="519"/>
      <c r="F131" s="384"/>
      <c r="G131" s="384"/>
      <c r="H131" s="519"/>
      <c r="I131" s="384"/>
      <c r="J131" s="384"/>
      <c r="K131" s="384"/>
      <c r="L131" s="384"/>
    </row>
    <row customHeight="1" ht="14.4525">
      <c r="A132" s="384"/>
      <c r="B132" s="384"/>
      <c r="C132" s="384"/>
      <c r="D132" s="384"/>
      <c r="E132" s="519"/>
      <c r="F132" s="384"/>
      <c r="G132" s="384"/>
      <c r="H132" s="519"/>
      <c r="I132" s="384"/>
      <c r="J132" s="384"/>
      <c r="K132" s="384"/>
      <c r="L132" s="384"/>
    </row>
    <row customHeight="1" ht="14.4525">
      <c r="A133" s="384"/>
      <c r="B133" s="384"/>
      <c r="C133" s="384"/>
      <c r="D133" s="384"/>
      <c r="E133" s="519"/>
      <c r="F133" s="384"/>
      <c r="G133" s="384"/>
      <c r="H133" s="519"/>
      <c r="I133" s="384"/>
      <c r="J133" s="384"/>
      <c r="K133" s="384"/>
      <c r="L133" s="384"/>
    </row>
    <row customHeight="1" ht="14.4525">
      <c r="A134" s="384"/>
      <c r="B134" s="384"/>
      <c r="C134" s="384"/>
      <c r="D134" s="384"/>
      <c r="E134" s="519"/>
      <c r="F134" s="384"/>
      <c r="G134" s="384"/>
      <c r="H134" s="519"/>
      <c r="I134" s="384"/>
      <c r="J134" s="384"/>
      <c r="K134" s="384"/>
      <c r="L134" s="384"/>
    </row>
    <row customHeight="1" ht="14.4525">
      <c r="A135" s="384"/>
      <c r="B135" s="384"/>
      <c r="C135" s="384"/>
      <c r="D135" s="384"/>
      <c r="E135" s="519"/>
      <c r="F135" s="384"/>
      <c r="G135" s="384"/>
      <c r="H135" s="519"/>
      <c r="I135" s="384"/>
      <c r="J135" s="384"/>
      <c r="K135" s="384"/>
      <c r="L135" s="384"/>
    </row>
    <row customHeight="1" ht="14.4525">
      <c r="A136" s="384"/>
      <c r="B136" s="384"/>
      <c r="C136" s="384"/>
      <c r="D136" s="384"/>
      <c r="E136" s="519"/>
      <c r="F136" s="384"/>
      <c r="G136" s="384"/>
      <c r="H136" s="519"/>
      <c r="I136" s="384"/>
      <c r="J136" s="384"/>
      <c r="K136" s="384"/>
      <c r="L136" s="384"/>
    </row>
    <row customHeight="1" ht="14.4525">
      <c r="A137" s="384"/>
      <c r="B137" s="384"/>
      <c r="C137" s="384"/>
      <c r="D137" s="384"/>
      <c r="E137" s="519"/>
      <c r="F137" s="384"/>
      <c r="G137" s="384"/>
      <c r="H137" s="519"/>
      <c r="I137" s="384"/>
      <c r="J137" s="384"/>
      <c r="K137" s="384"/>
      <c r="L137" s="384"/>
    </row>
    <row customHeight="1" ht="14.4525">
      <c r="A138" s="384"/>
      <c r="B138" s="384"/>
      <c r="C138" s="384"/>
      <c r="D138" s="384"/>
      <c r="E138" s="519"/>
      <c r="F138" s="384"/>
      <c r="G138" s="384"/>
      <c r="H138" s="519"/>
      <c r="I138" s="384"/>
      <c r="J138" s="384"/>
      <c r="K138" s="384"/>
      <c r="L138" s="384"/>
    </row>
    <row customHeight="1" ht="14.4525">
      <c r="A139" s="384"/>
      <c r="B139" s="384"/>
      <c r="C139" s="384"/>
      <c r="D139" s="384"/>
      <c r="E139" s="519"/>
      <c r="F139" s="384"/>
      <c r="G139" s="384"/>
      <c r="H139" s="519"/>
      <c r="I139" s="384"/>
      <c r="J139" s="384"/>
      <c r="K139" s="384"/>
      <c r="L139" s="384"/>
    </row>
    <row customHeight="1" ht="14.4525">
      <c r="A140" s="384"/>
      <c r="B140" s="384"/>
      <c r="C140" s="384"/>
      <c r="D140" s="384"/>
      <c r="E140" s="519"/>
      <c r="F140" s="384"/>
      <c r="G140" s="384"/>
      <c r="H140" s="519"/>
      <c r="I140" s="384"/>
      <c r="J140" s="384"/>
      <c r="K140" s="384"/>
      <c r="L140" s="384"/>
    </row>
    <row customHeight="1" ht="14.4525">
      <c r="A141" s="384"/>
      <c r="B141" s="384"/>
      <c r="C141" s="384"/>
      <c r="D141" s="384"/>
      <c r="E141" s="519"/>
      <c r="F141" s="384"/>
      <c r="G141" s="384"/>
      <c r="H141" s="519"/>
      <c r="I141" s="384"/>
      <c r="J141" s="384"/>
      <c r="K141" s="384"/>
      <c r="L141" s="384"/>
    </row>
    <row customHeight="1" ht="14.4525">
      <c r="A142" s="384"/>
      <c r="B142" s="384"/>
      <c r="C142" s="384"/>
      <c r="D142" s="384"/>
      <c r="E142" s="519"/>
      <c r="F142" s="384"/>
      <c r="G142" s="384"/>
      <c r="H142" s="519"/>
      <c r="I142" s="384"/>
      <c r="J142" s="384"/>
      <c r="K142" s="384"/>
      <c r="L142" s="384"/>
    </row>
    <row customHeight="1" ht="14.4525">
      <c r="A143" s="384"/>
      <c r="B143" s="384"/>
      <c r="C143" s="384"/>
      <c r="D143" s="384"/>
      <c r="E143" s="519"/>
      <c r="F143" s="384"/>
      <c r="G143" s="384"/>
      <c r="H143" s="519"/>
      <c r="I143" s="384"/>
      <c r="J143" s="384"/>
      <c r="K143" s="384"/>
      <c r="L143" s="384"/>
    </row>
    <row customHeight="1" ht="14.4525">
      <c r="A144" s="384"/>
      <c r="B144" s="384"/>
      <c r="C144" s="384"/>
      <c r="D144" s="384"/>
      <c r="E144" s="519"/>
      <c r="F144" s="384"/>
      <c r="G144" s="384"/>
      <c r="H144" s="519"/>
      <c r="I144" s="384"/>
      <c r="J144" s="384"/>
      <c r="K144" s="384"/>
      <c r="L144" s="384"/>
    </row>
    <row customHeight="1" ht="14.4525">
      <c r="A145" s="384"/>
      <c r="B145" s="384"/>
      <c r="C145" s="384"/>
      <c r="D145" s="384"/>
      <c r="E145" s="519"/>
      <c r="F145" s="384"/>
      <c r="G145" s="384"/>
      <c r="H145" s="519"/>
      <c r="I145" s="384"/>
      <c r="J145" s="384"/>
      <c r="K145" s="384"/>
      <c r="L145" s="384"/>
    </row>
    <row customHeight="1" ht="14.4525">
      <c r="A146" s="384"/>
      <c r="B146" s="384"/>
      <c r="C146" s="384"/>
      <c r="D146" s="384"/>
      <c r="E146" s="519"/>
      <c r="F146" s="384"/>
      <c r="G146" s="384"/>
      <c r="H146" s="519"/>
      <c r="I146" s="384"/>
      <c r="J146" s="384"/>
      <c r="K146" s="384"/>
      <c r="L146" s="384"/>
    </row>
    <row customHeight="1" ht="14.4525">
      <c r="A147" s="384"/>
      <c r="B147" s="384"/>
      <c r="C147" s="384"/>
      <c r="D147" s="384"/>
      <c r="E147" s="519"/>
      <c r="F147" s="384"/>
      <c r="G147" s="384"/>
      <c r="H147" s="519"/>
      <c r="I147" s="384"/>
      <c r="J147" s="384"/>
      <c r="K147" s="384"/>
      <c r="L147" s="384"/>
    </row>
    <row customHeight="1" ht="14.4525">
      <c r="A148" s="384"/>
      <c r="B148" s="384"/>
      <c r="C148" s="384"/>
      <c r="D148" s="384"/>
      <c r="E148" s="519"/>
      <c r="F148" s="384"/>
      <c r="G148" s="384"/>
      <c r="H148" s="519"/>
      <c r="I148" s="384"/>
      <c r="J148" s="384"/>
      <c r="K148" s="384"/>
      <c r="L148" s="384"/>
    </row>
  </sheetData>
  <mergeCells count="12">
    <mergeCell ref="B1:L1"/>
    <mergeCell ref="D2:I2"/>
    <mergeCell ref="J2:L2"/>
    <mergeCell ref="D3:F3"/>
    <mergeCell ref="G3:I3"/>
    <mergeCell ref="J3:K3"/>
    <mergeCell ref="D94:E94"/>
    <mergeCell ref="B3:B4"/>
    <mergeCell ref="B90:B93"/>
    <mergeCell ref="C3:C4"/>
    <mergeCell ref="L3:L4"/>
    <mergeCell ref="C90:L93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1D677D3-A423-A312-A9B8-DC37D74C9EA8}" mc:Ignorable="x14ac xr xr2 xr3">
  <dimension ref="A1:E95"/>
  <sheetViews>
    <sheetView workbookViewId="0">
      <pane xSplit="1" ySplit="2" topLeftCell="C42" activePane="bottomRight" state="frozen"/>
      <selection pane="bottomLeft" activeCell="A3" sqref="A3"/>
      <selection pane="topRight" activeCell="B1" sqref="B1"/>
      <selection pane="bottomRight" activeCell="E57" sqref="E57"/>
    </sheetView>
  </sheetViews>
  <sheetFormatPr defaultColWidth="9.00390625" customHeight="1" defaultRowHeight="13.5"/>
  <cols>
    <col min="1" max="1" style="139" width="25.8515625" customWidth="1"/>
    <col min="2" max="2" style="139" width="49.140625" customWidth="1"/>
    <col min="3" max="3" style="139" width="59.140625" customWidth="1"/>
    <col min="4" max="4" style="139" width="50.57421875" customWidth="1"/>
    <col min="5" max="5" style="139" width="69.421875" customWidth="1"/>
  </cols>
  <sheetData>
    <row customHeight="1" ht="13.5">
      <c r="A1" s="140" t="s">
        <v>4</v>
      </c>
      <c r="B1" s="779" t="s">
        <v>117</v>
      </c>
      <c r="C1" s="780" t="s">
        <v>118</v>
      </c>
      <c r="D1" s="780" t="s">
        <v>119</v>
      </c>
      <c r="E1" s="780" t="s">
        <v>167</v>
      </c>
    </row>
    <row customHeight="1" ht="13.5">
      <c r="A2" s="143"/>
      <c r="B2" s="782" t="s">
        <v>168</v>
      </c>
      <c r="C2" s="783" t="s">
        <v>168</v>
      </c>
      <c r="D2" s="783" t="s">
        <v>168</v>
      </c>
      <c r="E2" s="783" t="s">
        <v>168</v>
      </c>
    </row>
    <row customHeight="1" ht="13.5">
      <c r="A3" s="784" t="s">
        <v>17</v>
      </c>
      <c r="B3" s="785"/>
      <c r="C3" s="786"/>
      <c r="D3" s="787"/>
      <c r="E3" s="786"/>
    </row>
    <row customHeight="1" ht="13.5">
      <c r="A4" s="788" t="s">
        <v>18</v>
      </c>
      <c r="B4" s="789"/>
      <c r="C4" s="785"/>
      <c r="D4" s="787"/>
      <c r="E4" s="786"/>
    </row>
    <row customHeight="1" ht="13.5">
      <c r="A5" s="788" t="s">
        <v>20</v>
      </c>
      <c r="B5" s="790" t="s">
        <v>169</v>
      </c>
      <c r="C5" s="791" t="s">
        <v>170</v>
      </c>
      <c r="D5" s="792" t="s">
        <v>171</v>
      </c>
      <c r="E5" s="791" t="s">
        <v>172</v>
      </c>
    </row>
    <row customHeight="1" ht="13.5">
      <c r="A6" s="788" t="s">
        <v>21</v>
      </c>
      <c r="B6" s="791" t="s">
        <v>173</v>
      </c>
      <c r="C6" s="791" t="s">
        <v>174</v>
      </c>
      <c r="D6" s="792" t="s">
        <v>175</v>
      </c>
      <c r="E6" s="791" t="s">
        <v>176</v>
      </c>
    </row>
    <row customHeight="1" ht="13.5">
      <c r="A7" s="788" t="s">
        <v>22</v>
      </c>
      <c r="B7" s="791" t="s">
        <v>177</v>
      </c>
      <c r="C7" s="791" t="s">
        <v>178</v>
      </c>
      <c r="D7" s="792" t="s">
        <v>179</v>
      </c>
      <c r="E7" s="791" t="s">
        <v>180</v>
      </c>
    </row>
    <row customHeight="1" ht="13.5">
      <c r="A8" s="788" t="s">
        <v>23</v>
      </c>
      <c r="B8" s="791" t="s">
        <v>181</v>
      </c>
      <c r="C8" s="791" t="s">
        <v>182</v>
      </c>
      <c r="D8" s="791" t="s">
        <v>183</v>
      </c>
      <c r="E8" s="791" t="s">
        <v>184</v>
      </c>
    </row>
    <row customHeight="1" ht="13.5">
      <c r="A9" s="788" t="s">
        <v>24</v>
      </c>
      <c r="B9" s="791" t="s">
        <v>185</v>
      </c>
      <c r="C9" s="791" t="s">
        <v>186</v>
      </c>
      <c r="D9" s="792" t="s">
        <v>187</v>
      </c>
      <c r="E9" s="791" t="s">
        <v>188</v>
      </c>
    </row>
    <row customHeight="1" ht="13.5">
      <c r="A10" s="788" t="s">
        <v>25</v>
      </c>
      <c r="B10" s="791" t="s">
        <v>189</v>
      </c>
      <c r="C10" s="791" t="s">
        <v>190</v>
      </c>
      <c r="D10" s="792" t="s">
        <v>191</v>
      </c>
      <c r="E10" s="791" t="s">
        <v>192</v>
      </c>
    </row>
    <row customHeight="1" ht="13.5">
      <c r="A11" s="788" t="s">
        <v>26</v>
      </c>
      <c r="B11" s="791" t="s">
        <v>193</v>
      </c>
      <c r="C11" s="791" t="s">
        <v>194</v>
      </c>
      <c r="D11" s="791" t="s">
        <v>195</v>
      </c>
      <c r="E11" s="791" t="s">
        <v>196</v>
      </c>
    </row>
    <row customHeight="1" ht="13.5">
      <c r="A12" s="788" t="s">
        <v>27</v>
      </c>
      <c r="B12" s="791" t="s">
        <v>197</v>
      </c>
      <c r="C12" s="791" t="s">
        <v>198</v>
      </c>
      <c r="D12" s="791" t="s">
        <v>199</v>
      </c>
      <c r="E12" s="791" t="s">
        <v>200</v>
      </c>
    </row>
    <row customHeight="1" ht="13.5">
      <c r="A13" s="788" t="s">
        <v>28</v>
      </c>
      <c r="B13" s="791" t="s">
        <v>201</v>
      </c>
      <c r="C13" s="791" t="s">
        <v>202</v>
      </c>
      <c r="D13" s="791" t="s">
        <v>203</v>
      </c>
      <c r="E13" s="793" t="s">
        <v>204</v>
      </c>
    </row>
    <row customHeight="1" ht="13.5">
      <c r="A14" s="788" t="s">
        <v>29</v>
      </c>
      <c r="B14" s="791" t="s">
        <v>169</v>
      </c>
      <c r="C14" s="791" t="s">
        <v>170</v>
      </c>
      <c r="D14" s="792" t="s">
        <v>205</v>
      </c>
      <c r="E14" s="791" t="s">
        <v>206</v>
      </c>
    </row>
    <row customHeight="1" ht="13.5">
      <c r="A15" s="788" t="s">
        <v>207</v>
      </c>
      <c r="B15" s="791" t="s">
        <v>169</v>
      </c>
      <c r="C15" s="791" t="s">
        <v>170</v>
      </c>
      <c r="D15" s="792" t="s">
        <v>205</v>
      </c>
      <c r="E15" s="791" t="s">
        <v>206</v>
      </c>
    </row>
    <row customHeight="1" ht="13.5">
      <c r="A16" s="788" t="s">
        <v>32</v>
      </c>
      <c r="B16" s="791" t="s">
        <v>208</v>
      </c>
      <c r="C16" s="791" t="s">
        <v>209</v>
      </c>
      <c r="D16" s="792" t="s">
        <v>210</v>
      </c>
      <c r="E16" s="791" t="s">
        <v>211</v>
      </c>
    </row>
    <row customHeight="1" ht="15.75">
      <c r="A17" s="788" t="s">
        <v>33</v>
      </c>
      <c r="B17" s="791" t="s">
        <v>212</v>
      </c>
      <c r="C17" s="791" t="s">
        <v>213</v>
      </c>
      <c r="D17" s="792" t="s">
        <v>214</v>
      </c>
      <c r="E17" s="791" t="s">
        <v>215</v>
      </c>
    </row>
    <row customHeight="1" ht="13.5">
      <c r="A18" s="788" t="s">
        <v>34</v>
      </c>
      <c r="B18" s="791" t="s">
        <v>216</v>
      </c>
      <c r="C18" s="791" t="s">
        <v>217</v>
      </c>
      <c r="D18" s="792" t="s">
        <v>218</v>
      </c>
      <c r="E18" s="791" t="s">
        <v>219</v>
      </c>
    </row>
    <row customHeight="1" ht="13.5">
      <c r="A19" s="788" t="s">
        <v>35</v>
      </c>
      <c r="B19" s="791" t="s">
        <v>220</v>
      </c>
      <c r="C19" s="791" t="s">
        <v>221</v>
      </c>
      <c r="D19" s="792" t="s">
        <v>222</v>
      </c>
      <c r="E19" s="791" t="s">
        <v>223</v>
      </c>
    </row>
    <row customHeight="1" ht="13.5">
      <c r="A20" s="788" t="s">
        <v>36</v>
      </c>
      <c r="B20" s="791" t="s">
        <v>224</v>
      </c>
      <c r="C20" s="791" t="s">
        <v>225</v>
      </c>
      <c r="D20" s="792" t="s">
        <v>226</v>
      </c>
      <c r="E20" s="791" t="s">
        <v>227</v>
      </c>
    </row>
    <row customHeight="1" ht="13.5">
      <c r="A21" s="788" t="s">
        <v>37</v>
      </c>
      <c r="B21" s="791" t="s">
        <v>228</v>
      </c>
      <c r="C21" s="791" t="s">
        <v>229</v>
      </c>
      <c r="D21" s="792" t="s">
        <v>230</v>
      </c>
      <c r="E21" s="794" t="s">
        <v>231</v>
      </c>
    </row>
    <row customHeight="1" ht="13.5">
      <c r="A22" s="788" t="s">
        <v>38</v>
      </c>
      <c r="B22" s="791" t="s">
        <v>232</v>
      </c>
      <c r="C22" s="791" t="s">
        <v>233</v>
      </c>
      <c r="D22" s="792" t="s">
        <v>234</v>
      </c>
      <c r="E22" s="791" t="s">
        <v>235</v>
      </c>
    </row>
    <row customHeight="1" ht="13.5">
      <c r="A23" s="788" t="s">
        <v>39</v>
      </c>
      <c r="B23" s="791" t="s">
        <v>236</v>
      </c>
      <c r="C23" s="791" t="s">
        <v>237</v>
      </c>
      <c r="D23" s="792" t="s">
        <v>238</v>
      </c>
      <c r="E23" s="791" t="s">
        <v>239</v>
      </c>
    </row>
    <row customHeight="1" ht="13.5">
      <c r="A24" s="788" t="s">
        <v>40</v>
      </c>
      <c r="B24" s="791" t="s">
        <v>240</v>
      </c>
      <c r="C24" s="791" t="s">
        <v>241</v>
      </c>
      <c r="D24" s="792" t="s">
        <v>242</v>
      </c>
      <c r="E24" s="791" t="s">
        <v>243</v>
      </c>
    </row>
    <row customHeight="1" ht="13.5">
      <c r="A25" s="788" t="s">
        <v>41</v>
      </c>
      <c r="B25" s="791" t="s">
        <v>244</v>
      </c>
      <c r="C25" s="791" t="s">
        <v>245</v>
      </c>
      <c r="D25" s="792" t="s">
        <v>246</v>
      </c>
      <c r="E25" s="791" t="s">
        <v>247</v>
      </c>
    </row>
    <row customHeight="1" ht="13.5">
      <c r="A26" s="788" t="s">
        <v>42</v>
      </c>
      <c r="B26" s="791" t="s">
        <v>248</v>
      </c>
      <c r="C26" s="791" t="s">
        <v>249</v>
      </c>
      <c r="D26" s="792" t="s">
        <v>250</v>
      </c>
      <c r="E26" s="791" t="s">
        <v>251</v>
      </c>
    </row>
    <row customHeight="1" ht="13.5">
      <c r="A27" s="784" t="s">
        <v>43</v>
      </c>
      <c r="B27" s="785"/>
      <c r="C27" s="785"/>
      <c r="D27" s="787"/>
      <c r="E27" s="785"/>
    </row>
    <row customHeight="1" ht="13.5">
      <c r="A28" s="795" t="s">
        <v>44</v>
      </c>
      <c r="B28" s="796"/>
      <c r="C28" s="796"/>
      <c r="D28" s="797"/>
      <c r="E28" s="785"/>
    </row>
    <row customHeight="1" ht="13.5">
      <c r="A29" s="788" t="s">
        <v>45</v>
      </c>
      <c r="B29" s="791" t="s">
        <v>252</v>
      </c>
      <c r="C29" s="791" t="s">
        <v>253</v>
      </c>
      <c r="D29" s="792" t="s">
        <v>254</v>
      </c>
      <c r="E29" s="791" t="s">
        <v>255</v>
      </c>
    </row>
    <row customHeight="1" ht="13.5">
      <c r="A30" s="795" t="s">
        <v>46</v>
      </c>
      <c r="B30" s="791" t="s">
        <v>256</v>
      </c>
      <c r="C30" s="791" t="s">
        <v>257</v>
      </c>
      <c r="D30" s="792" t="s">
        <v>258</v>
      </c>
      <c r="E30" s="791" t="s">
        <v>259</v>
      </c>
    </row>
    <row customHeight="1" ht="13.5">
      <c r="A31" s="795" t="s">
        <v>47</v>
      </c>
      <c r="B31" s="791" t="s">
        <v>260</v>
      </c>
      <c r="C31" s="791" t="s">
        <v>261</v>
      </c>
      <c r="D31" s="792" t="s">
        <v>262</v>
      </c>
      <c r="E31" s="791" t="s">
        <v>263</v>
      </c>
    </row>
    <row customHeight="1" ht="13.5">
      <c r="A32" s="788" t="s">
        <v>48</v>
      </c>
      <c r="B32" s="798"/>
      <c r="C32" s="785"/>
      <c r="D32" s="787"/>
      <c r="E32" s="785"/>
    </row>
    <row customHeight="1" ht="13.5">
      <c r="A33" s="799" t="s">
        <v>49</v>
      </c>
      <c r="B33" s="791" t="s">
        <v>264</v>
      </c>
      <c r="C33" s="791" t="s">
        <v>265</v>
      </c>
      <c r="D33" s="791" t="s">
        <v>266</v>
      </c>
      <c r="E33" s="791" t="s">
        <v>267</v>
      </c>
    </row>
    <row customHeight="1" ht="13.5">
      <c r="A34" s="788" t="s">
        <v>50</v>
      </c>
      <c r="B34" s="791" t="s">
        <v>268</v>
      </c>
      <c r="C34" s="791" t="s">
        <v>269</v>
      </c>
      <c r="D34" s="792" t="s">
        <v>270</v>
      </c>
      <c r="E34" s="791" t="s">
        <v>271</v>
      </c>
    </row>
    <row customHeight="1" ht="13.5">
      <c r="A35" s="788" t="s">
        <v>51</v>
      </c>
      <c r="B35" s="791" t="s">
        <v>272</v>
      </c>
      <c r="C35" s="791" t="s">
        <v>273</v>
      </c>
      <c r="D35" s="792" t="s">
        <v>274</v>
      </c>
      <c r="E35" s="791" t="s">
        <v>275</v>
      </c>
    </row>
    <row customHeight="1" ht="13.5">
      <c r="A36" s="788" t="s">
        <v>52</v>
      </c>
      <c r="B36" s="791" t="s">
        <v>276</v>
      </c>
      <c r="C36" s="791" t="s">
        <v>277</v>
      </c>
      <c r="D36" s="792" t="s">
        <v>278</v>
      </c>
      <c r="E36" s="791" t="s">
        <v>279</v>
      </c>
    </row>
    <row customHeight="1" ht="13.5">
      <c r="A37" s="788" t="s">
        <v>53</v>
      </c>
      <c r="B37" s="791" t="s">
        <v>280</v>
      </c>
      <c r="C37" s="791" t="s">
        <v>281</v>
      </c>
      <c r="D37" s="792" t="s">
        <v>282</v>
      </c>
      <c r="E37" s="791" t="s">
        <v>283</v>
      </c>
    </row>
    <row customHeight="1" ht="13.5">
      <c r="A38" s="788" t="s">
        <v>54</v>
      </c>
      <c r="B38" s="791" t="s">
        <v>284</v>
      </c>
      <c r="C38" s="800" t="s">
        <v>285</v>
      </c>
      <c r="D38" s="792" t="s">
        <v>286</v>
      </c>
      <c r="E38" s="800" t="s">
        <v>287</v>
      </c>
    </row>
    <row customHeight="1" ht="13.5">
      <c r="A39" s="788" t="s">
        <v>55</v>
      </c>
      <c r="B39" s="785"/>
      <c r="C39" s="785"/>
      <c r="D39" s="787"/>
      <c r="E39" s="785"/>
    </row>
    <row customHeight="1" ht="13.5">
      <c r="A40" s="788" t="s">
        <v>56</v>
      </c>
      <c r="B40" s="791" t="s">
        <v>288</v>
      </c>
      <c r="C40" s="791" t="s">
        <v>289</v>
      </c>
      <c r="D40" s="792" t="s">
        <v>290</v>
      </c>
      <c r="E40" s="791" t="s">
        <v>291</v>
      </c>
    </row>
    <row customHeight="1" ht="13.5">
      <c r="A41" s="788" t="s">
        <v>57</v>
      </c>
      <c r="B41" s="791" t="s">
        <v>292</v>
      </c>
      <c r="C41" s="791" t="s">
        <v>293</v>
      </c>
      <c r="D41" s="792" t="s">
        <v>294</v>
      </c>
      <c r="E41" s="791" t="s">
        <v>295</v>
      </c>
    </row>
    <row customHeight="1" ht="13.5">
      <c r="A42" s="788" t="s">
        <v>58</v>
      </c>
      <c r="B42" s="791" t="s">
        <v>296</v>
      </c>
      <c r="C42" s="791" t="s">
        <v>297</v>
      </c>
      <c r="D42" s="792" t="s">
        <v>298</v>
      </c>
      <c r="E42" s="791" t="s">
        <v>299</v>
      </c>
    </row>
    <row customHeight="1" ht="13.5">
      <c r="A43" s="788" t="s">
        <v>59</v>
      </c>
      <c r="B43" s="785"/>
      <c r="C43" s="785"/>
      <c r="D43" s="787"/>
      <c r="E43" s="785"/>
    </row>
    <row customHeight="1" ht="13.5">
      <c r="A44" s="788" t="s">
        <v>60</v>
      </c>
      <c r="B44" s="791" t="s">
        <v>300</v>
      </c>
      <c r="C44" s="791" t="s">
        <v>301</v>
      </c>
      <c r="D44" s="792" t="s">
        <v>302</v>
      </c>
      <c r="E44" s="791" t="s">
        <v>303</v>
      </c>
    </row>
    <row customHeight="1" ht="13.5">
      <c r="A45" s="788" t="s">
        <v>61</v>
      </c>
      <c r="B45" s="791" t="s">
        <v>304</v>
      </c>
      <c r="C45" s="791" t="s">
        <v>305</v>
      </c>
      <c r="D45" s="792" t="s">
        <v>306</v>
      </c>
      <c r="E45" s="791" t="s">
        <v>307</v>
      </c>
    </row>
    <row customHeight="1" ht="13.5">
      <c r="A46" s="788" t="s">
        <v>62</v>
      </c>
      <c r="B46" s="791" t="s">
        <v>308</v>
      </c>
      <c r="C46" s="791" t="s">
        <v>309</v>
      </c>
      <c r="D46" s="792" t="s">
        <v>310</v>
      </c>
      <c r="E46" s="791" t="s">
        <v>311</v>
      </c>
    </row>
    <row customHeight="1" ht="13.5">
      <c r="A47" s="788" t="s">
        <v>63</v>
      </c>
      <c r="B47" s="791" t="s">
        <v>312</v>
      </c>
      <c r="C47" s="791" t="s">
        <v>313</v>
      </c>
      <c r="D47" s="792" t="s">
        <v>314</v>
      </c>
      <c r="E47" s="791" t="s">
        <v>315</v>
      </c>
    </row>
    <row customHeight="1" ht="13.5">
      <c r="A48" s="788" t="s">
        <v>64</v>
      </c>
      <c r="B48" s="791" t="s">
        <v>316</v>
      </c>
      <c r="C48" s="800" t="s">
        <v>317</v>
      </c>
      <c r="D48" s="792" t="s">
        <v>318</v>
      </c>
      <c r="E48" s="800" t="s">
        <v>319</v>
      </c>
    </row>
    <row customHeight="1" ht="15.75">
      <c r="A49" s="788" t="s">
        <v>65</v>
      </c>
      <c r="B49" s="791" t="s">
        <v>320</v>
      </c>
      <c r="C49" s="800" t="s">
        <v>321</v>
      </c>
      <c r="D49" s="792" t="s">
        <v>322</v>
      </c>
      <c r="E49" s="800" t="s">
        <v>319</v>
      </c>
    </row>
    <row customHeight="1" ht="13.5">
      <c r="A50" s="788" t="s">
        <v>66</v>
      </c>
      <c r="B50" s="791" t="s">
        <v>323</v>
      </c>
      <c r="C50" s="791" t="s">
        <v>324</v>
      </c>
      <c r="D50" s="792" t="s">
        <v>325</v>
      </c>
      <c r="E50" s="791" t="s">
        <v>326</v>
      </c>
    </row>
    <row customHeight="1" ht="13.5">
      <c r="A51" s="788" t="s">
        <v>67</v>
      </c>
      <c r="B51" s="791" t="s">
        <v>327</v>
      </c>
      <c r="C51" s="791" t="s">
        <v>328</v>
      </c>
      <c r="D51" s="792" t="s">
        <v>329</v>
      </c>
      <c r="E51" s="792" t="s">
        <v>330</v>
      </c>
    </row>
    <row customHeight="1" ht="13.5">
      <c r="A52" s="788" t="s">
        <v>68</v>
      </c>
      <c r="B52" s="791" t="s">
        <v>331</v>
      </c>
      <c r="C52" s="791" t="s">
        <v>332</v>
      </c>
      <c r="D52" s="801" t="s">
        <v>333</v>
      </c>
      <c r="E52" s="802" t="s">
        <v>334</v>
      </c>
    </row>
    <row customHeight="1" ht="13.5">
      <c r="A53" s="788" t="s">
        <v>69</v>
      </c>
      <c r="B53" s="791" t="s">
        <v>335</v>
      </c>
      <c r="C53" s="791" t="s">
        <v>336</v>
      </c>
      <c r="D53" s="802" t="s">
        <v>337</v>
      </c>
      <c r="E53" s="802" t="s">
        <v>338</v>
      </c>
    </row>
    <row customHeight="1" ht="13.5">
      <c r="A54" s="788" t="s">
        <v>70</v>
      </c>
      <c r="B54" s="791" t="s">
        <v>339</v>
      </c>
      <c r="C54" s="791" t="s">
        <v>340</v>
      </c>
      <c r="D54" s="803" t="s">
        <v>341</v>
      </c>
      <c r="E54" s="804" t="s">
        <v>342</v>
      </c>
    </row>
    <row customHeight="1" ht="13.5">
      <c r="A55" s="788" t="s">
        <v>71</v>
      </c>
      <c r="B55" s="791" t="s">
        <v>343</v>
      </c>
      <c r="C55" s="791" t="s">
        <v>344</v>
      </c>
      <c r="D55" s="804" t="s">
        <v>345</v>
      </c>
      <c r="E55" s="791" t="s">
        <v>346</v>
      </c>
    </row>
    <row customHeight="1" ht="13.5">
      <c r="A56" s="788" t="s">
        <v>72</v>
      </c>
      <c r="B56" s="791" t="s">
        <v>347</v>
      </c>
      <c r="C56" s="791" t="s">
        <v>348</v>
      </c>
      <c r="D56" s="791" t="s">
        <v>349</v>
      </c>
      <c r="E56" s="791" t="s">
        <v>350</v>
      </c>
    </row>
    <row customHeight="1" ht="13.5">
      <c r="A57" s="499" t="s">
        <v>73</v>
      </c>
      <c r="B57" s="791" t="s">
        <v>351</v>
      </c>
      <c r="C57" s="791" t="s">
        <v>351</v>
      </c>
      <c r="D57" s="791" t="s">
        <v>352</v>
      </c>
      <c r="E57" s="791" t="s">
        <v>353</v>
      </c>
    </row>
    <row customHeight="1" ht="13.5">
      <c r="A58" s="499" t="s">
        <v>74</v>
      </c>
      <c r="B58" s="791" t="s">
        <v>354</v>
      </c>
      <c r="C58" s="791" t="s">
        <v>355</v>
      </c>
      <c r="D58" s="791" t="s">
        <v>356</v>
      </c>
      <c r="E58" s="791" t="s">
        <v>357</v>
      </c>
    </row>
    <row customHeight="1" ht="13.5">
      <c r="A59" s="788" t="s">
        <v>75</v>
      </c>
      <c r="B59" s="791" t="s">
        <v>358</v>
      </c>
      <c r="C59" s="791" t="s">
        <v>359</v>
      </c>
      <c r="D59" s="791" t="s">
        <v>360</v>
      </c>
      <c r="E59" s="791" t="s">
        <v>361</v>
      </c>
    </row>
    <row customHeight="1" ht="13.5">
      <c r="A60" s="788" t="s">
        <v>76</v>
      </c>
      <c r="B60" s="791" t="s">
        <v>362</v>
      </c>
      <c r="C60" s="791" t="s">
        <v>363</v>
      </c>
      <c r="D60" s="791" t="s">
        <v>364</v>
      </c>
      <c r="E60" s="791" t="s">
        <v>365</v>
      </c>
    </row>
    <row customHeight="1" ht="13.5">
      <c r="A61" s="788" t="s">
        <v>77</v>
      </c>
      <c r="B61" s="791" t="s">
        <v>366</v>
      </c>
      <c r="C61" s="791" t="s">
        <v>367</v>
      </c>
      <c r="D61" s="791" t="s">
        <v>368</v>
      </c>
      <c r="E61" s="791" t="s">
        <v>369</v>
      </c>
    </row>
    <row customHeight="1" ht="13.5">
      <c r="A62" s="788" t="s">
        <v>78</v>
      </c>
      <c r="B62" s="791" t="s">
        <v>370</v>
      </c>
      <c r="C62" s="791" t="s">
        <v>371</v>
      </c>
      <c r="D62" s="791" t="s">
        <v>372</v>
      </c>
      <c r="E62" s="791" t="s">
        <v>373</v>
      </c>
    </row>
    <row customHeight="1" ht="13.5">
      <c r="A63" s="788" t="s">
        <v>79</v>
      </c>
      <c r="B63" s="791" t="s">
        <v>374</v>
      </c>
      <c r="C63" s="791" t="s">
        <v>375</v>
      </c>
      <c r="D63" s="791" t="s">
        <v>376</v>
      </c>
      <c r="E63" s="791" t="s">
        <v>377</v>
      </c>
    </row>
    <row customHeight="1" ht="13.5">
      <c r="A64" s="788" t="s">
        <v>80</v>
      </c>
      <c r="B64" s="791" t="s">
        <v>284</v>
      </c>
      <c r="C64" s="791" t="s">
        <v>378</v>
      </c>
      <c r="D64" s="791" t="s">
        <v>379</v>
      </c>
      <c r="E64" s="791" t="s">
        <v>380</v>
      </c>
    </row>
    <row customHeight="1" ht="13.5">
      <c r="A65" s="784" t="s">
        <v>81</v>
      </c>
      <c r="B65" s="785"/>
      <c r="C65" s="785"/>
      <c r="D65" s="787"/>
      <c r="E65" s="785"/>
    </row>
    <row customHeight="1" ht="13.5">
      <c r="A66" s="788" t="s">
        <v>82</v>
      </c>
      <c r="B66" s="798"/>
      <c r="C66" s="805"/>
      <c r="D66" s="806"/>
      <c r="E66" s="785"/>
    </row>
    <row customHeight="1" ht="13.5">
      <c r="A67" s="788" t="s">
        <v>83</v>
      </c>
      <c r="B67" s="807" t="s">
        <v>381</v>
      </c>
      <c r="C67" s="808" t="s">
        <v>382</v>
      </c>
      <c r="D67" s="809" t="s">
        <v>383</v>
      </c>
      <c r="E67" s="810" t="s">
        <v>384</v>
      </c>
    </row>
    <row customHeight="1" ht="13.5">
      <c r="A68" s="788" t="s">
        <v>84</v>
      </c>
      <c r="B68" s="791" t="s">
        <v>385</v>
      </c>
      <c r="C68" s="791" t="s">
        <v>386</v>
      </c>
      <c r="D68" s="791" t="s">
        <v>387</v>
      </c>
      <c r="E68" s="791" t="s">
        <v>388</v>
      </c>
    </row>
    <row customHeight="1" ht="13.5">
      <c r="A69" s="788" t="s">
        <v>86</v>
      </c>
      <c r="B69" s="791" t="s">
        <v>389</v>
      </c>
      <c r="C69" s="791" t="s">
        <v>390</v>
      </c>
      <c r="D69" s="791" t="s">
        <v>391</v>
      </c>
      <c r="E69" s="791" t="s">
        <v>392</v>
      </c>
    </row>
    <row customHeight="1" ht="13.5">
      <c r="A70" s="788" t="s">
        <v>87</v>
      </c>
      <c r="B70" s="791" t="s">
        <v>393</v>
      </c>
      <c r="C70" s="791" t="s">
        <v>394</v>
      </c>
      <c r="D70" s="791" t="s">
        <v>395</v>
      </c>
      <c r="E70" s="791" t="s">
        <v>396</v>
      </c>
    </row>
    <row customHeight="1" ht="13.5">
      <c r="A71" s="788" t="s">
        <v>88</v>
      </c>
      <c r="B71" s="791" t="s">
        <v>397</v>
      </c>
      <c r="C71" s="791" t="s">
        <v>398</v>
      </c>
      <c r="D71" s="792" t="s">
        <v>399</v>
      </c>
      <c r="E71" s="791" t="s">
        <v>400</v>
      </c>
    </row>
    <row customHeight="1" ht="13.5">
      <c r="A72" s="788" t="s">
        <v>90</v>
      </c>
      <c r="B72" s="791" t="s">
        <v>401</v>
      </c>
      <c r="C72" s="791" t="s">
        <v>402</v>
      </c>
      <c r="D72" s="791" t="s">
        <v>403</v>
      </c>
      <c r="E72" s="791" t="s">
        <v>404</v>
      </c>
    </row>
    <row customHeight="1" ht="13.5">
      <c r="A73" s="788" t="s">
        <v>92</v>
      </c>
      <c r="B73" s="791" t="s">
        <v>405</v>
      </c>
      <c r="C73" s="791" t="s">
        <v>406</v>
      </c>
      <c r="D73" s="791" t="s">
        <v>407</v>
      </c>
      <c r="E73" s="791" t="s">
        <v>408</v>
      </c>
    </row>
    <row customHeight="1" ht="13.5">
      <c r="A74" s="784" t="s">
        <v>93</v>
      </c>
      <c r="B74" s="786"/>
      <c r="C74" s="805"/>
      <c r="D74" s="787"/>
      <c r="E74" s="785"/>
    </row>
    <row customHeight="1" ht="13.5">
      <c r="A75" s="788" t="s">
        <v>94</v>
      </c>
      <c r="B75" s="791" t="s">
        <v>409</v>
      </c>
      <c r="C75" s="791" t="s">
        <v>410</v>
      </c>
      <c r="D75" s="792" t="s">
        <v>411</v>
      </c>
      <c r="E75" s="792" t="s">
        <v>412</v>
      </c>
    </row>
    <row customHeight="1" ht="13.5">
      <c r="A76" s="788" t="s">
        <v>95</v>
      </c>
      <c r="B76" s="791" t="s">
        <v>413</v>
      </c>
      <c r="C76" s="791" t="s">
        <v>414</v>
      </c>
      <c r="D76" s="792" t="s">
        <v>415</v>
      </c>
      <c r="E76" s="792" t="s">
        <v>416</v>
      </c>
    </row>
    <row customHeight="1" ht="13.5">
      <c r="A77" s="788" t="s">
        <v>96</v>
      </c>
      <c r="B77" s="786"/>
      <c r="C77" s="785"/>
      <c r="D77" s="402"/>
      <c r="E77" s="785"/>
    </row>
    <row customHeight="1" ht="13.5">
      <c r="A78" s="788" t="s">
        <v>97</v>
      </c>
      <c r="B78" s="791" t="s">
        <v>417</v>
      </c>
      <c r="C78" s="791" t="s">
        <v>418</v>
      </c>
      <c r="D78" s="792" t="s">
        <v>419</v>
      </c>
      <c r="E78" s="791" t="s">
        <v>420</v>
      </c>
    </row>
    <row customHeight="1" ht="13.5">
      <c r="A79" s="788" t="s">
        <v>98</v>
      </c>
      <c r="B79" s="791" t="s">
        <v>421</v>
      </c>
      <c r="C79" s="791" t="s">
        <v>422</v>
      </c>
      <c r="D79" s="792" t="s">
        <v>423</v>
      </c>
      <c r="E79" s="791" t="s">
        <v>424</v>
      </c>
    </row>
    <row customHeight="1" ht="13.5">
      <c r="A80" s="788" t="s">
        <v>99</v>
      </c>
      <c r="B80" s="791" t="s">
        <v>425</v>
      </c>
      <c r="C80" s="791" t="s">
        <v>426</v>
      </c>
      <c r="D80" s="791" t="s">
        <v>427</v>
      </c>
      <c r="E80" s="791" t="s">
        <v>428</v>
      </c>
    </row>
    <row customHeight="1" ht="13.5">
      <c r="A81" s="788" t="s">
        <v>100</v>
      </c>
      <c r="B81" s="791" t="s">
        <v>429</v>
      </c>
      <c r="C81" s="791" t="s">
        <v>430</v>
      </c>
      <c r="D81" s="791" t="s">
        <v>431</v>
      </c>
      <c r="E81" s="791" t="s">
        <v>432</v>
      </c>
    </row>
    <row customHeight="1" ht="13.5">
      <c r="A82" s="788" t="s">
        <v>101</v>
      </c>
      <c r="B82" s="791" t="s">
        <v>433</v>
      </c>
      <c r="C82" s="791" t="s">
        <v>434</v>
      </c>
      <c r="D82" s="791" t="s">
        <v>435</v>
      </c>
      <c r="E82" s="791" t="s">
        <v>436</v>
      </c>
    </row>
    <row customHeight="1" ht="13.5">
      <c r="A83" s="788" t="s">
        <v>102</v>
      </c>
      <c r="B83" s="791" t="s">
        <v>437</v>
      </c>
      <c r="C83" s="791" t="s">
        <v>438</v>
      </c>
      <c r="D83" s="791" t="s">
        <v>439</v>
      </c>
      <c r="E83" s="791" t="s">
        <v>404</v>
      </c>
    </row>
    <row customHeight="1" ht="13.5">
      <c r="A84" s="788" t="s">
        <v>103</v>
      </c>
      <c r="B84" s="808" t="s">
        <v>440</v>
      </c>
      <c r="C84" s="808" t="s">
        <v>441</v>
      </c>
      <c r="D84" s="792" t="s">
        <v>442</v>
      </c>
      <c r="E84" s="791" t="s">
        <v>443</v>
      </c>
    </row>
    <row customHeight="1" ht="13.5">
      <c r="A85" s="788" t="s">
        <v>104</v>
      </c>
      <c r="B85" s="808" t="s">
        <v>444</v>
      </c>
      <c r="C85" s="808" t="s">
        <v>445</v>
      </c>
      <c r="D85" s="792" t="s">
        <v>446</v>
      </c>
      <c r="E85" s="791" t="s">
        <v>447</v>
      </c>
    </row>
    <row customHeight="1" ht="13.5">
      <c r="A86" s="436"/>
      <c r="B86" s="785"/>
      <c r="C86" s="805"/>
      <c r="D86" s="785"/>
      <c r="E86" s="811"/>
    </row>
    <row customHeight="1" ht="13.5">
      <c r="A87" s="402"/>
      <c r="B87" s="812" t="s">
        <v>448</v>
      </c>
      <c r="C87" s="813" t="s">
        <v>163</v>
      </c>
      <c r="D87" s="813" t="s">
        <v>163</v>
      </c>
      <c r="E87" s="813" t="s">
        <v>449</v>
      </c>
    </row>
    <row customHeight="1" ht="13.5">
      <c r="A88" s="402"/>
      <c r="B88" s="786"/>
      <c r="C88" s="786"/>
      <c r="D88" s="786"/>
      <c r="E88" s="786"/>
    </row>
    <row customHeight="1" ht="13.5">
      <c r="A89" s="402"/>
      <c r="B89" s="813" t="s">
        <v>450</v>
      </c>
      <c r="C89" s="813" t="s">
        <v>451</v>
      </c>
      <c r="D89" s="813" t="s">
        <v>452</v>
      </c>
      <c r="E89" s="813" t="s">
        <v>450</v>
      </c>
    </row>
    <row customHeight="1" ht="13.5">
      <c r="A90" s="402"/>
      <c r="B90" s="786"/>
      <c r="C90" s="786"/>
      <c r="D90" s="786"/>
      <c r="E90" s="786"/>
    </row>
    <row customHeight="1" ht="13.5">
      <c r="A91" s="402"/>
      <c r="B91" s="813" t="s">
        <v>453</v>
      </c>
      <c r="C91" s="813" t="s">
        <v>454</v>
      </c>
      <c r="D91" s="813" t="s">
        <v>455</v>
      </c>
      <c r="E91" s="813" t="s">
        <v>453</v>
      </c>
    </row>
    <row customHeight="1" ht="13.5">
      <c r="A92" s="402"/>
      <c r="B92" s="786"/>
      <c r="C92" s="786"/>
      <c r="D92" s="786"/>
      <c r="E92" s="786"/>
    </row>
    <row customHeight="1" ht="13.5">
      <c r="A93" s="402"/>
      <c r="B93" s="813" t="s">
        <v>456</v>
      </c>
      <c r="C93" s="813" t="s">
        <v>457</v>
      </c>
      <c r="D93" s="813" t="s">
        <v>456</v>
      </c>
      <c r="E93" s="813" t="s">
        <v>456</v>
      </c>
    </row>
    <row customHeight="1" ht="13.5">
      <c r="A94" s="402"/>
      <c r="B94" s="402"/>
      <c r="C94" s="786"/>
      <c r="D94" s="786"/>
      <c r="E94" s="402"/>
    </row>
    <row customHeight="1" ht="13.5">
      <c r="A95" s="402"/>
      <c r="B95" s="402"/>
      <c r="C95" s="813" t="s">
        <v>458</v>
      </c>
      <c r="D95" s="813" t="s">
        <v>459</v>
      </c>
      <c r="E95" s="402"/>
    </row>
  </sheetData>
  <mergeCells count="1">
    <mergeCell ref="A1:A2"/>
  </mergeCells>
  <hyperlinks>
    <hyperlink ref="B87" r:id="rId1" xr:uid="{8C375FF8-6968-0EB8-2377-8BECBF7DFA41}"/>
    <hyperlink ref="C87" r:id="rId2" xr:uid="{06582EBE-D157-46BE-5124-1BE262C61BA8}"/>
    <hyperlink ref="D87" r:id="rId3" xr:uid="{96366168-91CA-8DB8-B1F3-1595231A5988}"/>
    <hyperlink ref="E87" r:id="rId4" xr:uid="{BD69A378-52F4-6A0A-BED8-2A9412FC4B58}"/>
    <hyperlink ref="B89" r:id="rId5" xr:uid="{8C2B9018-15D6-83B4-F5C8-F8C9595B6DE8}"/>
    <hyperlink ref="C89" r:id="rId6" xr:uid="{06244733-E178-B54F-9DB8-5E26B32B63A8}"/>
    <hyperlink ref="D89" r:id="rId7" xr:uid="{1257CA11-81D8-7558-2348-4AC0C62E45F8}"/>
    <hyperlink ref="E89" r:id="rId8" xr:uid="{8C95EFF8-E8F8-BD98-C8F8-5C42D905C558}"/>
    <hyperlink ref="B91" r:id="rId9" xr:uid="{F7578B25-8C98-DEA9-32C9-93E5D1A55238}"/>
    <hyperlink ref="C91" r:id="rId10" xr:uid="{2D1FB7A5-1EC8-1BA8-F14F-131B28C6A973}"/>
    <hyperlink ref="D91" r:id="rId11" xr:uid="{1AFF7048-6E48-A208-59F8-9276BC4C4878}"/>
    <hyperlink ref="E91" r:id="rId12" xr:uid="{7215A258-AD01-83C8-8E9C-CDBE11D76E28}"/>
    <hyperlink ref="B93" r:id="rId13" xr:uid="{92D9ECAD-BDF8-84C8-BAED-1CB5495ABF6D}"/>
    <hyperlink ref="C93" r:id="rId14" xr:uid="{48E1A228-65EA-D2DF-F84F-20BCFCB5996A}"/>
    <hyperlink ref="D93" r:id="rId15" xr:uid="{9FB598D8-D608-A838-0379-94DF687DF738}"/>
    <hyperlink ref="E93" r:id="rId16" xr:uid="{05DCCF88-39A6-A061-8688-34261FE61031}"/>
    <hyperlink ref="C95" r:id="rId17" xr:uid="{15952CE8-DD46-D4F8-93C8-DEFDE7503FE8}"/>
    <hyperlink ref="D95" r:id="rId18" xr:uid="{EBF95917-B718-E4E8-D3C4-DE314492D578}"/>
  </hyperlink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99575EA-EACE-A118-B198-63FD28725EB8}" mc:Ignorable="x14ac xr xr2 xr3">
  <dimension ref="A1:T254"/>
  <sheetViews>
    <sheetView topLeftCell="A1" workbookViewId="0">
      <pane ySplit="4" topLeftCell="A33" activePane="bottomLeft" state="frozen"/>
      <selection pane="bottomLeft" activeCell="H59" sqref="H59"/>
    </sheetView>
  </sheetViews>
  <sheetFormatPr defaultColWidth="9.00390625" customHeight="1" defaultRowHeight="14.4525"/>
  <cols>
    <col min="1" max="1" style="51" width="2.7109375" customWidth="1"/>
    <col min="2" max="2" style="51" width="21.28125" customWidth="1"/>
    <col min="3" max="4" style="51" width="10.7109375" customWidth="1"/>
    <col min="5" max="5" style="51" width="12.421875" customWidth="1"/>
    <col min="6" max="7" style="51" width="10.7109375" customWidth="1"/>
    <col min="8" max="8" style="51" width="47.8515625" customWidth="1"/>
    <col min="9" max="12" style="51" width="10.7109375" customWidth="1"/>
  </cols>
  <sheetData>
    <row customHeight="1" ht="25.5">
      <c r="A1" s="586"/>
      <c r="B1" s="587" t="s">
        <v>165</v>
      </c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21"/>
      <c r="N1" s="521"/>
      <c r="O1" s="521"/>
      <c r="P1" s="521"/>
      <c r="Q1" s="521"/>
      <c r="R1" s="521"/>
      <c r="S1" s="521"/>
      <c r="T1" s="521"/>
    </row>
    <row customHeight="1" ht="15">
      <c r="A2" s="586"/>
      <c r="B2" s="590" t="s">
        <v>1</v>
      </c>
      <c r="C2" s="591">
        <f>#REF!</f>
      </c>
      <c r="D2" s="591"/>
      <c r="E2" s="591"/>
      <c r="F2" s="591"/>
      <c r="G2" s="591"/>
      <c r="H2" s="591"/>
      <c r="I2" s="591"/>
      <c r="J2" s="591" t="s">
        <v>3</v>
      </c>
      <c r="K2" s="591"/>
      <c r="L2" s="591"/>
      <c r="M2" s="521"/>
      <c r="N2" s="521"/>
      <c r="O2" s="521"/>
      <c r="P2" s="521"/>
      <c r="Q2" s="521"/>
      <c r="R2" s="521"/>
      <c r="S2" s="521"/>
      <c r="T2" s="521"/>
    </row>
    <row customHeight="1" ht="14.25">
      <c r="A3" s="586"/>
      <c r="B3" s="57" t="s">
        <v>4</v>
      </c>
      <c r="C3" s="58" t="s">
        <v>5</v>
      </c>
      <c r="D3" s="58" t="s">
        <v>6</v>
      </c>
      <c r="E3" s="58"/>
      <c r="F3" s="58"/>
      <c r="G3" s="58" t="s">
        <v>7</v>
      </c>
      <c r="H3" s="58"/>
      <c r="I3" s="58"/>
      <c r="J3" s="814" t="s">
        <v>8</v>
      </c>
      <c r="K3" s="815"/>
      <c r="L3" s="91" t="s">
        <v>9</v>
      </c>
      <c r="M3" s="521"/>
      <c r="N3" s="521"/>
      <c r="O3" s="521"/>
      <c r="P3" s="521"/>
      <c r="Q3" s="521"/>
      <c r="R3" s="521"/>
      <c r="S3" s="521"/>
      <c r="T3" s="521"/>
    </row>
    <row customHeight="1" ht="14.25">
      <c r="A4" s="586"/>
      <c r="B4" s="59"/>
      <c r="C4" s="60"/>
      <c r="D4" s="60" t="s">
        <v>10</v>
      </c>
      <c r="E4" s="60" t="s">
        <v>11</v>
      </c>
      <c r="F4" s="60" t="s">
        <v>12</v>
      </c>
      <c r="G4" s="60" t="s">
        <v>13</v>
      </c>
      <c r="H4" s="60" t="s">
        <v>14</v>
      </c>
      <c r="I4" s="60" t="s">
        <v>12</v>
      </c>
      <c r="J4" s="604" t="s">
        <v>15</v>
      </c>
      <c r="K4" s="604" t="s">
        <v>16</v>
      </c>
      <c r="L4" s="605"/>
      <c r="M4" s="521"/>
      <c r="N4" s="521"/>
      <c r="O4" s="521"/>
      <c r="P4" s="521"/>
      <c r="Q4" s="521"/>
      <c r="R4" s="521"/>
      <c r="S4" s="521"/>
      <c r="T4" s="521"/>
    </row>
    <row customHeight="1" ht="14.25">
      <c r="A5" s="586"/>
      <c r="B5" s="606" t="s">
        <v>17</v>
      </c>
      <c r="C5" s="607"/>
      <c r="D5" s="608"/>
      <c r="E5" s="608"/>
      <c r="F5" s="608"/>
      <c r="G5" s="608"/>
      <c r="H5" s="608"/>
      <c r="I5" s="608"/>
      <c r="J5" s="608"/>
      <c r="K5" s="608"/>
      <c r="L5" s="610"/>
      <c r="M5" s="521"/>
      <c r="N5" s="521"/>
      <c r="O5" s="521"/>
      <c r="P5" s="521"/>
      <c r="Q5" s="521"/>
      <c r="R5" s="521"/>
      <c r="S5" s="521"/>
      <c r="T5" s="521"/>
    </row>
    <row customHeight="1" ht="14.25">
      <c r="A6" s="586"/>
      <c r="B6" s="611" t="s">
        <v>18</v>
      </c>
      <c r="C6" s="607" t="s">
        <v>19</v>
      </c>
      <c r="D6" s="451"/>
      <c r="E6" s="66"/>
      <c r="F6" s="608"/>
      <c r="G6" s="451"/>
      <c r="H6" s="66"/>
      <c r="I6" s="608"/>
      <c r="J6" s="66"/>
      <c r="K6" s="66"/>
      <c r="L6" s="610"/>
      <c r="M6" s="521"/>
      <c r="N6" s="521"/>
      <c r="O6" s="521"/>
      <c r="P6" s="521"/>
      <c r="Q6" s="521"/>
      <c r="R6" s="521"/>
      <c r="S6" s="521"/>
      <c r="T6" s="521"/>
    </row>
    <row customHeight="1" ht="14.25">
      <c r="A7" s="586"/>
      <c r="B7" s="611" t="s">
        <v>20</v>
      </c>
      <c r="C7" s="607" t="s">
        <v>19</v>
      </c>
      <c r="D7" s="67">
        <v>0</v>
      </c>
      <c r="E7" s="66"/>
      <c r="F7" s="608"/>
      <c r="G7" s="67"/>
      <c r="H7" s="66"/>
      <c r="I7" s="608"/>
      <c r="J7" s="66"/>
      <c r="K7" s="66"/>
      <c r="L7" s="610"/>
      <c r="M7" s="521"/>
      <c r="N7" s="528"/>
      <c r="O7" s="521"/>
      <c r="P7" s="521"/>
      <c r="Q7" s="521"/>
      <c r="R7" s="521"/>
      <c r="S7" s="521"/>
      <c r="T7" s="521"/>
    </row>
    <row customHeight="1" ht="14.25">
      <c r="A8" s="586"/>
      <c r="B8" s="611" t="s">
        <v>21</v>
      </c>
      <c r="C8" s="607" t="s">
        <v>19</v>
      </c>
      <c r="D8" s="67">
        <v>9000</v>
      </c>
      <c r="E8" s="66">
        <f>_xlfn.IFERROR(E95,"")</f>
        <v>10396.72</v>
      </c>
      <c r="F8" s="613">
        <f>E8/#REF!*100</f>
      </c>
      <c r="G8" s="67">
        <v>114272</v>
      </c>
      <c r="H8" s="66">
        <f>_xlfn.IFERROR(H95,"")</f>
        <v>80486.04</v>
      </c>
      <c r="I8" s="613">
        <f>H8/#REF!*100</f>
      </c>
      <c r="J8" s="66">
        <f>_xlfn.IFERROR(J95,"")</f>
        <v>7264.46</v>
      </c>
      <c r="K8" s="66">
        <f>_xlfn.IFERROR(K95,"")</f>
        <v>91923.3</v>
      </c>
      <c r="L8" s="610">
        <f>H8-K8</f>
        <v>-11437.26</v>
      </c>
      <c r="M8" s="521"/>
      <c r="N8" s="521"/>
      <c r="O8" s="521"/>
      <c r="P8" s="521"/>
      <c r="Q8" s="521"/>
      <c r="R8" s="521"/>
      <c r="S8" s="521"/>
      <c r="T8" s="521"/>
    </row>
    <row customHeight="1" ht="14.25">
      <c r="A9" s="586"/>
      <c r="B9" s="611" t="s">
        <v>22</v>
      </c>
      <c r="C9" s="607" t="s">
        <v>19</v>
      </c>
      <c r="D9" s="67"/>
      <c r="E9" s="66"/>
      <c r="F9" s="613"/>
      <c r="G9" s="67"/>
      <c r="H9" s="66"/>
      <c r="I9" s="613"/>
      <c r="J9" s="66">
        <f>_xlfn.IFERROR(J96,"")</f>
        <v>0</v>
      </c>
      <c r="K9" s="66">
        <f>_xlfn.IFERROR(K96,"")</f>
        <v>0</v>
      </c>
      <c r="L9" s="610"/>
      <c r="M9" s="521"/>
      <c r="N9" s="521"/>
      <c r="O9" s="521"/>
      <c r="P9" s="521"/>
      <c r="Q9" s="521"/>
      <c r="R9" s="521"/>
      <c r="S9" s="521"/>
      <c r="T9" s="521"/>
    </row>
    <row customHeight="1" ht="14.25">
      <c r="A10" s="586"/>
      <c r="B10" s="611" t="s">
        <v>23</v>
      </c>
      <c r="C10" s="607" t="s">
        <v>19</v>
      </c>
      <c r="D10" s="67"/>
      <c r="E10" s="66"/>
      <c r="F10" s="613"/>
      <c r="G10" s="67"/>
      <c r="H10" s="66"/>
      <c r="I10" s="613"/>
      <c r="J10" s="66"/>
      <c r="K10" s="66"/>
      <c r="L10" s="610"/>
      <c r="M10" s="521"/>
      <c r="N10" s="521"/>
      <c r="O10" s="521"/>
      <c r="P10" s="521"/>
      <c r="Q10" s="521"/>
      <c r="R10" s="521"/>
      <c r="S10" s="521"/>
      <c r="T10" s="521"/>
    </row>
    <row customHeight="1" ht="14.25">
      <c r="A11" s="586"/>
      <c r="B11" s="611" t="s">
        <v>24</v>
      </c>
      <c r="C11" s="607" t="s">
        <v>19</v>
      </c>
      <c r="D11" s="67"/>
      <c r="E11" s="66"/>
      <c r="F11" s="613"/>
      <c r="G11" s="67"/>
      <c r="H11" s="66"/>
      <c r="I11" s="613"/>
      <c r="J11" s="66">
        <f>_xlfn.IFERROR(J98,"")</f>
        <v>0</v>
      </c>
      <c r="K11" s="66">
        <f>_xlfn.IFERROR(K98,"")</f>
        <v>0</v>
      </c>
      <c r="L11" s="610"/>
      <c r="M11" s="521"/>
      <c r="N11" s="521"/>
      <c r="O11" s="521"/>
      <c r="P11" s="521"/>
      <c r="Q11" s="521"/>
      <c r="R11" s="521"/>
      <c r="S11" s="521"/>
      <c r="T11" s="521"/>
    </row>
    <row customHeight="1" ht="14.25">
      <c r="A12" s="586"/>
      <c r="B12" s="611" t="s">
        <v>25</v>
      </c>
      <c r="C12" s="607" t="s">
        <v>19</v>
      </c>
      <c r="D12" s="67"/>
      <c r="E12" s="66"/>
      <c r="F12" s="613"/>
      <c r="G12" s="67"/>
      <c r="H12" s="66"/>
      <c r="I12" s="613"/>
      <c r="J12" s="66"/>
      <c r="K12" s="66"/>
      <c r="L12" s="610"/>
      <c r="M12" s="521"/>
      <c r="N12" s="521"/>
      <c r="O12" s="521"/>
      <c r="P12" s="521"/>
      <c r="Q12" s="521"/>
      <c r="R12" s="521"/>
      <c r="S12" s="521"/>
      <c r="T12" s="521"/>
    </row>
    <row customHeight="1" ht="14.25">
      <c r="A13" s="586"/>
      <c r="B13" s="611" t="s">
        <v>26</v>
      </c>
      <c r="C13" s="607" t="s">
        <v>19</v>
      </c>
      <c r="D13" s="67"/>
      <c r="E13" s="66"/>
      <c r="F13" s="613"/>
      <c r="G13" s="67"/>
      <c r="H13" s="66"/>
      <c r="I13" s="613"/>
      <c r="J13" s="66">
        <f>_xlfn.IFERROR(J100,"")</f>
        <v>0</v>
      </c>
      <c r="K13" s="66">
        <f>_xlfn.IFERROR(K100,"")</f>
        <v>0</v>
      </c>
      <c r="L13" s="610"/>
      <c r="M13" s="521"/>
      <c r="N13" s="521"/>
      <c r="O13" s="521"/>
      <c r="P13" s="521"/>
      <c r="Q13" s="521"/>
      <c r="R13" s="521"/>
      <c r="S13" s="521"/>
      <c r="T13" s="521"/>
    </row>
    <row customHeight="1" ht="14.25">
      <c r="A14" s="586"/>
      <c r="B14" s="611" t="s">
        <v>27</v>
      </c>
      <c r="C14" s="607" t="s">
        <v>19</v>
      </c>
      <c r="D14" s="67"/>
      <c r="E14" s="66"/>
      <c r="F14" s="613"/>
      <c r="G14" s="67"/>
      <c r="H14" s="66"/>
      <c r="I14" s="613"/>
      <c r="J14" s="66"/>
      <c r="K14" s="66"/>
      <c r="L14" s="610"/>
      <c r="M14" s="521"/>
      <c r="N14" s="521"/>
      <c r="O14" s="521"/>
      <c r="P14" s="521"/>
      <c r="Q14" s="521"/>
      <c r="R14" s="521"/>
      <c r="S14" s="521"/>
      <c r="T14" s="521"/>
    </row>
    <row customHeight="1" ht="14.25">
      <c r="A15" s="586"/>
      <c r="B15" s="611" t="s">
        <v>28</v>
      </c>
      <c r="C15" s="607" t="s">
        <v>19</v>
      </c>
      <c r="D15" s="67"/>
      <c r="E15" s="66">
        <f>_xlfn.IFERROR(E97,"")</f>
        <v>6745.3</v>
      </c>
      <c r="F15" s="613"/>
      <c r="G15" s="67">
        <v>50000</v>
      </c>
      <c r="H15" s="66">
        <f>_xlfn.IFERROR(H97,"")</f>
        <v>64112.6</v>
      </c>
      <c r="I15" s="613">
        <f>H15/#REF!*100</f>
      </c>
      <c r="J15" s="66">
        <f>_xlfn.IFERROR(J97,"")</f>
        <v>1937.9</v>
      </c>
      <c r="K15" s="66">
        <f>_xlfn.IFERROR(K97,"")</f>
        <v>60633.02</v>
      </c>
      <c r="L15" s="610"/>
      <c r="M15" s="521"/>
      <c r="N15" s="521"/>
      <c r="O15" s="521"/>
      <c r="P15" s="521"/>
      <c r="Q15" s="521"/>
      <c r="R15" s="521"/>
      <c r="S15" s="521"/>
      <c r="T15" s="521"/>
    </row>
    <row customHeight="1" ht="14.25">
      <c r="A16" s="586"/>
      <c r="B16" s="611" t="s">
        <v>29</v>
      </c>
      <c r="C16" s="607" t="s">
        <v>19</v>
      </c>
      <c r="D16" s="69"/>
      <c r="E16" s="66"/>
      <c r="F16" s="613"/>
      <c r="G16" s="69"/>
      <c r="H16" s="66"/>
      <c r="I16" s="613"/>
      <c r="J16" s="66">
        <f>_xlfn.IFERROR(J98,"")</f>
        <v>0</v>
      </c>
      <c r="K16" s="66">
        <f>_xlfn.IFERROR(K98,"")</f>
        <v>0</v>
      </c>
      <c r="L16" s="610">
        <v>0</v>
      </c>
      <c r="M16" s="521"/>
      <c r="N16" s="521"/>
      <c r="O16" s="521"/>
      <c r="P16" s="521"/>
      <c r="Q16" s="521"/>
      <c r="R16" s="521"/>
      <c r="S16" s="521"/>
      <c r="T16" s="521"/>
    </row>
    <row customHeight="1" ht="14.25">
      <c r="A17" s="586"/>
      <c r="B17" s="648" t="s">
        <v>130</v>
      </c>
      <c r="C17" s="649" t="s">
        <v>19</v>
      </c>
      <c r="D17" s="72"/>
      <c r="E17" s="73"/>
      <c r="F17" s="620"/>
      <c r="G17" s="72"/>
      <c r="H17" s="73"/>
      <c r="I17" s="620"/>
      <c r="J17" s="73"/>
      <c r="K17" s="73"/>
      <c r="L17" s="622"/>
      <c r="M17" s="521"/>
      <c r="N17" s="521"/>
      <c r="O17" s="521"/>
      <c r="P17" s="521"/>
      <c r="Q17" s="521"/>
      <c r="R17" s="521"/>
      <c r="S17" s="521"/>
      <c r="T17" s="521"/>
    </row>
    <row customHeight="1" ht="14.25">
      <c r="A18" s="586"/>
      <c r="B18" s="817" t="s">
        <v>460</v>
      </c>
      <c r="C18" s="818" t="s">
        <v>19</v>
      </c>
      <c r="D18" s="77"/>
      <c r="E18" s="78"/>
      <c r="F18" s="627"/>
      <c r="G18" s="77"/>
      <c r="H18" s="78">
        <f>H162</f>
        <v>0</v>
      </c>
      <c r="I18" s="627"/>
      <c r="J18" s="78">
        <f>_xlfn.IFERROR(J162,"")</f>
        <v>0</v>
      </c>
      <c r="K18" s="78">
        <f>_xlfn.IFERROR(K162,"")</f>
        <v>0</v>
      </c>
      <c r="L18" s="630"/>
      <c r="M18" s="521"/>
      <c r="N18" s="521"/>
      <c r="O18" s="521"/>
      <c r="P18" s="521"/>
      <c r="Q18" s="521"/>
      <c r="R18" s="521"/>
      <c r="S18" s="521"/>
      <c r="T18" s="521"/>
    </row>
    <row customHeight="1" ht="14.25">
      <c r="A19" s="586"/>
      <c r="B19" s="819" t="s">
        <v>32</v>
      </c>
      <c r="C19" s="820" t="s">
        <v>19</v>
      </c>
      <c r="D19" s="69"/>
      <c r="E19" s="82"/>
      <c r="F19" s="631"/>
      <c r="G19" s="69"/>
      <c r="H19" s="82"/>
      <c r="I19" s="631"/>
      <c r="J19" s="82">
        <f>_xlfn.IFERROR(J100,"")</f>
        <v>0</v>
      </c>
      <c r="K19" s="82">
        <f>_xlfn.IFERROR(K100,"")</f>
        <v>0</v>
      </c>
      <c r="L19" s="633"/>
      <c r="M19" s="521"/>
      <c r="N19" s="521"/>
      <c r="O19" s="521"/>
      <c r="P19" s="521"/>
      <c r="Q19" s="521"/>
      <c r="R19" s="521"/>
      <c r="S19" s="521"/>
      <c r="T19" s="521"/>
    </row>
    <row customHeight="1" ht="14.25">
      <c r="A20" s="586"/>
      <c r="B20" s="611" t="s">
        <v>132</v>
      </c>
      <c r="C20" s="607" t="s">
        <v>19</v>
      </c>
      <c r="D20" s="67"/>
      <c r="E20" s="66"/>
      <c r="F20" s="613"/>
      <c r="G20" s="67"/>
      <c r="H20" s="66"/>
      <c r="I20" s="613"/>
      <c r="J20" s="66"/>
      <c r="K20" s="66"/>
      <c r="L20" s="610"/>
      <c r="M20" s="521"/>
      <c r="N20" s="521"/>
      <c r="O20" s="521"/>
      <c r="P20" s="521"/>
      <c r="Q20" s="521"/>
      <c r="R20" s="521"/>
      <c r="S20" s="521"/>
      <c r="T20" s="521"/>
    </row>
    <row customHeight="1" ht="14.25">
      <c r="A21" s="586"/>
      <c r="B21" s="611" t="s">
        <v>34</v>
      </c>
      <c r="C21" s="607" t="s">
        <v>19</v>
      </c>
      <c r="D21" s="67">
        <v>120000</v>
      </c>
      <c r="E21" s="66">
        <f>_xlfn.IFERROR(E99,"")</f>
        <v>120602</v>
      </c>
      <c r="F21" s="613">
        <f>E21/#REF!*100</f>
      </c>
      <c r="G21" s="67">
        <v>1430000</v>
      </c>
      <c r="H21" s="66">
        <f>_xlfn.IFERROR(H99,"")</f>
        <v>1364477</v>
      </c>
      <c r="I21" s="613">
        <f>H21/#REF!*100</f>
      </c>
      <c r="J21" s="66">
        <f>_xlfn.IFERROR(J99,"")</f>
        <v>116179</v>
      </c>
      <c r="K21" s="66">
        <f>_xlfn.IFERROR(K99,"")</f>
        <v>1243604</v>
      </c>
      <c r="L21" s="610">
        <f>H21-K21</f>
        <v>120873</v>
      </c>
      <c r="M21" s="521"/>
      <c r="N21" s="521"/>
      <c r="O21" s="521"/>
      <c r="P21" s="521"/>
      <c r="Q21" s="521"/>
      <c r="R21" s="521"/>
      <c r="S21" s="521"/>
      <c r="T21" s="521"/>
    </row>
    <row customHeight="1" ht="14.25">
      <c r="A22" s="586"/>
      <c r="B22" s="611" t="s">
        <v>35</v>
      </c>
      <c r="C22" s="607" t="s">
        <v>19</v>
      </c>
      <c r="D22" s="67"/>
      <c r="E22" s="66"/>
      <c r="F22" s="613"/>
      <c r="G22" s="67"/>
      <c r="H22" s="66"/>
      <c r="I22" s="613"/>
      <c r="J22" s="66">
        <f>_xlfn.IFERROR(J100,"")</f>
        <v>0</v>
      </c>
      <c r="K22" s="66">
        <f>_xlfn.IFERROR(K100,"")</f>
        <v>0</v>
      </c>
      <c r="L22" s="610"/>
      <c r="M22" s="521"/>
      <c r="N22" s="521"/>
      <c r="O22" s="521"/>
      <c r="P22" s="521"/>
      <c r="Q22" s="521"/>
      <c r="R22" s="521"/>
      <c r="S22" s="521"/>
      <c r="T22" s="521"/>
    </row>
    <row customHeight="1" ht="14.25">
      <c r="A23" s="586"/>
      <c r="B23" s="611" t="s">
        <v>36</v>
      </c>
      <c r="C23" s="607" t="s">
        <v>19</v>
      </c>
      <c r="D23" s="67"/>
      <c r="E23" s="66"/>
      <c r="F23" s="613"/>
      <c r="G23" s="67"/>
      <c r="H23" s="66"/>
      <c r="I23" s="746"/>
      <c r="J23" s="66">
        <v>0</v>
      </c>
      <c r="K23" s="66">
        <v>0</v>
      </c>
      <c r="L23" s="610"/>
      <c r="M23" s="521"/>
      <c r="N23" s="521"/>
      <c r="O23" s="521"/>
      <c r="P23" s="521"/>
      <c r="Q23" s="521"/>
      <c r="R23" s="521"/>
      <c r="S23" s="521"/>
      <c r="T23" s="521"/>
    </row>
    <row customHeight="1" ht="14.25">
      <c r="A24" s="586"/>
      <c r="B24" s="611" t="s">
        <v>37</v>
      </c>
      <c r="C24" s="607" t="s">
        <v>19</v>
      </c>
      <c r="D24" s="67">
        <v>119000</v>
      </c>
      <c r="E24" s="66">
        <f>_xlfn.IFERROR(E101,"")</f>
        <v>124858</v>
      </c>
      <c r="F24" s="613">
        <f>E24/#REF!*100</f>
      </c>
      <c r="G24" s="67">
        <v>1460000</v>
      </c>
      <c r="H24" s="66">
        <f>_xlfn.IFERROR(H101,"")</f>
        <v>1289549</v>
      </c>
      <c r="I24" s="613">
        <f>H24/#REF!*100</f>
      </c>
      <c r="J24" s="66">
        <f>_xlfn.IFERROR(J101,"")</f>
        <v>125697</v>
      </c>
      <c r="K24" s="66">
        <f>_xlfn.IFERROR(K101,"")</f>
        <v>1389269</v>
      </c>
      <c r="L24" s="610">
        <f>H24-K24</f>
        <v>-99720</v>
      </c>
      <c r="M24" s="521"/>
      <c r="N24" s="521"/>
      <c r="O24" s="521"/>
      <c r="P24" s="521"/>
      <c r="Q24" s="521"/>
      <c r="R24" s="521"/>
      <c r="S24" s="521"/>
      <c r="T24" s="521"/>
    </row>
    <row customHeight="1" ht="14.25">
      <c r="A25" s="586"/>
      <c r="B25" s="611" t="s">
        <v>38</v>
      </c>
      <c r="C25" s="607" t="s">
        <v>19</v>
      </c>
      <c r="D25" s="67">
        <v>209000</v>
      </c>
      <c r="E25" s="66">
        <f>_xlfn.IFERROR(SUM(E103,E104),"")</f>
        <v>223525</v>
      </c>
      <c r="F25" s="613">
        <f>E25/#REF!*100</f>
      </c>
      <c r="G25" s="67">
        <v>2760000</v>
      </c>
      <c r="H25" s="66">
        <f>_xlfn.IFERROR(SUM(H103,H104),"")</f>
        <v>2702048</v>
      </c>
      <c r="I25" s="613">
        <f>H25/#REF!*100</f>
      </c>
      <c r="J25" s="66">
        <f>_xlfn.IFERROR(SUM(J103,J104),"")</f>
        <v>206515</v>
      </c>
      <c r="K25" s="66">
        <f>_xlfn.IFERROR(SUM(K103,K104),"")</f>
        <v>2563471</v>
      </c>
      <c r="L25" s="610">
        <f>H25-K25</f>
        <v>138577</v>
      </c>
      <c r="M25" s="521"/>
      <c r="N25" s="521"/>
      <c r="O25" s="521"/>
      <c r="P25" s="521"/>
      <c r="Q25" s="521"/>
      <c r="R25" s="521"/>
      <c r="S25" s="521"/>
      <c r="T25" s="521"/>
    </row>
    <row customHeight="1" ht="14.25">
      <c r="A26" s="586"/>
      <c r="B26" s="611" t="s">
        <v>39</v>
      </c>
      <c r="C26" s="607" t="s">
        <v>19</v>
      </c>
      <c r="D26" s="67">
        <v>55800</v>
      </c>
      <c r="E26" s="66">
        <f>_xlfn.IFERROR(E106,"")</f>
        <v>53873</v>
      </c>
      <c r="F26" s="613">
        <f>E26/#REF!*100</f>
      </c>
      <c r="G26" s="67">
        <v>600000</v>
      </c>
      <c r="H26" s="66">
        <f>_xlfn.IFERROR(H106,"")</f>
        <v>603872</v>
      </c>
      <c r="I26" s="613">
        <f>H26/#REF!*100</f>
      </c>
      <c r="J26" s="66">
        <f>_xlfn.IFERROR(J106,"")</f>
        <v>55942</v>
      </c>
      <c r="K26" s="66">
        <f>_xlfn.IFERROR(K106,"")</f>
        <v>603693</v>
      </c>
      <c r="L26" s="610">
        <f>H26-K26</f>
        <v>179</v>
      </c>
      <c r="M26" s="521"/>
      <c r="N26" s="521"/>
      <c r="O26" s="521"/>
      <c r="P26" s="521"/>
      <c r="Q26" s="521"/>
      <c r="R26" s="521"/>
      <c r="S26" s="521"/>
      <c r="T26" s="521"/>
    </row>
    <row customHeight="1" ht="14.25">
      <c r="A27" s="586"/>
      <c r="B27" s="611" t="s">
        <v>40</v>
      </c>
      <c r="C27" s="607" t="s">
        <v>19</v>
      </c>
      <c r="D27" s="67"/>
      <c r="E27" s="66"/>
      <c r="F27" s="613"/>
      <c r="G27" s="67"/>
      <c r="H27" s="66"/>
      <c r="I27" s="613"/>
      <c r="J27" s="66">
        <f>_xlfn.IFERROR(J107,"")</f>
        <v>0</v>
      </c>
      <c r="K27" s="66">
        <f>_xlfn.IFERROR(K107,"")</f>
        <v>0</v>
      </c>
      <c r="L27" s="610"/>
      <c r="M27" s="521"/>
      <c r="N27" s="521"/>
      <c r="O27" s="521"/>
      <c r="P27" s="521"/>
      <c r="Q27" s="521"/>
      <c r="R27" s="521"/>
      <c r="S27" s="521"/>
      <c r="T27" s="521"/>
    </row>
    <row customHeight="1" ht="14.25">
      <c r="A28" s="586"/>
      <c r="B28" s="611" t="s">
        <v>41</v>
      </c>
      <c r="C28" s="607" t="s">
        <v>19</v>
      </c>
      <c r="D28" s="67"/>
      <c r="E28" s="66">
        <f>_xlfn.IFERROR(E109,"")</f>
        <v>29971</v>
      </c>
      <c r="F28" s="613"/>
      <c r="G28" s="67">
        <v>306492</v>
      </c>
      <c r="H28" s="66">
        <f>_xlfn.IFERROR(H109,"")</f>
        <v>317896.8</v>
      </c>
      <c r="I28" s="613">
        <f>H28/#REF!*100</f>
      </c>
      <c r="J28" s="66">
        <f>_xlfn.IFERROR(J109,"")</f>
        <v>29161</v>
      </c>
      <c r="K28" s="66">
        <f>_xlfn.IFERROR(K109,"")</f>
        <v>313358</v>
      </c>
      <c r="L28" s="610">
        <f>H28-K28</f>
        <v>4538.79999999999</v>
      </c>
      <c r="M28" s="521"/>
      <c r="N28" s="521"/>
      <c r="O28" s="521"/>
      <c r="P28" s="521"/>
      <c r="Q28" s="521"/>
      <c r="R28" s="521"/>
      <c r="S28" s="521"/>
      <c r="T28" s="521"/>
    </row>
    <row customHeight="1" ht="14.25">
      <c r="A29" s="586"/>
      <c r="B29" s="611" t="s">
        <v>42</v>
      </c>
      <c r="C29" s="607" t="s">
        <v>19</v>
      </c>
      <c r="D29" s="67"/>
      <c r="E29" s="66">
        <f>_xlfn.IFERROR(E112,"")</f>
        <v>56218</v>
      </c>
      <c r="F29" s="613"/>
      <c r="G29" s="67">
        <v>450000</v>
      </c>
      <c r="H29" s="66">
        <f>_xlfn.IFERROR(H112,"")</f>
        <v>486669</v>
      </c>
      <c r="I29" s="613">
        <f>H29/#REF!*100</f>
      </c>
      <c r="J29" s="66">
        <f>_xlfn.IFERROR(J112,"")</f>
        <v>40798</v>
      </c>
      <c r="K29" s="66">
        <f>_xlfn.IFERROR(K112,"")</f>
        <v>517512</v>
      </c>
      <c r="L29" s="610">
        <f>H29-K29</f>
        <v>-30843</v>
      </c>
      <c r="M29" s="521"/>
      <c r="N29" s="521"/>
      <c r="O29" s="521"/>
      <c r="P29" s="521"/>
      <c r="Q29" s="521"/>
      <c r="R29" s="521"/>
      <c r="S29" s="521"/>
      <c r="T29" s="521"/>
    </row>
    <row customHeight="1" ht="14.25">
      <c r="A30" s="586"/>
      <c r="B30" s="606" t="s">
        <v>43</v>
      </c>
      <c r="C30" s="607"/>
      <c r="D30" s="67"/>
      <c r="E30" s="66"/>
      <c r="F30" s="613"/>
      <c r="G30" s="67"/>
      <c r="H30" s="66"/>
      <c r="I30" s="651"/>
      <c r="J30" s="66"/>
      <c r="K30" s="66"/>
      <c r="L30" s="610"/>
      <c r="M30" s="521"/>
      <c r="N30" s="521"/>
      <c r="O30" s="521"/>
      <c r="P30" s="521"/>
      <c r="Q30" s="521"/>
      <c r="R30" s="521"/>
      <c r="S30" s="521"/>
      <c r="T30" s="521"/>
    </row>
    <row customHeight="1" ht="14.25">
      <c r="A31" s="586"/>
      <c r="B31" s="634" t="s">
        <v>44</v>
      </c>
      <c r="C31" s="607" t="s">
        <v>19</v>
      </c>
      <c r="D31" s="67"/>
      <c r="E31" s="66"/>
      <c r="F31" s="613"/>
      <c r="G31" s="67"/>
      <c r="H31" s="66"/>
      <c r="I31" s="608"/>
      <c r="J31" s="66"/>
      <c r="K31" s="66"/>
      <c r="L31" s="610"/>
      <c r="M31" s="521"/>
      <c r="N31" s="521"/>
      <c r="O31" s="521"/>
      <c r="P31" s="521"/>
      <c r="Q31" s="521"/>
      <c r="R31" s="521"/>
      <c r="S31" s="521"/>
      <c r="T31" s="521"/>
    </row>
    <row customHeight="1" ht="14.25">
      <c r="A32" s="586"/>
      <c r="B32" s="611" t="s">
        <v>45</v>
      </c>
      <c r="C32" s="607" t="s">
        <v>19</v>
      </c>
      <c r="D32" s="67"/>
      <c r="E32" s="66"/>
      <c r="F32" s="613"/>
      <c r="G32" s="67"/>
      <c r="H32" s="66"/>
      <c r="I32" s="651"/>
      <c r="J32" s="66"/>
      <c r="K32" s="66"/>
      <c r="L32" s="610"/>
      <c r="M32" s="521"/>
      <c r="N32" s="521"/>
      <c r="O32" s="521"/>
      <c r="P32" s="521"/>
      <c r="Q32" s="521"/>
      <c r="R32" s="521"/>
      <c r="S32" s="521"/>
      <c r="T32" s="521"/>
    </row>
    <row customHeight="1" ht="14.25">
      <c r="A33" s="586"/>
      <c r="B33" s="634" t="s">
        <v>46</v>
      </c>
      <c r="C33" s="607" t="s">
        <v>19</v>
      </c>
      <c r="D33" s="67"/>
      <c r="E33" s="66"/>
      <c r="F33" s="613"/>
      <c r="G33" s="67"/>
      <c r="H33" s="66"/>
      <c r="I33" s="651"/>
      <c r="J33" s="66"/>
      <c r="K33" s="66"/>
      <c r="L33" s="610"/>
      <c r="M33" s="521"/>
      <c r="N33" s="521"/>
      <c r="O33" s="521"/>
      <c r="P33" s="521"/>
      <c r="Q33" s="521"/>
      <c r="R33" s="521"/>
      <c r="S33" s="521"/>
      <c r="T33" s="521"/>
    </row>
    <row customHeight="1" ht="14.25">
      <c r="A34" s="586"/>
      <c r="B34" s="634" t="s">
        <v>47</v>
      </c>
      <c r="C34" s="607"/>
      <c r="D34" s="67"/>
      <c r="E34" s="66"/>
      <c r="F34" s="613"/>
      <c r="G34" s="67"/>
      <c r="H34" s="66"/>
      <c r="I34" s="651"/>
      <c r="J34" s="66"/>
      <c r="K34" s="66"/>
      <c r="L34" s="610"/>
      <c r="M34" s="521"/>
      <c r="N34" s="521"/>
      <c r="O34" s="521"/>
      <c r="P34" s="521"/>
      <c r="Q34" s="521"/>
      <c r="R34" s="521"/>
      <c r="S34" s="521"/>
      <c r="T34" s="521"/>
    </row>
    <row customHeight="1" ht="14.25">
      <c r="A35" s="586"/>
      <c r="B35" s="611" t="s">
        <v>48</v>
      </c>
      <c r="C35" s="607" t="s">
        <v>19</v>
      </c>
      <c r="D35" s="67"/>
      <c r="E35" s="66"/>
      <c r="F35" s="613"/>
      <c r="G35" s="67"/>
      <c r="H35" s="66"/>
      <c r="I35" s="651"/>
      <c r="J35" s="66"/>
      <c r="K35" s="66"/>
      <c r="L35" s="610"/>
      <c r="M35" s="521"/>
      <c r="N35" s="521"/>
      <c r="O35" s="521"/>
      <c r="P35" s="521"/>
      <c r="Q35" s="521"/>
      <c r="R35" s="521"/>
      <c r="S35" s="521"/>
      <c r="T35" s="521"/>
    </row>
    <row customHeight="1" ht="14.25">
      <c r="A36" s="586"/>
      <c r="B36" s="639" t="s">
        <v>49</v>
      </c>
      <c r="C36" s="607" t="s">
        <v>19</v>
      </c>
      <c r="D36" s="67"/>
      <c r="E36" s="66"/>
      <c r="F36" s="613"/>
      <c r="G36" s="67"/>
      <c r="H36" s="66"/>
      <c r="I36" s="651"/>
      <c r="J36" s="66"/>
      <c r="K36" s="66"/>
      <c r="L36" s="610"/>
      <c r="M36" s="521"/>
      <c r="N36" s="521"/>
      <c r="O36" s="521"/>
      <c r="P36" s="521"/>
      <c r="Q36" s="521"/>
      <c r="R36" s="521"/>
      <c r="S36" s="521"/>
      <c r="T36" s="521"/>
    </row>
    <row customHeight="1" ht="14.25">
      <c r="A37" s="586"/>
      <c r="B37" s="611" t="s">
        <v>50</v>
      </c>
      <c r="C37" s="607" t="s">
        <v>19</v>
      </c>
      <c r="D37" s="67"/>
      <c r="E37" s="66"/>
      <c r="F37" s="613"/>
      <c r="G37" s="67"/>
      <c r="H37" s="66"/>
      <c r="I37" s="651"/>
      <c r="J37" s="66"/>
      <c r="K37" s="66"/>
      <c r="L37" s="610"/>
      <c r="M37" s="521"/>
      <c r="N37" s="521"/>
      <c r="O37" s="521"/>
      <c r="P37" s="521"/>
      <c r="Q37" s="521"/>
      <c r="R37" s="521"/>
      <c r="S37" s="521"/>
      <c r="T37" s="521"/>
    </row>
    <row customHeight="1" ht="14.25">
      <c r="A38" s="586"/>
      <c r="B38" s="611" t="s">
        <v>51</v>
      </c>
      <c r="C38" s="607" t="s">
        <v>19</v>
      </c>
      <c r="D38" s="67"/>
      <c r="E38" s="66"/>
      <c r="F38" s="613"/>
      <c r="G38" s="67"/>
      <c r="H38" s="66"/>
      <c r="I38" s="651"/>
      <c r="J38" s="66"/>
      <c r="K38" s="66"/>
      <c r="L38" s="610"/>
      <c r="M38" s="521"/>
      <c r="N38" s="521"/>
      <c r="O38" s="521"/>
      <c r="P38" s="521"/>
      <c r="Q38" s="521"/>
      <c r="R38" s="521"/>
      <c r="S38" s="521"/>
      <c r="T38" s="521"/>
    </row>
    <row customHeight="1" ht="14.25">
      <c r="A39" s="586"/>
      <c r="B39" s="611" t="s">
        <v>52</v>
      </c>
      <c r="C39" s="607" t="s">
        <v>19</v>
      </c>
      <c r="D39" s="67"/>
      <c r="E39" s="66"/>
      <c r="F39" s="613"/>
      <c r="G39" s="67"/>
      <c r="H39" s="66"/>
      <c r="I39" s="651"/>
      <c r="J39" s="66"/>
      <c r="K39" s="66"/>
      <c r="L39" s="610"/>
      <c r="M39" s="521"/>
      <c r="N39" s="521"/>
      <c r="O39" s="521"/>
      <c r="P39" s="521"/>
      <c r="Q39" s="521"/>
      <c r="R39" s="521"/>
      <c r="S39" s="521"/>
      <c r="T39" s="521"/>
    </row>
    <row customHeight="1" ht="14.25">
      <c r="A40" s="586"/>
      <c r="B40" s="611" t="s">
        <v>53</v>
      </c>
      <c r="C40" s="607" t="s">
        <v>19</v>
      </c>
      <c r="D40" s="67"/>
      <c r="E40" s="86"/>
      <c r="F40" s="641"/>
      <c r="G40" s="67"/>
      <c r="H40" s="86"/>
      <c r="I40" s="641"/>
      <c r="J40" s="86"/>
      <c r="K40" s="86"/>
      <c r="L40" s="643"/>
      <c r="M40" s="521"/>
      <c r="N40" s="521"/>
      <c r="O40" s="521"/>
      <c r="P40" s="521"/>
      <c r="Q40" s="521"/>
      <c r="R40" s="521"/>
      <c r="S40" s="521"/>
      <c r="T40" s="521"/>
    </row>
    <row customHeight="1" ht="14.25">
      <c r="A41" s="586"/>
      <c r="B41" s="611" t="s">
        <v>54</v>
      </c>
      <c r="C41" s="607" t="s">
        <v>19</v>
      </c>
      <c r="D41" s="67"/>
      <c r="E41" s="66"/>
      <c r="F41" s="608"/>
      <c r="G41" s="67"/>
      <c r="H41" s="66"/>
      <c r="I41" s="651"/>
      <c r="J41" s="66"/>
      <c r="K41" s="66"/>
      <c r="L41" s="610"/>
      <c r="M41" s="521"/>
      <c r="N41" s="521"/>
      <c r="O41" s="521"/>
      <c r="P41" s="521"/>
      <c r="Q41" s="521"/>
      <c r="R41" s="521"/>
      <c r="S41" s="521"/>
      <c r="T41" s="521"/>
    </row>
    <row customHeight="1" ht="14.25">
      <c r="A42" s="586"/>
      <c r="B42" s="611" t="s">
        <v>55</v>
      </c>
      <c r="C42" s="607" t="s">
        <v>19</v>
      </c>
      <c r="D42" s="67"/>
      <c r="E42" s="66"/>
      <c r="F42" s="608"/>
      <c r="G42" s="67"/>
      <c r="H42" s="66"/>
      <c r="I42" s="651"/>
      <c r="J42" s="66"/>
      <c r="K42" s="66"/>
      <c r="L42" s="610"/>
      <c r="M42" s="521"/>
      <c r="N42" s="521"/>
      <c r="O42" s="521"/>
      <c r="P42" s="521"/>
      <c r="Q42" s="521"/>
      <c r="R42" s="521"/>
      <c r="S42" s="521"/>
      <c r="T42" s="521"/>
    </row>
    <row customHeight="1" ht="14.25">
      <c r="A43" s="586"/>
      <c r="B43" s="611" t="s">
        <v>56</v>
      </c>
      <c r="C43" s="607" t="s">
        <v>19</v>
      </c>
      <c r="D43" s="67"/>
      <c r="E43" s="66"/>
      <c r="F43" s="608"/>
      <c r="G43" s="88"/>
      <c r="H43" s="66"/>
      <c r="I43" s="651"/>
      <c r="J43" s="66"/>
      <c r="K43" s="66"/>
      <c r="L43" s="610"/>
      <c r="M43" s="521"/>
      <c r="N43" s="521"/>
      <c r="O43" s="521"/>
      <c r="P43" s="521"/>
      <c r="Q43" s="521"/>
      <c r="R43" s="521"/>
      <c r="S43" s="521"/>
      <c r="T43" s="521"/>
    </row>
    <row customHeight="1" ht="14.25">
      <c r="A44" s="586"/>
      <c r="B44" s="611" t="s">
        <v>57</v>
      </c>
      <c r="C44" s="607" t="s">
        <v>19</v>
      </c>
      <c r="D44" s="67"/>
      <c r="E44" s="66"/>
      <c r="F44" s="608"/>
      <c r="G44" s="88"/>
      <c r="H44" s="66"/>
      <c r="I44" s="651"/>
      <c r="J44" s="66"/>
      <c r="K44" s="66"/>
      <c r="L44" s="610"/>
      <c r="M44" s="521"/>
      <c r="N44" s="521"/>
      <c r="O44" s="521"/>
      <c r="P44" s="521"/>
      <c r="Q44" s="521"/>
      <c r="R44" s="521"/>
      <c r="S44" s="521"/>
      <c r="T44" s="521"/>
    </row>
    <row customHeight="1" ht="14.25">
      <c r="A45" s="586"/>
      <c r="B45" s="611" t="s">
        <v>58</v>
      </c>
      <c r="C45" s="607" t="s">
        <v>19</v>
      </c>
      <c r="D45" s="67"/>
      <c r="E45" s="66"/>
      <c r="F45" s="608"/>
      <c r="G45" s="88"/>
      <c r="H45" s="66"/>
      <c r="I45" s="651"/>
      <c r="J45" s="66"/>
      <c r="K45" s="66"/>
      <c r="L45" s="610"/>
      <c r="M45" s="521"/>
      <c r="N45" s="521"/>
      <c r="O45" s="521"/>
      <c r="P45" s="521"/>
      <c r="Q45" s="521"/>
      <c r="R45" s="521"/>
      <c r="S45" s="521"/>
      <c r="T45" s="521"/>
    </row>
    <row customHeight="1" ht="14.25">
      <c r="A46" s="586"/>
      <c r="B46" s="611" t="s">
        <v>59</v>
      </c>
      <c r="C46" s="607" t="s">
        <v>19</v>
      </c>
      <c r="D46" s="67"/>
      <c r="E46" s="66"/>
      <c r="F46" s="613"/>
      <c r="G46" s="67"/>
      <c r="H46" s="66"/>
      <c r="I46" s="651"/>
      <c r="J46" s="66"/>
      <c r="K46" s="66"/>
      <c r="L46" s="610"/>
      <c r="M46" s="521"/>
      <c r="N46" s="521"/>
      <c r="O46" s="521"/>
      <c r="P46" s="521"/>
      <c r="Q46" s="521"/>
      <c r="R46" s="521"/>
      <c r="S46" s="521"/>
      <c r="T46" s="521"/>
    </row>
    <row customHeight="1" ht="14.25">
      <c r="A47" s="586"/>
      <c r="B47" s="611" t="s">
        <v>60</v>
      </c>
      <c r="C47" s="607" t="s">
        <v>19</v>
      </c>
      <c r="D47" s="67"/>
      <c r="E47" s="66"/>
      <c r="F47" s="613"/>
      <c r="G47" s="67"/>
      <c r="H47" s="66"/>
      <c r="I47" s="651"/>
      <c r="J47" s="66"/>
      <c r="K47" s="66"/>
      <c r="L47" s="610"/>
      <c r="M47" s="521"/>
      <c r="N47" s="521"/>
      <c r="O47" s="521"/>
      <c r="P47" s="521"/>
      <c r="Q47" s="521"/>
      <c r="R47" s="521"/>
      <c r="S47" s="521"/>
      <c r="T47" s="521"/>
    </row>
    <row customHeight="1" ht="14.25">
      <c r="A48" s="586"/>
      <c r="B48" s="611" t="s">
        <v>61</v>
      </c>
      <c r="C48" s="607" t="s">
        <v>19</v>
      </c>
      <c r="D48" s="67"/>
      <c r="E48" s="66"/>
      <c r="F48" s="613"/>
      <c r="G48" s="67"/>
      <c r="H48" s="66"/>
      <c r="I48" s="651"/>
      <c r="J48" s="66"/>
      <c r="K48" s="66"/>
      <c r="L48" s="610"/>
      <c r="M48" s="521"/>
      <c r="N48" s="521"/>
      <c r="O48" s="521"/>
      <c r="P48" s="521"/>
      <c r="Q48" s="521"/>
      <c r="R48" s="521"/>
      <c r="S48" s="521"/>
      <c r="T48" s="521"/>
    </row>
    <row customHeight="1" ht="14.25">
      <c r="A49" s="586"/>
      <c r="B49" s="611" t="s">
        <v>62</v>
      </c>
      <c r="C49" s="607" t="s">
        <v>19</v>
      </c>
      <c r="D49" s="67"/>
      <c r="E49" s="66"/>
      <c r="F49" s="613"/>
      <c r="G49" s="67">
        <v>86489</v>
      </c>
      <c r="H49" s="66"/>
      <c r="I49" s="651"/>
      <c r="J49" s="66"/>
      <c r="K49" s="66"/>
      <c r="L49" s="610"/>
      <c r="M49" s="521"/>
      <c r="N49" s="521"/>
      <c r="O49" s="521"/>
      <c r="P49" s="521"/>
      <c r="Q49" s="521"/>
      <c r="R49" s="521"/>
      <c r="S49" s="521"/>
      <c r="T49" s="521"/>
    </row>
    <row customHeight="1" ht="14.25">
      <c r="A50" s="586"/>
      <c r="B50" s="611" t="s">
        <v>63</v>
      </c>
      <c r="C50" s="607" t="s">
        <v>19</v>
      </c>
      <c r="D50" s="67"/>
      <c r="E50" s="66"/>
      <c r="F50" s="613"/>
      <c r="G50" s="67"/>
      <c r="H50" s="66"/>
      <c r="I50" s="651"/>
      <c r="J50" s="66"/>
      <c r="K50" s="66"/>
      <c r="L50" s="610"/>
      <c r="M50" s="521"/>
      <c r="N50" s="521"/>
      <c r="O50" s="521"/>
      <c r="P50" s="521"/>
      <c r="Q50" s="521"/>
      <c r="R50" s="521"/>
      <c r="S50" s="521"/>
      <c r="T50" s="521"/>
    </row>
    <row customHeight="1" ht="14.25">
      <c r="A51" s="586"/>
      <c r="B51" s="611" t="s">
        <v>64</v>
      </c>
      <c r="C51" s="607" t="s">
        <v>19</v>
      </c>
      <c r="D51" s="67"/>
      <c r="E51" s="66"/>
      <c r="F51" s="613"/>
      <c r="G51" s="67"/>
      <c r="H51" s="66"/>
      <c r="I51" s="613"/>
      <c r="J51" s="66"/>
      <c r="K51" s="66"/>
      <c r="L51" s="610"/>
      <c r="M51" s="521"/>
      <c r="N51" s="521"/>
      <c r="O51" s="521"/>
      <c r="P51" s="521"/>
      <c r="Q51" s="521"/>
      <c r="R51" s="521"/>
      <c r="S51" s="521"/>
      <c r="T51" s="521"/>
    </row>
    <row customHeight="1" ht="14.25">
      <c r="A52" s="586"/>
      <c r="B52" s="611" t="s">
        <v>133</v>
      </c>
      <c r="C52" s="607" t="s">
        <v>19</v>
      </c>
      <c r="D52" s="67"/>
      <c r="E52" s="66"/>
      <c r="F52" s="613"/>
      <c r="G52" s="67"/>
      <c r="H52" s="66"/>
      <c r="I52" s="651"/>
      <c r="J52" s="66"/>
      <c r="K52" s="66"/>
      <c r="L52" s="610"/>
      <c r="M52" s="521"/>
      <c r="N52" s="521"/>
      <c r="O52" s="521"/>
      <c r="P52" s="521"/>
      <c r="Q52" s="521"/>
      <c r="R52" s="521"/>
      <c r="S52" s="521"/>
      <c r="T52" s="521"/>
    </row>
    <row customHeight="1" ht="14.25">
      <c r="A53" s="586"/>
      <c r="B53" s="611" t="s">
        <v>66</v>
      </c>
      <c r="C53" s="607" t="s">
        <v>19</v>
      </c>
      <c r="D53" s="67">
        <v>17500</v>
      </c>
      <c r="E53" s="66">
        <f>_xlfn.IFERROR(E117,"")</f>
        <v>18230</v>
      </c>
      <c r="F53" s="613">
        <f>E53/#REF!*100</f>
      </c>
      <c r="G53" s="67">
        <v>200000</v>
      </c>
      <c r="H53" s="66">
        <f>_xlfn.IFERROR(H117,"")</f>
        <v>198259</v>
      </c>
      <c r="I53" s="613">
        <f>H53/#REF!*100</f>
      </c>
      <c r="J53" s="66">
        <f>_xlfn.IFERROR(J117,"")</f>
        <v>18136</v>
      </c>
      <c r="K53" s="66">
        <f>_xlfn.IFERROR(K117,"")</f>
        <v>203114</v>
      </c>
      <c r="L53" s="610">
        <f>H53-K53</f>
        <v>-4855</v>
      </c>
      <c r="M53" s="521"/>
      <c r="N53" s="521"/>
      <c r="O53" s="521"/>
      <c r="P53" s="521"/>
      <c r="Q53" s="521"/>
      <c r="R53" s="521"/>
      <c r="S53" s="521"/>
      <c r="T53" s="521"/>
    </row>
    <row customHeight="1" ht="14.25">
      <c r="A54" s="586"/>
      <c r="B54" s="611" t="s">
        <v>67</v>
      </c>
      <c r="C54" s="607" t="s">
        <v>19</v>
      </c>
      <c r="D54" s="67"/>
      <c r="E54" s="66"/>
      <c r="F54" s="613"/>
      <c r="G54" s="67"/>
      <c r="H54" s="66"/>
      <c r="I54" s="651"/>
      <c r="J54" s="66"/>
      <c r="K54" s="66"/>
      <c r="L54" s="610"/>
      <c r="M54" s="521"/>
      <c r="N54" s="521"/>
      <c r="O54" s="521"/>
      <c r="P54" s="521"/>
      <c r="Q54" s="521"/>
      <c r="R54" s="521"/>
      <c r="S54" s="521"/>
      <c r="T54" s="521"/>
    </row>
    <row customHeight="1" ht="14.25">
      <c r="A55" s="586"/>
      <c r="B55" s="611" t="s">
        <v>68</v>
      </c>
      <c r="C55" s="607" t="s">
        <v>19</v>
      </c>
      <c r="D55" s="67">
        <v>200</v>
      </c>
      <c r="E55" s="66"/>
      <c r="F55" s="613"/>
      <c r="G55" s="67">
        <v>11600</v>
      </c>
      <c r="H55" s="66"/>
      <c r="I55" s="613"/>
      <c r="J55" s="66"/>
      <c r="K55" s="66"/>
      <c r="L55" s="610"/>
      <c r="M55" s="521"/>
      <c r="N55" s="823"/>
      <c r="O55" s="823"/>
      <c r="P55" s="521"/>
      <c r="Q55" s="521"/>
      <c r="R55" s="521"/>
      <c r="S55" s="521"/>
      <c r="T55" s="521"/>
    </row>
    <row customHeight="1" ht="14.25">
      <c r="A56" s="586"/>
      <c r="B56" s="611" t="s">
        <v>69</v>
      </c>
      <c r="C56" s="607" t="s">
        <v>19</v>
      </c>
      <c r="D56" s="67"/>
      <c r="E56" s="66"/>
      <c r="F56" s="613"/>
      <c r="G56" s="67"/>
      <c r="H56" s="66"/>
      <c r="I56" s="613"/>
      <c r="J56" s="66"/>
      <c r="K56" s="66"/>
      <c r="L56" s="610"/>
      <c r="M56" s="521"/>
      <c r="N56" s="823"/>
      <c r="O56" s="823"/>
      <c r="P56" s="521"/>
      <c r="Q56" s="521"/>
      <c r="R56" s="521"/>
      <c r="S56" s="521"/>
      <c r="T56" s="521"/>
    </row>
    <row customHeight="1" ht="14.25">
      <c r="A57" s="586"/>
      <c r="B57" s="611" t="s">
        <v>153</v>
      </c>
      <c r="C57" s="607" t="s">
        <v>19</v>
      </c>
      <c r="D57" s="67"/>
      <c r="E57" s="73"/>
      <c r="F57" s="620"/>
      <c r="G57" s="67"/>
      <c r="H57" s="73"/>
      <c r="I57" s="620"/>
      <c r="J57" s="73"/>
      <c r="K57" s="73"/>
      <c r="L57" s="610"/>
      <c r="M57" s="521"/>
      <c r="N57" s="823"/>
      <c r="O57" s="823"/>
      <c r="P57" s="521"/>
      <c r="Q57" s="521"/>
      <c r="R57" s="521"/>
      <c r="S57" s="521"/>
      <c r="T57" s="521"/>
    </row>
    <row customHeight="1" ht="14.25">
      <c r="A58" s="586"/>
      <c r="B58" s="611" t="s">
        <v>71</v>
      </c>
      <c r="C58" s="607" t="s">
        <v>19</v>
      </c>
      <c r="D58" s="67"/>
      <c r="E58" s="66">
        <f>_xlfn.IFERROR(E119,"")</f>
        <v>202</v>
      </c>
      <c r="F58" s="620"/>
      <c r="G58" s="67">
        <v>1200</v>
      </c>
      <c r="H58" s="66">
        <f>_xlfn.IFERROR(H119,"")</f>
        <v>1763</v>
      </c>
      <c r="I58" s="620"/>
      <c r="J58" s="66">
        <f>_xlfn.IFERROR(J119,"")</f>
        <v>133</v>
      </c>
      <c r="K58" s="66">
        <f>_xlfn.IFERROR(K119,"")</f>
        <v>1550.7</v>
      </c>
      <c r="L58" s="610"/>
      <c r="M58" s="521"/>
      <c r="N58" s="823"/>
      <c r="O58" s="823"/>
      <c r="P58" s="521"/>
      <c r="Q58" s="521"/>
      <c r="R58" s="521"/>
      <c r="S58" s="521"/>
      <c r="T58" s="521"/>
    </row>
    <row customHeight="1" ht="14.25">
      <c r="A59" s="586"/>
      <c r="B59" s="611" t="s">
        <v>72</v>
      </c>
      <c r="C59" s="607" t="s">
        <v>19</v>
      </c>
      <c r="D59" s="67"/>
      <c r="E59" s="66">
        <f>_xlfn.IFERROR(E120,"")</f>
        <v>0</v>
      </c>
      <c r="F59" s="620"/>
      <c r="G59" s="67"/>
      <c r="H59" s="66">
        <f>_xlfn.IFERROR(H120,"")</f>
        <v>0</v>
      </c>
      <c r="I59" s="620"/>
      <c r="J59" s="66">
        <f>_xlfn.IFERROR(J120,"")</f>
        <v>0</v>
      </c>
      <c r="K59" s="66">
        <f>_xlfn.IFERROR(K120,"")</f>
        <v>0</v>
      </c>
      <c r="L59" s="610">
        <f>H59-K59</f>
        <v>0</v>
      </c>
      <c r="M59" s="521"/>
      <c r="N59" s="823"/>
      <c r="O59" s="823"/>
      <c r="P59" s="521"/>
      <c r="Q59" s="521"/>
      <c r="R59" s="521"/>
      <c r="S59" s="521"/>
      <c r="T59" s="521"/>
    </row>
    <row customHeight="1" ht="14.25">
      <c r="A60" s="586"/>
      <c r="B60" s="648" t="s">
        <v>73</v>
      </c>
      <c r="C60" s="607" t="s">
        <v>19</v>
      </c>
      <c r="D60" s="67"/>
      <c r="E60" s="73"/>
      <c r="F60" s="620"/>
      <c r="G60" s="67">
        <v>25313</v>
      </c>
      <c r="H60" s="73"/>
      <c r="I60" s="620"/>
      <c r="J60" s="73"/>
      <c r="K60" s="73"/>
      <c r="L60" s="610"/>
      <c r="M60" s="521"/>
      <c r="N60" s="823"/>
      <c r="O60" s="823"/>
      <c r="P60" s="521"/>
      <c r="Q60" s="521"/>
      <c r="R60" s="521"/>
      <c r="S60" s="521"/>
      <c r="T60" s="521"/>
    </row>
    <row customHeight="1" ht="14.25">
      <c r="A61" s="586"/>
      <c r="B61" s="648" t="s">
        <v>74</v>
      </c>
      <c r="C61" s="649" t="s">
        <v>19</v>
      </c>
      <c r="D61" s="67"/>
      <c r="E61" s="73"/>
      <c r="F61" s="613"/>
      <c r="G61" s="67"/>
      <c r="H61" s="73"/>
      <c r="I61" s="613"/>
      <c r="J61" s="73"/>
      <c r="K61" s="73"/>
      <c r="L61" s="610"/>
      <c r="M61" s="521"/>
      <c r="N61" s="823"/>
      <c r="O61" s="823"/>
      <c r="P61" s="521"/>
      <c r="Q61" s="521"/>
      <c r="R61" s="521"/>
      <c r="S61" s="521"/>
      <c r="T61" s="521"/>
    </row>
    <row customHeight="1" ht="14.25">
      <c r="A62" s="586"/>
      <c r="B62" s="611" t="s">
        <v>75</v>
      </c>
      <c r="C62" s="607" t="s">
        <v>19</v>
      </c>
      <c r="D62" s="67">
        <v>18000.055</v>
      </c>
      <c r="E62" s="66">
        <f>_xlfn.IFERROR(E121,"")</f>
        <v>18963</v>
      </c>
      <c r="F62" s="613">
        <f>E62/#REF!*100</f>
      </c>
      <c r="G62" s="67">
        <v>210000</v>
      </c>
      <c r="H62" s="66">
        <f>_xlfn.IFERROR(H121,"")</f>
        <v>210582</v>
      </c>
      <c r="I62" s="613">
        <f>H62/#REF!*100</f>
      </c>
      <c r="J62" s="66">
        <f>_xlfn.IFERROR(J121,"")</f>
        <v>18694</v>
      </c>
      <c r="K62" s="66">
        <f>_xlfn.IFERROR(K121,"")</f>
        <v>211394</v>
      </c>
      <c r="L62" s="610">
        <f>H62-K62</f>
        <v>-812</v>
      </c>
      <c r="M62" s="521"/>
      <c r="N62" s="823"/>
      <c r="O62" s="823"/>
      <c r="P62" s="521"/>
      <c r="Q62" s="521"/>
      <c r="R62" s="521"/>
      <c r="S62" s="521"/>
      <c r="T62" s="521"/>
    </row>
    <row customHeight="1" ht="14.25">
      <c r="A63" s="586"/>
      <c r="B63" s="611" t="s">
        <v>76</v>
      </c>
      <c r="C63" s="607" t="s">
        <v>19</v>
      </c>
      <c r="D63" s="67"/>
      <c r="E63" s="66">
        <f>_xlfn.IFERROR(E123,"")</f>
        <v>0</v>
      </c>
      <c r="F63" s="613"/>
      <c r="G63" s="67"/>
      <c r="H63" s="66">
        <f>_xlfn.IFERROR(H123,"")</f>
        <v>0</v>
      </c>
      <c r="I63" s="613"/>
      <c r="J63" s="66">
        <f>_xlfn.IFERROR(J123,"")</f>
        <v>0</v>
      </c>
      <c r="K63" s="66">
        <f>_xlfn.IFERROR(K123,"")</f>
        <v>3378.14</v>
      </c>
      <c r="L63" s="610"/>
      <c r="M63" s="521"/>
      <c r="N63" s="823"/>
      <c r="O63" s="823"/>
      <c r="P63" s="521"/>
      <c r="Q63" s="521"/>
      <c r="R63" s="521"/>
      <c r="S63" s="521"/>
      <c r="T63" s="521"/>
    </row>
    <row customHeight="1" ht="14.25">
      <c r="A64" s="586"/>
      <c r="B64" s="611" t="s">
        <v>77</v>
      </c>
      <c r="C64" s="607" t="s">
        <v>19</v>
      </c>
      <c r="D64" s="67">
        <v>23600</v>
      </c>
      <c r="E64" s="66">
        <f>_xlfn.IFERROR(E125,"")</f>
        <v>27446</v>
      </c>
      <c r="F64" s="613">
        <f>E64/#REF!*100</f>
      </c>
      <c r="G64" s="67">
        <v>253000</v>
      </c>
      <c r="H64" s="66">
        <f>_xlfn.IFERROR(H125,"")</f>
        <v>241696</v>
      </c>
      <c r="I64" s="613">
        <f>H64/#REF!*100</f>
      </c>
      <c r="J64" s="66">
        <f>_xlfn.IFERROR(J125,"")</f>
        <v>20018</v>
      </c>
      <c r="K64" s="66">
        <f>_xlfn.IFERROR(K125,"")</f>
        <v>251236</v>
      </c>
      <c r="L64" s="610">
        <f>H64-K64</f>
        <v>-9540</v>
      </c>
      <c r="M64" s="521"/>
      <c r="N64" s="823"/>
      <c r="O64" s="823"/>
      <c r="P64" s="521"/>
      <c r="Q64" s="521"/>
      <c r="R64" s="521"/>
      <c r="S64" s="521"/>
      <c r="T64" s="521"/>
    </row>
    <row customHeight="1" ht="14.25">
      <c r="A65" s="586"/>
      <c r="B65" s="611" t="s">
        <v>78</v>
      </c>
      <c r="C65" s="607" t="s">
        <v>19</v>
      </c>
      <c r="D65" s="67"/>
      <c r="E65" s="66">
        <f>_xlfn.IFERROR(E127,"")</f>
        <v>0</v>
      </c>
      <c r="F65" s="613"/>
      <c r="G65" s="67"/>
      <c r="H65" s="66">
        <f>_xlfn.IFERROR(H127,"")</f>
        <v>0</v>
      </c>
      <c r="I65" s="613"/>
      <c r="J65" s="66">
        <f>_xlfn.IFERROR(J127,"")</f>
        <v>0</v>
      </c>
      <c r="K65" s="66">
        <f>_xlfn.IFERROR(K127,"")</f>
        <v>4353.48</v>
      </c>
      <c r="L65" s="610"/>
      <c r="M65" s="521"/>
      <c r="N65" s="823"/>
      <c r="O65" s="823"/>
      <c r="P65" s="521"/>
      <c r="Q65" s="521"/>
      <c r="R65" s="521"/>
      <c r="S65" s="521"/>
      <c r="T65" s="521"/>
    </row>
    <row customHeight="1" ht="14.25">
      <c r="A66" s="586"/>
      <c r="B66" s="611" t="s">
        <v>79</v>
      </c>
      <c r="C66" s="607" t="s">
        <v>19</v>
      </c>
      <c r="D66" s="67"/>
      <c r="E66" s="66"/>
      <c r="F66" s="613"/>
      <c r="G66" s="67"/>
      <c r="H66" s="66"/>
      <c r="I66" s="613"/>
      <c r="J66" s="66"/>
      <c r="K66" s="66"/>
      <c r="L66" s="610"/>
      <c r="M66" s="521"/>
      <c r="N66" s="823"/>
      <c r="O66" s="823"/>
      <c r="P66" s="521"/>
      <c r="Q66" s="521"/>
      <c r="R66" s="521"/>
      <c r="S66" s="521"/>
      <c r="T66" s="521"/>
    </row>
    <row customHeight="1" ht="14.25">
      <c r="A67" s="586"/>
      <c r="B67" s="611" t="s">
        <v>80</v>
      </c>
      <c r="C67" s="607" t="s">
        <v>19</v>
      </c>
      <c r="D67" s="67"/>
      <c r="E67" s="66"/>
      <c r="F67" s="613"/>
      <c r="G67" s="67"/>
      <c r="H67" s="66"/>
      <c r="I67" s="124"/>
      <c r="J67" s="66"/>
      <c r="K67" s="66"/>
      <c r="L67" s="610"/>
      <c r="M67" s="521"/>
      <c r="N67" s="823"/>
      <c r="O67" s="823"/>
      <c r="P67" s="521"/>
      <c r="Q67" s="521"/>
      <c r="R67" s="521"/>
      <c r="S67" s="521"/>
      <c r="T67" s="521"/>
    </row>
    <row customHeight="1" ht="14.25">
      <c r="A68" s="586"/>
      <c r="B68" s="606" t="s">
        <v>81</v>
      </c>
      <c r="C68" s="607"/>
      <c r="D68" s="67"/>
      <c r="E68" s="66"/>
      <c r="F68" s="608"/>
      <c r="G68" s="67"/>
      <c r="H68" s="66"/>
      <c r="I68" s="651"/>
      <c r="J68" s="66"/>
      <c r="K68" s="66"/>
      <c r="L68" s="610"/>
      <c r="M68" s="521"/>
      <c r="N68" s="823"/>
      <c r="O68" s="823"/>
      <c r="P68" s="521"/>
      <c r="Q68" s="521"/>
      <c r="R68" s="521"/>
      <c r="S68" s="521"/>
      <c r="T68" s="521"/>
    </row>
    <row customHeight="1" ht="14.25">
      <c r="A69" s="586"/>
      <c r="B69" s="611" t="s">
        <v>82</v>
      </c>
      <c r="C69" s="607" t="s">
        <v>19</v>
      </c>
      <c r="D69" s="67">
        <f>D31+D35+D41</f>
        <v>0</v>
      </c>
      <c r="E69" s="102"/>
      <c r="F69" s="613"/>
      <c r="G69" s="67"/>
      <c r="H69" s="102"/>
      <c r="I69" s="613"/>
      <c r="J69" s="102"/>
      <c r="K69" s="102"/>
      <c r="L69" s="610"/>
      <c r="M69" s="521"/>
      <c r="N69" s="823"/>
      <c r="O69" s="823"/>
      <c r="P69" s="521"/>
      <c r="Q69" s="521"/>
      <c r="R69" s="521"/>
      <c r="S69" s="521"/>
      <c r="T69" s="521"/>
    </row>
    <row customHeight="1" ht="14.25">
      <c r="A70" s="586"/>
      <c r="B70" s="611" t="s">
        <v>83</v>
      </c>
      <c r="C70" s="607" t="s">
        <v>19</v>
      </c>
      <c r="D70" s="67">
        <v>488000</v>
      </c>
      <c r="E70" s="103">
        <f>_xlfn.IFERROR(E129,"")</f>
        <v>514535</v>
      </c>
      <c r="F70" s="613">
        <f>E70/#REF!*100</f>
      </c>
      <c r="G70" s="67">
        <v>6074000</v>
      </c>
      <c r="H70" s="103">
        <f>_xlfn.IFERROR(H129,"")</f>
        <v>5931263</v>
      </c>
      <c r="I70" s="613">
        <f>H70/#REF!*100</f>
      </c>
      <c r="J70" s="103">
        <f>_xlfn.IFERROR(J129,"")</f>
        <v>485974</v>
      </c>
      <c r="K70" s="103">
        <f>_xlfn.IFERROR(K129,"")</f>
        <v>5726520.7</v>
      </c>
      <c r="L70" s="610">
        <f>H70-K70</f>
        <v>204742.3</v>
      </c>
      <c r="M70" s="521"/>
      <c r="N70" s="823"/>
      <c r="O70" s="823"/>
      <c r="P70" s="521"/>
      <c r="Q70" s="521"/>
      <c r="R70" s="521"/>
      <c r="S70" s="521"/>
      <c r="T70" s="521"/>
    </row>
    <row customHeight="1" ht="14.25">
      <c r="A71" s="586"/>
      <c r="B71" s="611" t="s">
        <v>134</v>
      </c>
      <c r="C71" s="607" t="s">
        <v>85</v>
      </c>
      <c r="D71" s="104">
        <v>97.35</v>
      </c>
      <c r="E71" s="103">
        <f>_xlfn.IFERROR(E153/E154*100,"")</f>
        <v>95.0084450884658</v>
      </c>
      <c r="F71" s="651">
        <f>E71-#REF!</f>
      </c>
      <c r="G71" s="104">
        <v>96.75</v>
      </c>
      <c r="H71" s="103">
        <f>_xlfn.IFERROR(H153/H154*100,"")</f>
        <v>96.9178808475622</v>
      </c>
      <c r="I71" s="651">
        <f>H71-#REF!</f>
      </c>
      <c r="J71" s="103">
        <f>_xlfn.IFERROR(J153/J154*100,"")</f>
        <v>96.9071508455486</v>
      </c>
      <c r="K71" s="103">
        <f>_xlfn.IFERROR(K153/K154*100,"")</f>
        <v>97.0782569866043</v>
      </c>
      <c r="L71" s="652">
        <f>H71-K71</f>
        <v>-0.1603761390421</v>
      </c>
      <c r="M71" s="521"/>
      <c r="N71" s="823"/>
      <c r="O71" s="823"/>
      <c r="P71" s="521"/>
      <c r="Q71" s="521"/>
      <c r="R71" s="521"/>
      <c r="S71" s="521"/>
      <c r="T71" s="521"/>
    </row>
    <row customHeight="1" ht="14.25">
      <c r="A72" s="586"/>
      <c r="B72" s="611" t="s">
        <v>135</v>
      </c>
      <c r="C72" s="607" t="s">
        <v>85</v>
      </c>
      <c r="D72" s="104">
        <v>1.6</v>
      </c>
      <c r="E72" s="103">
        <f>SUM(E138/E139*100)</f>
        <v>3.9615310068576</v>
      </c>
      <c r="F72" s="651">
        <f>E72-#REF!</f>
      </c>
      <c r="G72" s="104">
        <v>2.05</v>
      </c>
      <c r="H72" s="103">
        <f>SUM(H138/H139*100)</f>
        <v>2.04207529857369</v>
      </c>
      <c r="I72" s="651">
        <f>H72-#REF!</f>
      </c>
      <c r="J72" s="103">
        <f>SUM(J138/J139*100)</f>
        <v>2.04292815722547</v>
      </c>
      <c r="K72" s="103">
        <f>SUM(K138/K139*100)</f>
        <v>1.87155399656296</v>
      </c>
      <c r="L72" s="652">
        <f>H72-K72</f>
        <v>0.17052130201073</v>
      </c>
      <c r="M72" s="521"/>
      <c r="N72" s="823"/>
      <c r="O72" s="823"/>
      <c r="P72" s="521"/>
      <c r="Q72" s="521"/>
      <c r="R72" s="521"/>
      <c r="S72" s="521"/>
      <c r="T72" s="521"/>
    </row>
    <row customHeight="1" ht="14.25">
      <c r="A73" s="586"/>
      <c r="B73" s="611" t="s">
        <v>136</v>
      </c>
      <c r="C73" s="607" t="s">
        <v>85</v>
      </c>
      <c r="D73" s="104">
        <v>1.05</v>
      </c>
      <c r="E73" s="103">
        <f>SUM(E132/E133*100)</f>
        <v>1.03006082309616</v>
      </c>
      <c r="F73" s="651">
        <f>E73-#REF!</f>
      </c>
      <c r="G73" s="104">
        <v>1.2</v>
      </c>
      <c r="H73" s="103">
        <f>SUM(H132/H133*100)</f>
        <v>1.04002953657254</v>
      </c>
      <c r="I73" s="651">
        <f>H73-#REF!</f>
      </c>
      <c r="J73" s="103">
        <f>SUM(J132/J133*100)</f>
        <v>1.04992099722595</v>
      </c>
      <c r="K73" s="103">
        <f>SUM(K132/K133*100)</f>
        <v>1.05018901683275</v>
      </c>
      <c r="L73" s="652">
        <f>H73-K73</f>
        <v>-0.0101594802602099</v>
      </c>
      <c r="M73" s="521"/>
      <c r="N73" s="823"/>
      <c r="O73" s="823"/>
      <c r="P73" s="521"/>
      <c r="Q73" s="521"/>
      <c r="R73" s="521"/>
      <c r="S73" s="521"/>
      <c r="T73" s="521"/>
    </row>
    <row customHeight="1" ht="14.25">
      <c r="A74" s="586"/>
      <c r="B74" s="611" t="s">
        <v>88</v>
      </c>
      <c r="C74" s="653" t="s">
        <v>89</v>
      </c>
      <c r="D74" s="104">
        <v>49</v>
      </c>
      <c r="E74" s="103">
        <f>_xlfn.IFERROR(E135/E136,"")</f>
        <v>42.2073974729342</v>
      </c>
      <c r="F74" s="651">
        <f>E74-#REF!</f>
      </c>
      <c r="G74" s="104">
        <v>49.5</v>
      </c>
      <c r="H74" s="103">
        <f>_xlfn.IFERROR(H135/H136,"")</f>
        <v>42.4189937861165</v>
      </c>
      <c r="I74" s="651">
        <f>H74-#REF!</f>
      </c>
      <c r="J74" s="103">
        <f>_xlfn.IFERROR(J135/J136,"")</f>
        <v>49.2749287383038</v>
      </c>
      <c r="K74" s="103">
        <f>_xlfn.IFERROR(K135/K136,"")</f>
        <v>44.5041448910358</v>
      </c>
      <c r="L74" s="652">
        <f>H74-K74</f>
        <v>-2.0851511049193</v>
      </c>
      <c r="M74" s="521"/>
      <c r="N74" s="823"/>
      <c r="O74" s="823"/>
      <c r="P74" s="521"/>
      <c r="Q74" s="521"/>
      <c r="R74" s="521"/>
      <c r="S74" s="521"/>
      <c r="T74" s="521"/>
    </row>
    <row customHeight="1" ht="14.25">
      <c r="A75" s="586"/>
      <c r="B75" s="611" t="s">
        <v>90</v>
      </c>
      <c r="C75" s="653" t="s">
        <v>91</v>
      </c>
      <c r="D75" s="104">
        <v>1.0500892575868948</v>
      </c>
      <c r="E75" s="106">
        <f>_xlfn.IFERROR(100/E86,"")</f>
        <v>1.03148656061437</v>
      </c>
      <c r="F75" s="651">
        <f>E75-#REF!</f>
      </c>
      <c r="G75" s="104">
        <v>1.05</v>
      </c>
      <c r="H75" s="106">
        <f>_xlfn.IFERROR(100/H86,"")</f>
        <v>1.03334840980044</v>
      </c>
      <c r="I75" s="651">
        <f>H75-#REF!</f>
      </c>
      <c r="J75" s="106">
        <f>_xlfn.IFERROR(100/J86,"")</f>
        <v>1.03076753418615</v>
      </c>
      <c r="K75" s="106">
        <f>_xlfn.IFERROR(100/K86,"")</f>
        <v>1.03140600844846</v>
      </c>
      <c r="L75" s="652">
        <f>H75-K75</f>
        <v>0.00194240135197998</v>
      </c>
      <c r="M75" s="521"/>
      <c r="N75" s="823"/>
      <c r="O75" s="823"/>
      <c r="P75" s="521"/>
      <c r="Q75" s="521"/>
      <c r="R75" s="521"/>
      <c r="S75" s="521"/>
      <c r="T75" s="521"/>
    </row>
    <row customHeight="1" ht="14.25">
      <c r="A76" s="586"/>
      <c r="B76" s="611" t="s">
        <v>92</v>
      </c>
      <c r="C76" s="607" t="s">
        <v>85</v>
      </c>
      <c r="D76" s="104">
        <v>100</v>
      </c>
      <c r="E76" s="103">
        <f>SUM(E114/E115*100)</f>
        <v>100</v>
      </c>
      <c r="F76" s="651"/>
      <c r="G76" s="104">
        <v>100</v>
      </c>
      <c r="H76" s="103">
        <f>SUM(H114/H115*100)</f>
        <v>100</v>
      </c>
      <c r="I76" s="651"/>
      <c r="J76" s="103">
        <f>SUM(J114/J115*100)</f>
        <v>100</v>
      </c>
      <c r="K76" s="103">
        <f>SUM(K114/K115*100)</f>
        <v>100</v>
      </c>
      <c r="L76" s="652"/>
      <c r="M76" s="521"/>
      <c r="N76" s="521"/>
      <c r="O76" s="521"/>
      <c r="P76" s="521"/>
      <c r="Q76" s="521"/>
      <c r="R76" s="521"/>
      <c r="S76" s="521"/>
      <c r="T76" s="521"/>
    </row>
    <row customHeight="1" ht="14.25">
      <c r="A77" s="586"/>
      <c r="B77" s="606" t="s">
        <v>93</v>
      </c>
      <c r="C77" s="608"/>
      <c r="D77" s="104"/>
      <c r="E77" s="103"/>
      <c r="F77" s="608"/>
      <c r="G77" s="104"/>
      <c r="H77" s="103"/>
      <c r="I77" s="608"/>
      <c r="J77" s="103"/>
      <c r="K77" s="103"/>
      <c r="L77" s="660"/>
      <c r="M77" s="521"/>
      <c r="N77" s="521"/>
      <c r="O77" s="521"/>
      <c r="P77" s="521"/>
      <c r="Q77" s="521"/>
      <c r="R77" s="521"/>
      <c r="S77" s="521"/>
      <c r="T77" s="521"/>
    </row>
    <row customHeight="1" ht="14.25">
      <c r="A78" s="586"/>
      <c r="B78" s="611" t="s">
        <v>94</v>
      </c>
      <c r="C78" s="607" t="s">
        <v>85</v>
      </c>
      <c r="D78" s="104"/>
      <c r="E78" s="103"/>
      <c r="F78" s="608"/>
      <c r="G78" s="104"/>
      <c r="H78" s="103"/>
      <c r="I78" s="608"/>
      <c r="J78" s="103"/>
      <c r="K78" s="103"/>
      <c r="L78" s="660"/>
      <c r="M78" s="521"/>
      <c r="N78" s="521"/>
      <c r="O78" s="521"/>
      <c r="P78" s="521"/>
      <c r="Q78" s="521"/>
      <c r="R78" s="521"/>
      <c r="S78" s="521"/>
      <c r="T78" s="521"/>
    </row>
    <row customHeight="1" ht="14.25">
      <c r="A79" s="586"/>
      <c r="B79" s="611" t="s">
        <v>95</v>
      </c>
      <c r="C79" s="607" t="s">
        <v>85</v>
      </c>
      <c r="D79" s="104">
        <f>D80+D81</f>
        <v>0</v>
      </c>
      <c r="E79" s="103"/>
      <c r="F79" s="608"/>
      <c r="G79" s="104"/>
      <c r="H79" s="103"/>
      <c r="I79" s="608"/>
      <c r="J79" s="103"/>
      <c r="K79" s="103"/>
      <c r="L79" s="660"/>
      <c r="M79" s="521"/>
      <c r="N79" s="521"/>
      <c r="O79" s="521"/>
      <c r="P79" s="521"/>
      <c r="Q79" s="521"/>
      <c r="R79" s="521"/>
      <c r="S79" s="521"/>
      <c r="T79" s="521"/>
    </row>
    <row customHeight="1" ht="14.25">
      <c r="A80" s="586"/>
      <c r="B80" s="611" t="s">
        <v>96</v>
      </c>
      <c r="C80" s="607" t="s">
        <v>85</v>
      </c>
      <c r="D80" s="104"/>
      <c r="E80" s="103"/>
      <c r="F80" s="608"/>
      <c r="G80" s="104"/>
      <c r="H80" s="103"/>
      <c r="I80" s="608"/>
      <c r="J80" s="103"/>
      <c r="K80" s="103"/>
      <c r="L80" s="660"/>
      <c r="M80" s="521"/>
      <c r="N80" s="521"/>
      <c r="O80" s="521"/>
      <c r="P80" s="521"/>
      <c r="Q80" s="521"/>
      <c r="R80" s="521"/>
      <c r="S80" s="521"/>
      <c r="T80" s="521"/>
    </row>
    <row customHeight="1" ht="14.25">
      <c r="A81" s="586"/>
      <c r="B81" s="611" t="s">
        <v>97</v>
      </c>
      <c r="C81" s="607" t="s">
        <v>85</v>
      </c>
      <c r="D81" s="104"/>
      <c r="E81" s="107"/>
      <c r="F81" s="608"/>
      <c r="G81" s="104"/>
      <c r="H81" s="107"/>
      <c r="I81" s="608"/>
      <c r="J81" s="107"/>
      <c r="K81" s="107"/>
      <c r="L81" s="660"/>
      <c r="M81" s="521"/>
      <c r="N81" s="521"/>
      <c r="O81" s="521"/>
      <c r="P81" s="521"/>
      <c r="Q81" s="521"/>
      <c r="R81" s="521"/>
      <c r="S81" s="521"/>
      <c r="T81" s="521"/>
    </row>
    <row customHeight="1" ht="14.25">
      <c r="A82" s="586"/>
      <c r="B82" s="611" t="s">
        <v>98</v>
      </c>
      <c r="C82" s="607" t="s">
        <v>85</v>
      </c>
      <c r="D82" s="104">
        <v>92.7</v>
      </c>
      <c r="E82" s="103">
        <f>_xlfn.IFERROR(E141/E142*100,"")</f>
        <v>93.0432331138787</v>
      </c>
      <c r="F82" s="651">
        <f>E82-#REF!</f>
      </c>
      <c r="G82" s="104">
        <v>92.5</v>
      </c>
      <c r="H82" s="103">
        <f>_xlfn.IFERROR(H141/H142*100,"")</f>
        <v>92.8475449954982</v>
      </c>
      <c r="I82" s="651">
        <f>H82-#REF!</f>
      </c>
      <c r="J82" s="103">
        <f>_xlfn.IFERROR(J141/J142*100,"")</f>
        <v>93.0004561925993</v>
      </c>
      <c r="K82" s="103">
        <f>_xlfn.IFERROR(K141/K142*100,"")</f>
        <v>92.9171183109736</v>
      </c>
      <c r="L82" s="652">
        <f>H82-K82</f>
        <v>-0.0695733154754095</v>
      </c>
      <c r="M82" s="521"/>
      <c r="N82" s="521"/>
      <c r="O82" s="521"/>
      <c r="P82" s="521"/>
      <c r="Q82" s="521"/>
      <c r="R82" s="521"/>
      <c r="S82" s="521"/>
      <c r="T82" s="521"/>
    </row>
    <row customHeight="1" ht="14.25">
      <c r="A83" s="586"/>
      <c r="B83" s="611" t="s">
        <v>99</v>
      </c>
      <c r="C83" s="607" t="s">
        <v>85</v>
      </c>
      <c r="D83" s="104">
        <v>25.5</v>
      </c>
      <c r="E83" s="103">
        <f>_xlfn.IFERROR(E144/E145*100,"")</f>
        <v>27.7560187849201</v>
      </c>
      <c r="F83" s="651">
        <f>E83-#REF!</f>
      </c>
      <c r="G83" s="104">
        <v>24.5</v>
      </c>
      <c r="H83" s="103">
        <f>_xlfn.IFERROR(H144/H145*100,"")</f>
        <v>26.889686411403</v>
      </c>
      <c r="I83" s="651">
        <f>H83-#REF!</f>
      </c>
      <c r="J83" s="103">
        <f>_xlfn.IFERROR(J144/J145*100,"")</f>
        <v>28.3096778806621</v>
      </c>
      <c r="K83" s="103">
        <f>_xlfn.IFERROR(K144/K145*100,"")</f>
        <v>27.1419413509847</v>
      </c>
      <c r="L83" s="652">
        <f>H83-K83</f>
        <v>-0.252254939581697</v>
      </c>
      <c r="M83" s="521"/>
      <c r="N83" s="521"/>
      <c r="O83" s="521"/>
      <c r="P83" s="521"/>
      <c r="Q83" s="521"/>
      <c r="R83" s="521"/>
      <c r="S83" s="521"/>
      <c r="T83" s="521"/>
    </row>
    <row customHeight="1" ht="14.25">
      <c r="A84" s="586"/>
      <c r="B84" s="611" t="s">
        <v>100</v>
      </c>
      <c r="C84" s="607" t="s">
        <v>85</v>
      </c>
      <c r="D84" s="104"/>
      <c r="E84" s="103">
        <f>_xlfn.IFERROR(E156/E157*100,"")</f>
        <v>36.2999113862106</v>
      </c>
      <c r="F84" s="651">
        <f>E84-#REF!</f>
      </c>
      <c r="G84" s="104">
        <v>17.5</v>
      </c>
      <c r="H84" s="103">
        <f>_xlfn.IFERROR(H156/H157*100,"")</f>
        <v>32.3133205341971</v>
      </c>
      <c r="I84" s="651">
        <f>H84-#REF!</f>
      </c>
      <c r="J84" s="103">
        <f>_xlfn.IFERROR(J156/J157*100,"")</f>
        <v>31.1336454266918</v>
      </c>
      <c r="K84" s="103">
        <f>_xlfn.IFERROR(K156/K157*100,"")</f>
        <v>32.9412073215503</v>
      </c>
      <c r="L84" s="652">
        <f>H84-K84</f>
        <v>-0.627886787353198</v>
      </c>
      <c r="M84" s="521"/>
      <c r="N84" s="521"/>
      <c r="O84" s="521"/>
      <c r="P84" s="521"/>
      <c r="Q84" s="521"/>
      <c r="R84" s="521"/>
      <c r="S84" s="521"/>
      <c r="T84" s="521"/>
    </row>
    <row customHeight="1" ht="14.25">
      <c r="A85" s="586"/>
      <c r="B85" s="611" t="s">
        <v>101</v>
      </c>
      <c r="C85" s="607" t="s">
        <v>85</v>
      </c>
      <c r="D85" s="104"/>
      <c r="E85" s="103"/>
      <c r="F85" s="651"/>
      <c r="G85" s="104"/>
      <c r="H85" s="103"/>
      <c r="I85" s="651"/>
      <c r="J85" s="103"/>
      <c r="K85" s="103"/>
      <c r="L85" s="652"/>
      <c r="M85" s="521"/>
      <c r="N85" s="521"/>
      <c r="O85" s="521"/>
      <c r="P85" s="521"/>
      <c r="Q85" s="521"/>
      <c r="R85" s="521"/>
      <c r="S85" s="521"/>
      <c r="T85" s="521"/>
    </row>
    <row customHeight="1" ht="14.25">
      <c r="A86" s="586"/>
      <c r="B86" s="611" t="s">
        <v>102</v>
      </c>
      <c r="C86" s="607" t="s">
        <v>85</v>
      </c>
      <c r="D86" s="104"/>
      <c r="E86" s="103">
        <f>_xlfn.IFERROR(E147/E148*100,"")</f>
        <v>96.9474579876622</v>
      </c>
      <c r="F86" s="651"/>
      <c r="G86" s="104"/>
      <c r="H86" s="103">
        <f>_xlfn.IFERROR(H147/H148*100,"")</f>
        <v>96.7727816209753</v>
      </c>
      <c r="I86" s="651"/>
      <c r="J86" s="103">
        <f>_xlfn.IFERROR(J147/J148*100,"")</f>
        <v>97.015085054028</v>
      </c>
      <c r="K86" s="103">
        <f>_xlfn.IFERROR(K147/K148*100,"")</f>
        <v>96.9550295236595</v>
      </c>
      <c r="L86" s="652">
        <f>H86-K86</f>
        <v>-0.18224790268421</v>
      </c>
      <c r="M86" s="521"/>
      <c r="N86" s="521"/>
      <c r="O86" s="521"/>
      <c r="P86" s="521"/>
      <c r="Q86" s="521"/>
      <c r="R86" s="521"/>
      <c r="S86" s="521"/>
      <c r="T86" s="521"/>
    </row>
    <row customHeight="1" ht="14.25">
      <c r="A87" s="586"/>
      <c r="B87" s="611" t="s">
        <v>103</v>
      </c>
      <c r="C87" s="607" t="s">
        <v>85</v>
      </c>
      <c r="D87" s="104">
        <v>98</v>
      </c>
      <c r="E87" s="103">
        <f>_xlfn.IFERROR(E150/E151*100,"")</f>
        <v>98.5151131685595</v>
      </c>
      <c r="F87" s="651">
        <f>E87-#REF!</f>
      </c>
      <c r="G87" s="104">
        <v>98.5</v>
      </c>
      <c r="H87" s="103">
        <f>_xlfn.IFERROR(H150/H151*100,"")</f>
        <v>98.499552944479</v>
      </c>
      <c r="I87" s="651">
        <f>H87-#REF!</f>
      </c>
      <c r="J87" s="103">
        <f>_xlfn.IFERROR(J150/J151*100,"")</f>
        <v>98.0206369284868</v>
      </c>
      <c r="K87" s="103">
        <f>_xlfn.IFERROR(K150/K151*100,"")</f>
        <v>98.6944213107757</v>
      </c>
      <c r="L87" s="652">
        <f>H87-K87</f>
        <v>-0.194868366296689</v>
      </c>
      <c r="M87" s="521"/>
      <c r="N87" s="521"/>
      <c r="O87" s="521"/>
      <c r="P87" s="521"/>
      <c r="Q87" s="521"/>
      <c r="R87" s="521"/>
      <c r="S87" s="521"/>
      <c r="T87" s="521"/>
    </row>
    <row customHeight="1" ht="14.25">
      <c r="A88" s="586"/>
      <c r="B88" s="611" t="s">
        <v>104</v>
      </c>
      <c r="C88" s="607" t="s">
        <v>85</v>
      </c>
      <c r="D88" s="104">
        <v>99</v>
      </c>
      <c r="E88" s="103">
        <f>_xlfn.IFERROR(E160/E161*100,"")</f>
        <v>99.2393691980763</v>
      </c>
      <c r="F88" s="651">
        <f>E88-#REF!</f>
      </c>
      <c r="G88" s="104">
        <v>99</v>
      </c>
      <c r="H88" s="103">
        <f>_xlfn.IFERROR(H160/H161*100,"")</f>
        <v>99.3357080872722</v>
      </c>
      <c r="I88" s="651">
        <f>H88-#REF!</f>
      </c>
      <c r="J88" s="103">
        <f>_xlfn.IFERROR(J160/J161*100,"")</f>
        <v>99.3564632109048</v>
      </c>
      <c r="K88" s="103">
        <f>_xlfn.IFERROR(K160/K161*100,"")</f>
        <v>99.273488953064</v>
      </c>
      <c r="L88" s="652">
        <f>H88-K88</f>
        <v>0.0622191342081919</v>
      </c>
      <c r="M88" s="521"/>
      <c r="N88" s="521"/>
      <c r="O88" s="521"/>
      <c r="P88" s="521"/>
      <c r="Q88" s="521"/>
      <c r="R88" s="521"/>
      <c r="S88" s="521"/>
      <c r="T88" s="521"/>
    </row>
    <row customHeight="1" ht="14.25">
      <c r="A89" s="586"/>
      <c r="B89" s="666" t="s">
        <v>461</v>
      </c>
      <c r="C89" s="667"/>
      <c r="D89" s="722"/>
      <c r="E89" s="722"/>
      <c r="F89" s="722"/>
      <c r="G89" s="722"/>
      <c r="H89" s="722"/>
      <c r="I89" s="722"/>
      <c r="J89" s="722"/>
      <c r="K89" s="766"/>
      <c r="L89" s="672"/>
      <c r="M89" s="521"/>
      <c r="N89" s="521"/>
      <c r="O89" s="521"/>
      <c r="P89" s="521"/>
      <c r="Q89" s="521"/>
      <c r="R89" s="521"/>
      <c r="S89" s="521"/>
      <c r="T89" s="521"/>
    </row>
    <row customHeight="1" ht="14.25">
      <c r="A90" s="586"/>
      <c r="B90" s="673"/>
      <c r="C90" s="674"/>
      <c r="D90" s="668"/>
      <c r="E90" s="668"/>
      <c r="F90" s="668"/>
      <c r="G90" s="668"/>
      <c r="H90" s="668"/>
      <c r="I90" s="668"/>
      <c r="J90" s="668"/>
      <c r="K90" s="671"/>
      <c r="L90" s="675"/>
      <c r="M90" s="521"/>
      <c r="N90" s="521"/>
      <c r="O90" s="521"/>
      <c r="P90" s="521"/>
      <c r="Q90" s="521"/>
      <c r="R90" s="521"/>
      <c r="S90" s="521"/>
      <c r="T90" s="521"/>
    </row>
    <row customHeight="1" ht="14.25">
      <c r="A91" s="586"/>
      <c r="B91" s="673"/>
      <c r="C91" s="674"/>
      <c r="D91" s="668"/>
      <c r="E91" s="668"/>
      <c r="F91" s="668"/>
      <c r="G91" s="668"/>
      <c r="H91" s="668"/>
      <c r="I91" s="668"/>
      <c r="J91" s="668"/>
      <c r="K91" s="671"/>
      <c r="L91" s="675"/>
      <c r="M91" s="521"/>
      <c r="N91" s="521"/>
      <c r="O91" s="521"/>
      <c r="P91" s="521"/>
      <c r="Q91" s="521"/>
      <c r="R91" s="521"/>
      <c r="S91" s="521"/>
      <c r="T91" s="521"/>
    </row>
    <row customHeight="1" ht="15">
      <c r="A92" s="586"/>
      <c r="B92" s="676"/>
      <c r="C92" s="677"/>
      <c r="D92" s="678"/>
      <c r="E92" s="678"/>
      <c r="F92" s="678"/>
      <c r="G92" s="678"/>
      <c r="H92" s="678"/>
      <c r="I92" s="678"/>
      <c r="J92" s="678"/>
      <c r="K92" s="681"/>
      <c r="L92" s="682"/>
      <c r="M92" s="521"/>
      <c r="N92" s="521"/>
      <c r="O92" s="521"/>
      <c r="P92" s="521"/>
      <c r="Q92" s="521"/>
      <c r="R92" s="521"/>
      <c r="S92" s="521"/>
      <c r="T92" s="521"/>
    </row>
    <row customHeight="1" ht="14.25">
      <c r="A93" s="586"/>
      <c r="B93" s="683" t="s">
        <v>141</v>
      </c>
      <c r="C93" s="683" t="s">
        <v>142</v>
      </c>
      <c r="D93" s="683"/>
      <c r="E93" s="683"/>
      <c r="F93" s="683"/>
      <c r="G93" s="683" t="s">
        <v>143</v>
      </c>
      <c r="H93" s="683"/>
      <c r="I93" s="683"/>
      <c r="J93" s="683"/>
      <c r="K93" s="683" t="s">
        <v>144</v>
      </c>
      <c r="L93" s="683"/>
      <c r="M93" s="521"/>
      <c r="N93" s="521"/>
      <c r="O93" s="521"/>
      <c r="P93" s="521"/>
      <c r="Q93" s="521"/>
      <c r="R93" s="521"/>
      <c r="S93" s="521"/>
      <c r="T93" s="521"/>
    </row>
    <row customHeight="1" ht="14.4525">
      <c r="A94" s="586"/>
      <c r="B94" s="586"/>
      <c r="C94" s="586"/>
      <c r="D94" s="586"/>
      <c r="E94" s="586"/>
      <c r="F94" s="586"/>
      <c r="G94" s="586"/>
      <c r="H94" s="586"/>
      <c r="I94" s="586"/>
      <c r="J94" s="586"/>
      <c r="K94" s="586"/>
      <c r="L94" s="586"/>
      <c r="M94" s="521"/>
      <c r="N94" s="521"/>
      <c r="O94" s="521"/>
      <c r="P94" s="521"/>
      <c r="Q94" s="521"/>
      <c r="R94" s="521"/>
      <c r="S94" s="521"/>
      <c r="T94" s="521"/>
    </row>
    <row customHeight="1" ht="14.25">
      <c r="A95" s="586"/>
      <c r="B95" s="586"/>
      <c r="C95" s="586"/>
      <c r="D95" s="586"/>
      <c r="E95" s="118">
        <v>10396.72</v>
      </c>
      <c r="F95" s="586"/>
      <c r="G95" s="586"/>
      <c r="H95" s="118">
        <v>80486.04</v>
      </c>
      <c r="I95" s="586"/>
      <c r="J95" s="118">
        <v>7264.46</v>
      </c>
      <c r="K95" s="118">
        <v>91923.3</v>
      </c>
      <c r="L95" s="133"/>
      <c r="M95" s="134"/>
      <c r="N95" s="134"/>
      <c r="O95" s="134"/>
      <c r="P95" s="134"/>
      <c r="Q95" s="134"/>
      <c r="R95" s="134"/>
      <c r="S95" s="134"/>
      <c r="T95" s="134"/>
    </row>
    <row customHeight="1" ht="14.25">
      <c r="A96" s="586"/>
      <c r="B96" s="586"/>
      <c r="C96" s="586"/>
      <c r="D96" s="586"/>
      <c r="E96" s="119"/>
      <c r="F96" s="586"/>
      <c r="G96" s="586"/>
      <c r="H96" s="119"/>
      <c r="I96" s="586"/>
      <c r="J96" s="119"/>
      <c r="K96" s="119"/>
      <c r="L96" s="133"/>
      <c r="M96" s="134"/>
      <c r="N96" s="134"/>
      <c r="O96" s="134"/>
      <c r="P96" s="134"/>
      <c r="Q96" s="134"/>
      <c r="R96" s="134"/>
      <c r="S96" s="134"/>
      <c r="T96" s="134"/>
    </row>
    <row customHeight="1" ht="14.25">
      <c r="A97" s="586"/>
      <c r="B97" s="586"/>
      <c r="C97" s="586"/>
      <c r="D97" s="586"/>
      <c r="E97" s="118">
        <v>6745.3</v>
      </c>
      <c r="F97" s="586"/>
      <c r="G97" s="586"/>
      <c r="H97" s="118">
        <v>64112.6</v>
      </c>
      <c r="I97" s="586"/>
      <c r="J97" s="118">
        <v>1937.9</v>
      </c>
      <c r="K97" s="118">
        <v>60633.02</v>
      </c>
      <c r="L97" s="133"/>
      <c r="M97" s="134"/>
      <c r="N97" s="134"/>
      <c r="O97" s="134"/>
      <c r="P97" s="134"/>
      <c r="Q97" s="134"/>
      <c r="R97" s="134"/>
      <c r="S97" s="134"/>
      <c r="T97" s="134"/>
    </row>
    <row customHeight="1" ht="14.25">
      <c r="A98" s="586"/>
      <c r="B98" s="828"/>
      <c r="C98" s="586"/>
      <c r="D98" s="586"/>
      <c r="E98" s="119"/>
      <c r="F98" s="586"/>
      <c r="G98" s="586"/>
      <c r="H98" s="119"/>
      <c r="I98" s="586"/>
      <c r="J98" s="119"/>
      <c r="K98" s="119"/>
      <c r="L98" s="133"/>
      <c r="M98" s="134"/>
      <c r="N98" s="134"/>
      <c r="O98" s="134"/>
      <c r="P98" s="134"/>
      <c r="Q98" s="134"/>
      <c r="R98" s="134"/>
      <c r="S98" s="134"/>
      <c r="T98" s="134"/>
    </row>
    <row customHeight="1" ht="14.25">
      <c r="A99" s="586"/>
      <c r="B99" s="828"/>
      <c r="C99" s="586"/>
      <c r="D99" s="586"/>
      <c r="E99" s="118">
        <v>120602</v>
      </c>
      <c r="F99" s="586"/>
      <c r="G99" s="586"/>
      <c r="H99" s="118">
        <v>1364477</v>
      </c>
      <c r="I99" s="586"/>
      <c r="J99" s="118">
        <v>116179</v>
      </c>
      <c r="K99" s="118">
        <v>1243604</v>
      </c>
      <c r="L99" s="133"/>
      <c r="M99" s="134"/>
      <c r="N99" s="134"/>
      <c r="O99" s="134"/>
      <c r="P99" s="134"/>
      <c r="Q99" s="134"/>
      <c r="R99" s="134"/>
      <c r="S99" s="134"/>
      <c r="T99" s="134"/>
    </row>
    <row customHeight="1" ht="14.25">
      <c r="A100" s="586"/>
      <c r="B100" s="828"/>
      <c r="C100" s="586"/>
      <c r="D100" s="586"/>
      <c r="E100" s="119"/>
      <c r="F100" s="586"/>
      <c r="G100" s="586"/>
      <c r="H100" s="119"/>
      <c r="I100" s="586"/>
      <c r="J100" s="119"/>
      <c r="K100" s="119"/>
      <c r="L100" s="133"/>
      <c r="M100" s="134"/>
      <c r="N100" s="134"/>
      <c r="O100" s="134"/>
      <c r="P100" s="134"/>
      <c r="Q100" s="134"/>
      <c r="R100" s="134"/>
      <c r="S100" s="134"/>
      <c r="T100" s="134"/>
    </row>
    <row customHeight="1" ht="14.25">
      <c r="A101" s="586"/>
      <c r="B101" s="828"/>
      <c r="C101" s="586"/>
      <c r="D101" s="586"/>
      <c r="E101" s="118">
        <v>124858</v>
      </c>
      <c r="F101" s="586"/>
      <c r="G101" s="586"/>
      <c r="H101" s="118">
        <v>1289549</v>
      </c>
      <c r="I101" s="586"/>
      <c r="J101" s="118">
        <v>125697</v>
      </c>
      <c r="K101" s="118">
        <v>1389269</v>
      </c>
      <c r="L101" s="133"/>
      <c r="M101" s="134"/>
      <c r="N101" s="134"/>
      <c r="O101" s="134"/>
      <c r="P101" s="134"/>
      <c r="Q101" s="134"/>
      <c r="R101" s="134"/>
      <c r="S101" s="134"/>
      <c r="T101" s="134"/>
    </row>
    <row customHeight="1" ht="14.25">
      <c r="A102" s="586"/>
      <c r="B102" s="828"/>
      <c r="C102" s="586"/>
      <c r="D102" s="586"/>
      <c r="E102" s="121"/>
      <c r="F102" s="586"/>
      <c r="G102" s="586"/>
      <c r="H102" s="121"/>
      <c r="I102" s="586"/>
      <c r="J102" s="121"/>
      <c r="K102" s="121"/>
      <c r="L102" s="133"/>
      <c r="M102" s="134"/>
      <c r="N102" s="134"/>
      <c r="O102" s="134"/>
      <c r="P102" s="134"/>
      <c r="Q102" s="134"/>
      <c r="R102" s="134"/>
      <c r="S102" s="134"/>
      <c r="T102" s="134"/>
    </row>
    <row customHeight="1" ht="14.25">
      <c r="A103" s="586"/>
      <c r="B103" s="828"/>
      <c r="C103" s="586"/>
      <c r="D103" s="586"/>
      <c r="E103" s="122">
        <v>145700</v>
      </c>
      <c r="F103" s="586"/>
      <c r="G103" s="586"/>
      <c r="H103" s="122">
        <v>1724713</v>
      </c>
      <c r="I103" s="586"/>
      <c r="J103" s="122">
        <v>128477</v>
      </c>
      <c r="K103" s="122">
        <v>1677371</v>
      </c>
      <c r="L103" s="133"/>
      <c r="M103" s="134"/>
      <c r="N103" s="134"/>
      <c r="O103" s="134"/>
      <c r="P103" s="134"/>
      <c r="Q103" s="134"/>
      <c r="R103" s="134"/>
      <c r="S103" s="134"/>
      <c r="T103" s="134"/>
    </row>
    <row customHeight="1" ht="14.25">
      <c r="A104" s="586"/>
      <c r="B104" s="828"/>
      <c r="C104" s="586"/>
      <c r="D104" s="586"/>
      <c r="E104" s="122">
        <v>77825</v>
      </c>
      <c r="F104" s="586"/>
      <c r="G104" s="586"/>
      <c r="H104" s="122">
        <v>977335</v>
      </c>
      <c r="I104" s="586"/>
      <c r="J104" s="122">
        <v>78038</v>
      </c>
      <c r="K104" s="122">
        <v>886100</v>
      </c>
      <c r="L104" s="133"/>
      <c r="M104" s="134"/>
      <c r="N104" s="134"/>
      <c r="O104" s="134"/>
      <c r="P104" s="134"/>
      <c r="Q104" s="134"/>
      <c r="R104" s="134"/>
      <c r="S104" s="134"/>
      <c r="T104" s="134"/>
    </row>
    <row customHeight="1" ht="14.25">
      <c r="A105" s="586"/>
      <c r="B105" s="828"/>
      <c r="C105" s="586"/>
      <c r="D105" s="586"/>
      <c r="E105" s="119"/>
      <c r="F105" s="586"/>
      <c r="G105" s="586"/>
      <c r="H105" s="119"/>
      <c r="I105" s="586"/>
      <c r="J105" s="119"/>
      <c r="K105" s="119"/>
      <c r="L105" s="133"/>
      <c r="M105" s="134"/>
      <c r="N105" s="134"/>
      <c r="O105" s="134"/>
      <c r="P105" s="134"/>
      <c r="Q105" s="134"/>
      <c r="R105" s="134"/>
      <c r="S105" s="134"/>
      <c r="T105" s="134"/>
    </row>
    <row customHeight="1" ht="14.25">
      <c r="A106" s="586"/>
      <c r="B106" s="828"/>
      <c r="C106" s="586"/>
      <c r="D106" s="586"/>
      <c r="E106" s="118">
        <v>53873</v>
      </c>
      <c r="F106" s="586"/>
      <c r="G106" s="586"/>
      <c r="H106" s="118">
        <v>603872</v>
      </c>
      <c r="I106" s="586"/>
      <c r="J106" s="118">
        <v>55942</v>
      </c>
      <c r="K106" s="118">
        <v>603693</v>
      </c>
      <c r="L106" s="133"/>
      <c r="M106" s="134"/>
      <c r="N106" s="134"/>
      <c r="O106" s="134"/>
      <c r="P106" s="134"/>
      <c r="Q106" s="134"/>
      <c r="R106" s="134"/>
      <c r="S106" s="134"/>
      <c r="T106" s="134"/>
    </row>
    <row customHeight="1" ht="14.25">
      <c r="A107" s="586"/>
      <c r="B107" s="828"/>
      <c r="C107" s="586"/>
      <c r="D107" s="586"/>
      <c r="E107" s="118"/>
      <c r="F107" s="586"/>
      <c r="G107" s="586"/>
      <c r="H107" s="118"/>
      <c r="I107" s="586"/>
      <c r="J107" s="118"/>
      <c r="K107" s="118"/>
      <c r="L107" s="133"/>
      <c r="M107" s="134"/>
      <c r="N107" s="134"/>
      <c r="O107" s="134"/>
      <c r="P107" s="134"/>
      <c r="Q107" s="134"/>
      <c r="R107" s="134"/>
      <c r="S107" s="134"/>
      <c r="T107" s="134"/>
    </row>
    <row customHeight="1" ht="14.25">
      <c r="A108" s="586"/>
      <c r="B108" s="828"/>
      <c r="C108" s="586"/>
      <c r="D108" s="586"/>
      <c r="E108" s="119"/>
      <c r="F108" s="123"/>
      <c r="G108" s="586"/>
      <c r="H108" s="119"/>
      <c r="I108" s="586"/>
      <c r="J108" s="119"/>
      <c r="K108" s="119"/>
      <c r="L108" s="133"/>
      <c r="M108" s="134"/>
      <c r="N108" s="134"/>
      <c r="O108" s="134"/>
      <c r="P108" s="134"/>
      <c r="Q108" s="134"/>
      <c r="R108" s="134"/>
      <c r="S108" s="134"/>
      <c r="T108" s="134"/>
    </row>
    <row customHeight="1" ht="14.25">
      <c r="A109" s="586"/>
      <c r="B109" s="828"/>
      <c r="C109" s="586"/>
      <c r="D109" s="586"/>
      <c r="E109" s="122">
        <v>29971</v>
      </c>
      <c r="F109" s="123"/>
      <c r="G109" s="586"/>
      <c r="H109" s="122">
        <v>317896.8</v>
      </c>
      <c r="I109" s="586"/>
      <c r="J109" s="122">
        <v>29161</v>
      </c>
      <c r="K109" s="122">
        <v>313358</v>
      </c>
      <c r="L109" s="133"/>
      <c r="M109" s="134"/>
      <c r="N109" s="134"/>
      <c r="O109" s="134"/>
      <c r="P109" s="134"/>
      <c r="Q109" s="134"/>
      <c r="R109" s="134"/>
      <c r="S109" s="134"/>
      <c r="T109" s="134"/>
    </row>
    <row customHeight="1" ht="14.25">
      <c r="A110" s="586"/>
      <c r="B110" s="828"/>
      <c r="C110" s="586"/>
      <c r="D110" s="586"/>
      <c r="E110" s="122"/>
      <c r="F110" s="123"/>
      <c r="G110" s="586"/>
      <c r="H110" s="122"/>
      <c r="I110" s="586"/>
      <c r="J110" s="122"/>
      <c r="K110" s="122"/>
      <c r="L110" s="133"/>
      <c r="M110" s="134"/>
      <c r="N110" s="134"/>
      <c r="O110" s="134"/>
      <c r="P110" s="134"/>
      <c r="Q110" s="134"/>
      <c r="R110" s="134"/>
      <c r="S110" s="134"/>
      <c r="T110" s="134"/>
    </row>
    <row customHeight="1" ht="14.25">
      <c r="A111" s="586"/>
      <c r="B111" s="828"/>
      <c r="C111" s="586"/>
      <c r="D111" s="586"/>
      <c r="E111" s="119"/>
      <c r="F111" s="123"/>
      <c r="G111" s="586"/>
      <c r="H111" s="119"/>
      <c r="I111" s="586"/>
      <c r="J111" s="119"/>
      <c r="K111" s="119"/>
      <c r="L111" s="133"/>
      <c r="M111" s="134"/>
      <c r="N111" s="134"/>
      <c r="O111" s="134"/>
      <c r="P111" s="134"/>
      <c r="Q111" s="134"/>
      <c r="R111" s="134"/>
      <c r="S111" s="134"/>
      <c r="T111" s="134"/>
    </row>
    <row customHeight="1" ht="14.25">
      <c r="A112" s="586"/>
      <c r="B112" s="828"/>
      <c r="C112" s="586"/>
      <c r="D112" s="586"/>
      <c r="E112" s="122">
        <v>56218</v>
      </c>
      <c r="F112" s="586"/>
      <c r="G112" s="586"/>
      <c r="H112" s="122">
        <v>486669</v>
      </c>
      <c r="I112" s="586"/>
      <c r="J112" s="122">
        <v>40798</v>
      </c>
      <c r="K112" s="122">
        <v>517512</v>
      </c>
      <c r="L112" s="133"/>
      <c r="M112" s="134"/>
      <c r="N112" s="134"/>
      <c r="O112" s="134"/>
      <c r="P112" s="134"/>
      <c r="Q112" s="134"/>
      <c r="R112" s="134"/>
      <c r="S112" s="134"/>
      <c r="T112" s="134"/>
    </row>
    <row customHeight="1" ht="14.25">
      <c r="A113" s="586"/>
      <c r="B113" s="828"/>
      <c r="C113" s="586"/>
      <c r="D113" s="586"/>
      <c r="E113" s="122"/>
      <c r="F113" s="586"/>
      <c r="G113" s="586"/>
      <c r="H113" s="122"/>
      <c r="I113" s="586"/>
      <c r="J113" s="122"/>
      <c r="K113" s="122"/>
      <c r="L113" s="133"/>
      <c r="M113" s="134"/>
      <c r="N113" s="134"/>
      <c r="O113" s="134"/>
      <c r="P113" s="134"/>
      <c r="Q113" s="134"/>
      <c r="R113" s="134"/>
      <c r="S113" s="134"/>
      <c r="T113" s="134"/>
    </row>
    <row customHeight="1" ht="14.25">
      <c r="A114" s="586"/>
      <c r="B114" s="828"/>
      <c r="C114" s="586"/>
      <c r="D114" s="586"/>
      <c r="E114" s="122">
        <v>88</v>
      </c>
      <c r="F114" s="586"/>
      <c r="G114" s="586"/>
      <c r="H114" s="122">
        <v>761</v>
      </c>
      <c r="I114" s="586"/>
      <c r="J114" s="122">
        <v>77</v>
      </c>
      <c r="K114" s="122">
        <v>712</v>
      </c>
      <c r="L114" s="133"/>
      <c r="M114" s="134"/>
      <c r="N114" s="134"/>
      <c r="O114" s="134"/>
      <c r="P114" s="134"/>
      <c r="Q114" s="134"/>
      <c r="R114" s="134"/>
      <c r="S114" s="134"/>
      <c r="T114" s="134"/>
    </row>
    <row customHeight="1" ht="14.25">
      <c r="A115" s="586"/>
      <c r="B115" s="828"/>
      <c r="C115" s="586"/>
      <c r="D115" s="586"/>
      <c r="E115" s="122">
        <v>88</v>
      </c>
      <c r="F115" s="586"/>
      <c r="G115" s="586"/>
      <c r="H115" s="122">
        <v>761</v>
      </c>
      <c r="I115" s="586"/>
      <c r="J115" s="122">
        <v>77</v>
      </c>
      <c r="K115" s="122">
        <v>712</v>
      </c>
      <c r="L115" s="133"/>
      <c r="M115" s="134"/>
      <c r="N115" s="134"/>
      <c r="O115" s="134"/>
      <c r="P115" s="134"/>
      <c r="Q115" s="134"/>
      <c r="R115" s="134"/>
      <c r="S115" s="134"/>
      <c r="T115" s="134"/>
    </row>
    <row customHeight="1" ht="14.25">
      <c r="A116" s="586"/>
      <c r="B116" s="828"/>
      <c r="C116" s="586"/>
      <c r="D116" s="586"/>
      <c r="E116" s="119"/>
      <c r="F116" s="586"/>
      <c r="G116" s="586"/>
      <c r="H116" s="119"/>
      <c r="I116" s="586"/>
      <c r="J116" s="119"/>
      <c r="K116" s="119"/>
      <c r="L116" s="133"/>
      <c r="M116" s="134"/>
      <c r="N116" s="134"/>
      <c r="O116" s="134"/>
      <c r="P116" s="134"/>
      <c r="Q116" s="134"/>
      <c r="R116" s="134"/>
      <c r="S116" s="134"/>
      <c r="T116" s="134"/>
    </row>
    <row customHeight="1" ht="14.25">
      <c r="A117" s="586"/>
      <c r="B117" s="828"/>
      <c r="C117" s="586"/>
      <c r="D117" s="586"/>
      <c r="E117" s="118">
        <v>18230</v>
      </c>
      <c r="F117" s="586"/>
      <c r="G117" s="586"/>
      <c r="H117" s="118">
        <v>198259</v>
      </c>
      <c r="I117" s="586"/>
      <c r="J117" s="118">
        <v>18136</v>
      </c>
      <c r="K117" s="118">
        <v>203114</v>
      </c>
      <c r="L117" s="133"/>
      <c r="M117" s="134"/>
      <c r="N117" s="134"/>
      <c r="O117" s="134"/>
      <c r="P117" s="134"/>
      <c r="Q117" s="134"/>
      <c r="R117" s="134"/>
      <c r="S117" s="134"/>
      <c r="T117" s="134"/>
    </row>
    <row customHeight="1" ht="14.25">
      <c r="A118" s="586"/>
      <c r="B118" s="828"/>
      <c r="C118" s="586"/>
      <c r="D118" s="586"/>
      <c r="E118" s="119"/>
      <c r="F118" s="586"/>
      <c r="G118" s="586"/>
      <c r="H118" s="119"/>
      <c r="I118" s="586"/>
      <c r="J118" s="119"/>
      <c r="K118" s="119"/>
      <c r="L118" s="133"/>
      <c r="M118" s="134"/>
      <c r="N118" s="134"/>
      <c r="O118" s="134"/>
      <c r="P118" s="134"/>
      <c r="Q118" s="134"/>
      <c r="R118" s="134"/>
      <c r="S118" s="134"/>
      <c r="T118" s="134"/>
    </row>
    <row customHeight="1" ht="14.25">
      <c r="A119" s="586"/>
      <c r="B119" s="586"/>
      <c r="C119" s="586"/>
      <c r="D119" s="586"/>
      <c r="E119" s="118">
        <v>202</v>
      </c>
      <c r="F119" s="586"/>
      <c r="G119" s="586"/>
      <c r="H119" s="118">
        <v>1763</v>
      </c>
      <c r="I119" s="586"/>
      <c r="J119" s="118">
        <v>133</v>
      </c>
      <c r="K119" s="118">
        <v>1550.7</v>
      </c>
      <c r="L119" s="133"/>
      <c r="M119" s="134"/>
      <c r="N119" s="134"/>
      <c r="O119" s="134"/>
      <c r="P119" s="134"/>
      <c r="Q119" s="134"/>
      <c r="R119" s="134"/>
      <c r="S119" s="134"/>
      <c r="T119" s="134"/>
    </row>
    <row customHeight="1" ht="14.25">
      <c r="A120" s="586"/>
      <c r="B120" s="828"/>
      <c r="C120" s="586"/>
      <c r="D120" s="586"/>
      <c r="E120" s="118">
        <v>0</v>
      </c>
      <c r="F120" s="586"/>
      <c r="G120" s="586"/>
      <c r="H120" s="118">
        <v>0</v>
      </c>
      <c r="I120" s="586"/>
      <c r="J120" s="118">
        <v>0</v>
      </c>
      <c r="K120" s="118">
        <v>0</v>
      </c>
      <c r="L120" s="133"/>
      <c r="M120" s="134"/>
      <c r="N120" s="134"/>
      <c r="O120" s="134"/>
      <c r="P120" s="134"/>
      <c r="Q120" s="134"/>
      <c r="R120" s="134"/>
      <c r="S120" s="134"/>
      <c r="T120" s="134"/>
    </row>
    <row customHeight="1" ht="14.25">
      <c r="A121" s="586"/>
      <c r="B121" s="828"/>
      <c r="C121" s="586"/>
      <c r="D121" s="586"/>
      <c r="E121" s="118">
        <v>18963</v>
      </c>
      <c r="F121" s="586"/>
      <c r="G121" s="586"/>
      <c r="H121" s="118">
        <v>210582</v>
      </c>
      <c r="I121" s="586"/>
      <c r="J121" s="118">
        <v>18694</v>
      </c>
      <c r="K121" s="118">
        <v>211394</v>
      </c>
      <c r="L121" s="133"/>
      <c r="M121" s="134"/>
      <c r="N121" s="134"/>
      <c r="O121" s="134"/>
      <c r="P121" s="134"/>
      <c r="Q121" s="134"/>
      <c r="R121" s="134"/>
      <c r="S121" s="134"/>
      <c r="T121" s="134"/>
    </row>
    <row customHeight="1" ht="14.25">
      <c r="A122" s="586"/>
      <c r="B122" s="828"/>
      <c r="C122" s="586"/>
      <c r="D122" s="586"/>
      <c r="E122" s="119"/>
      <c r="F122" s="586"/>
      <c r="G122" s="586"/>
      <c r="H122" s="119"/>
      <c r="I122" s="586"/>
      <c r="J122" s="119"/>
      <c r="K122" s="119"/>
      <c r="L122" s="133"/>
      <c r="M122" s="134"/>
      <c r="N122" s="134"/>
      <c r="O122" s="134"/>
      <c r="P122" s="134"/>
      <c r="Q122" s="134"/>
      <c r="R122" s="134"/>
      <c r="S122" s="134"/>
      <c r="T122" s="134"/>
    </row>
    <row customHeight="1" ht="14.25">
      <c r="A123" s="586"/>
      <c r="B123" s="828"/>
      <c r="C123" s="586"/>
      <c r="D123" s="586"/>
      <c r="E123" s="118">
        <v>0</v>
      </c>
      <c r="F123" s="586"/>
      <c r="G123" s="586"/>
      <c r="H123" s="118">
        <v>0</v>
      </c>
      <c r="I123" s="586"/>
      <c r="J123" s="118">
        <v>0</v>
      </c>
      <c r="K123" s="118">
        <v>3378.14</v>
      </c>
      <c r="L123" s="133"/>
      <c r="M123" s="134"/>
      <c r="N123" s="134"/>
      <c r="O123" s="134"/>
      <c r="P123" s="134"/>
      <c r="Q123" s="134"/>
      <c r="R123" s="134"/>
      <c r="S123" s="134"/>
      <c r="T123" s="134"/>
    </row>
    <row customHeight="1" ht="14.25">
      <c r="A124" s="586"/>
      <c r="B124" s="828"/>
      <c r="C124" s="586"/>
      <c r="D124" s="586"/>
      <c r="E124" s="119"/>
      <c r="F124" s="586"/>
      <c r="G124" s="586"/>
      <c r="H124" s="119"/>
      <c r="I124" s="586"/>
      <c r="J124" s="119"/>
      <c r="K124" s="119"/>
      <c r="L124" s="133"/>
      <c r="M124" s="134"/>
      <c r="N124" s="134"/>
      <c r="O124" s="134"/>
      <c r="P124" s="134"/>
      <c r="Q124" s="134"/>
      <c r="R124" s="134"/>
      <c r="S124" s="134"/>
      <c r="T124" s="134"/>
    </row>
    <row customHeight="1" ht="14.25">
      <c r="A125" s="586"/>
      <c r="B125" s="828"/>
      <c r="C125" s="586"/>
      <c r="D125" s="586"/>
      <c r="E125" s="118">
        <v>27446</v>
      </c>
      <c r="F125" s="586"/>
      <c r="G125" s="586"/>
      <c r="H125" s="118">
        <v>241696</v>
      </c>
      <c r="I125" s="586"/>
      <c r="J125" s="118">
        <v>20018</v>
      </c>
      <c r="K125" s="118">
        <v>251236</v>
      </c>
      <c r="L125" s="133"/>
      <c r="M125" s="134"/>
      <c r="N125" s="134"/>
      <c r="O125" s="134"/>
      <c r="P125" s="134"/>
      <c r="Q125" s="134"/>
      <c r="R125" s="134"/>
      <c r="S125" s="134"/>
      <c r="T125" s="134"/>
    </row>
    <row customHeight="1" ht="14.25">
      <c r="A126" s="586"/>
      <c r="B126" s="828"/>
      <c r="C126" s="586"/>
      <c r="D126" s="586"/>
      <c r="E126" s="119"/>
      <c r="F126" s="586"/>
      <c r="G126" s="586"/>
      <c r="H126" s="119"/>
      <c r="I126" s="586"/>
      <c r="J126" s="119"/>
      <c r="K126" s="119"/>
      <c r="L126" s="133"/>
      <c r="M126" s="134"/>
      <c r="N126" s="134"/>
      <c r="O126" s="134"/>
      <c r="P126" s="134"/>
      <c r="Q126" s="134"/>
      <c r="R126" s="134"/>
      <c r="S126" s="134"/>
      <c r="T126" s="134"/>
    </row>
    <row customHeight="1" ht="14.25">
      <c r="A127" s="586"/>
      <c r="B127" s="828"/>
      <c r="C127" s="586"/>
      <c r="D127" s="586"/>
      <c r="E127" s="118">
        <v>0</v>
      </c>
      <c r="F127" s="586"/>
      <c r="G127" s="586"/>
      <c r="H127" s="118">
        <v>0</v>
      </c>
      <c r="I127" s="586"/>
      <c r="J127" s="118">
        <v>0</v>
      </c>
      <c r="K127" s="118">
        <v>4353.48</v>
      </c>
      <c r="L127" s="133"/>
      <c r="M127" s="134"/>
      <c r="N127" s="134"/>
      <c r="O127" s="134"/>
      <c r="P127" s="134"/>
      <c r="Q127" s="134"/>
      <c r="R127" s="134"/>
      <c r="S127" s="134"/>
      <c r="T127" s="134"/>
    </row>
    <row customHeight="1" ht="14.25">
      <c r="A128" s="586"/>
      <c r="B128" s="828"/>
      <c r="C128" s="586"/>
      <c r="D128" s="586"/>
      <c r="E128" s="119"/>
      <c r="F128" s="586"/>
      <c r="G128" s="586"/>
      <c r="H128" s="119"/>
      <c r="I128" s="586"/>
      <c r="J128" s="119"/>
      <c r="K128" s="119"/>
      <c r="L128" s="133"/>
      <c r="M128" s="134"/>
      <c r="N128" s="134"/>
      <c r="O128" s="134"/>
      <c r="P128" s="134"/>
      <c r="Q128" s="134"/>
      <c r="R128" s="134"/>
      <c r="S128" s="134"/>
      <c r="T128" s="134"/>
    </row>
    <row customHeight="1" ht="14.25">
      <c r="A129" s="586"/>
      <c r="B129" s="828"/>
      <c r="C129" s="586"/>
      <c r="D129" s="586"/>
      <c r="E129" s="118">
        <v>514535</v>
      </c>
      <c r="F129" s="586"/>
      <c r="G129" s="586"/>
      <c r="H129" s="118">
        <v>5931263</v>
      </c>
      <c r="I129" s="586"/>
      <c r="J129" s="118">
        <v>485974</v>
      </c>
      <c r="K129" s="118">
        <v>5726520.7</v>
      </c>
      <c r="L129" s="133"/>
      <c r="M129" s="134"/>
      <c r="N129" s="134"/>
      <c r="O129" s="134"/>
      <c r="P129" s="134"/>
      <c r="Q129" s="134"/>
      <c r="R129" s="134"/>
      <c r="S129" s="134"/>
      <c r="T129" s="134"/>
    </row>
    <row customHeight="1" ht="14.25">
      <c r="A130" s="586"/>
      <c r="B130" s="828"/>
      <c r="C130" s="586"/>
      <c r="D130" s="586"/>
      <c r="E130" s="118"/>
      <c r="F130" s="586"/>
      <c r="G130" s="586"/>
      <c r="H130" s="118"/>
      <c r="I130" s="586"/>
      <c r="J130" s="118"/>
      <c r="K130" s="118"/>
      <c r="L130" s="133"/>
      <c r="M130" s="134"/>
      <c r="N130" s="134"/>
      <c r="O130" s="134"/>
      <c r="P130" s="134"/>
      <c r="Q130" s="134"/>
      <c r="R130" s="134"/>
      <c r="S130" s="134"/>
      <c r="T130" s="134"/>
    </row>
    <row customHeight="1" ht="14.25">
      <c r="A131" s="586"/>
      <c r="B131" s="828"/>
      <c r="C131" s="586"/>
      <c r="D131" s="586"/>
      <c r="E131" s="118"/>
      <c r="F131" s="586"/>
      <c r="G131" s="586"/>
      <c r="H131" s="118"/>
      <c r="I131" s="586"/>
      <c r="J131" s="118"/>
      <c r="K131" s="118"/>
      <c r="L131" s="133"/>
      <c r="M131" s="134"/>
      <c r="N131" s="134"/>
      <c r="O131" s="134"/>
      <c r="P131" s="134"/>
      <c r="Q131" s="134"/>
      <c r="R131" s="134"/>
      <c r="S131" s="134"/>
      <c r="T131" s="134"/>
    </row>
    <row customHeight="1" ht="14.25">
      <c r="A132" s="586"/>
      <c r="B132" s="828"/>
      <c r="C132" s="586"/>
      <c r="D132" s="586"/>
      <c r="E132" s="119">
        <v>5580.20000000001</v>
      </c>
      <c r="F132" s="586"/>
      <c r="G132" s="586"/>
      <c r="H132" s="119">
        <v>58113.20000000005</v>
      </c>
      <c r="I132" s="586"/>
      <c r="J132" s="119">
        <v>5276</v>
      </c>
      <c r="K132" s="119">
        <v>61947.30000000004</v>
      </c>
      <c r="L132" s="133"/>
      <c r="M132" s="134"/>
      <c r="N132" s="134"/>
      <c r="O132" s="134"/>
      <c r="P132" s="134"/>
      <c r="Q132" s="134"/>
      <c r="R132" s="134"/>
      <c r="S132" s="134"/>
      <c r="T132" s="134"/>
    </row>
    <row customHeight="1" ht="14.25">
      <c r="A133" s="586"/>
      <c r="B133" s="828"/>
      <c r="C133" s="586"/>
      <c r="D133" s="586"/>
      <c r="E133" s="119">
        <v>541735</v>
      </c>
      <c r="F133" s="586"/>
      <c r="G133" s="586"/>
      <c r="H133" s="119">
        <v>5587649</v>
      </c>
      <c r="I133" s="586"/>
      <c r="J133" s="119">
        <v>502514</v>
      </c>
      <c r="K133" s="119">
        <v>5898681</v>
      </c>
      <c r="L133" s="133"/>
      <c r="M133" s="134"/>
      <c r="N133" s="134"/>
      <c r="O133" s="134"/>
      <c r="P133" s="134"/>
      <c r="Q133" s="134"/>
      <c r="R133" s="134"/>
      <c r="S133" s="134"/>
      <c r="T133" s="134"/>
    </row>
    <row customHeight="1" ht="14.25">
      <c r="A134" s="586"/>
      <c r="B134" s="828"/>
      <c r="C134" s="586"/>
      <c r="D134" s="586"/>
      <c r="E134" s="119"/>
      <c r="F134" s="586"/>
      <c r="G134" s="586"/>
      <c r="H134" s="119"/>
      <c r="I134" s="586"/>
      <c r="J134" s="119"/>
      <c r="K134" s="119"/>
      <c r="L134" s="133"/>
      <c r="M134" s="134"/>
      <c r="N134" s="134"/>
      <c r="O134" s="134"/>
      <c r="P134" s="134"/>
      <c r="Q134" s="134"/>
      <c r="R134" s="134"/>
      <c r="S134" s="134"/>
      <c r="T134" s="134"/>
    </row>
    <row customHeight="1" ht="14.25">
      <c r="A135" s="586"/>
      <c r="B135" s="828"/>
      <c r="C135" s="586"/>
      <c r="D135" s="586"/>
      <c r="E135" s="119">
        <v>22865224.47</v>
      </c>
      <c r="F135" s="586"/>
      <c r="G135" s="586"/>
      <c r="H135" s="119">
        <v>237022448.21</v>
      </c>
      <c r="I135" s="586"/>
      <c r="J135" s="119">
        <v>24761341.54</v>
      </c>
      <c r="K135" s="119">
        <v>262515753.89</v>
      </c>
      <c r="L135" s="133"/>
      <c r="M135" s="134"/>
      <c r="N135" s="134"/>
      <c r="O135" s="134"/>
      <c r="P135" s="134"/>
      <c r="Q135" s="134"/>
      <c r="R135" s="134"/>
      <c r="S135" s="134"/>
      <c r="T135" s="134"/>
    </row>
    <row customHeight="1" ht="14.25">
      <c r="A136" s="586"/>
      <c r="B136" s="828"/>
      <c r="C136" s="586"/>
      <c r="D136" s="586"/>
      <c r="E136" s="135">
        <v>541735</v>
      </c>
      <c r="F136" s="586"/>
      <c r="G136" s="586"/>
      <c r="H136" s="135">
        <v>5587649</v>
      </c>
      <c r="I136" s="586"/>
      <c r="J136" s="135">
        <v>502514</v>
      </c>
      <c r="K136" s="135">
        <v>5898681</v>
      </c>
      <c r="L136" s="133"/>
      <c r="M136" s="134"/>
      <c r="N136" s="134"/>
      <c r="O136" s="134"/>
      <c r="P136" s="134"/>
      <c r="Q136" s="134"/>
      <c r="R136" s="134"/>
      <c r="S136" s="134"/>
      <c r="T136" s="134"/>
    </row>
    <row customHeight="1" ht="14.25">
      <c r="A137" s="586"/>
      <c r="B137" s="828"/>
      <c r="C137" s="586"/>
      <c r="D137" s="586"/>
      <c r="E137" s="119"/>
      <c r="F137" s="586"/>
      <c r="G137" s="586"/>
      <c r="H137" s="119"/>
      <c r="I137" s="586"/>
      <c r="J137" s="119"/>
      <c r="K137" s="119"/>
      <c r="L137" s="133"/>
      <c r="M137" s="134"/>
      <c r="N137" s="134"/>
      <c r="O137" s="134"/>
      <c r="P137" s="134"/>
      <c r="Q137" s="134"/>
      <c r="R137" s="134"/>
      <c r="S137" s="134"/>
      <c r="T137" s="134"/>
    </row>
    <row customHeight="1" ht="14.25">
      <c r="A138" s="586"/>
      <c r="B138" s="828"/>
      <c r="C138" s="586"/>
      <c r="D138" s="586"/>
      <c r="E138" s="118">
        <v>21461</v>
      </c>
      <c r="F138" s="586"/>
      <c r="G138" s="586"/>
      <c r="H138" s="118">
        <v>114104</v>
      </c>
      <c r="I138" s="586"/>
      <c r="J138" s="118">
        <v>10266</v>
      </c>
      <c r="K138" s="118">
        <v>110397</v>
      </c>
      <c r="L138" s="133"/>
      <c r="M138" s="134"/>
      <c r="N138" s="134"/>
      <c r="O138" s="134"/>
      <c r="P138" s="134"/>
      <c r="Q138" s="134"/>
      <c r="R138" s="134"/>
      <c r="S138" s="134"/>
      <c r="T138" s="134"/>
    </row>
    <row customHeight="1" ht="14.25">
      <c r="A139" s="586"/>
      <c r="B139" s="828"/>
      <c r="C139" s="586"/>
      <c r="D139" s="586"/>
      <c r="E139" s="118">
        <v>541735</v>
      </c>
      <c r="F139" s="586"/>
      <c r="G139" s="586"/>
      <c r="H139" s="118">
        <v>5587649</v>
      </c>
      <c r="I139" s="586"/>
      <c r="J139" s="118">
        <v>502514</v>
      </c>
      <c r="K139" s="118">
        <v>5898681</v>
      </c>
      <c r="L139" s="133"/>
      <c r="M139" s="134"/>
      <c r="N139" s="134"/>
      <c r="O139" s="134"/>
      <c r="P139" s="134"/>
      <c r="Q139" s="134"/>
      <c r="R139" s="134"/>
      <c r="S139" s="134"/>
      <c r="T139" s="134"/>
    </row>
    <row customHeight="1" ht="14.25">
      <c r="A140" s="586"/>
      <c r="B140" s="828"/>
      <c r="C140" s="586"/>
      <c r="D140" s="586"/>
      <c r="E140" s="118"/>
      <c r="F140" s="586"/>
      <c r="G140" s="586"/>
      <c r="H140" s="118"/>
      <c r="I140" s="586"/>
      <c r="J140" s="118"/>
      <c r="K140" s="118"/>
      <c r="L140" s="133"/>
      <c r="M140" s="134"/>
      <c r="N140" s="134"/>
      <c r="O140" s="134"/>
      <c r="P140" s="134"/>
      <c r="Q140" s="134"/>
      <c r="R140" s="134"/>
      <c r="S140" s="134"/>
      <c r="T140" s="134"/>
    </row>
    <row customHeight="1" ht="14.25">
      <c r="A141" s="586"/>
      <c r="B141" s="586"/>
      <c r="C141" s="586"/>
      <c r="D141" s="586"/>
      <c r="E141" s="136">
        <v>112212</v>
      </c>
      <c r="F141" s="586"/>
      <c r="G141" s="586"/>
      <c r="H141" s="136">
        <v>1156016</v>
      </c>
      <c r="I141" s="586"/>
      <c r="J141" s="136">
        <v>108047</v>
      </c>
      <c r="K141" s="136">
        <v>1155521</v>
      </c>
      <c r="L141" s="133"/>
      <c r="M141" s="134"/>
      <c r="N141" s="134"/>
      <c r="O141" s="134"/>
      <c r="P141" s="134"/>
      <c r="Q141" s="134"/>
      <c r="R141" s="134"/>
      <c r="S141" s="134"/>
      <c r="T141" s="134"/>
    </row>
    <row customHeight="1" ht="14.25">
      <c r="A142" s="586"/>
      <c r="B142" s="586"/>
      <c r="C142" s="586"/>
      <c r="D142" s="586"/>
      <c r="E142" s="136">
        <v>120602</v>
      </c>
      <c r="F142" s="586"/>
      <c r="G142" s="586"/>
      <c r="H142" s="136">
        <v>1245069</v>
      </c>
      <c r="I142" s="586"/>
      <c r="J142" s="136">
        <v>116179</v>
      </c>
      <c r="K142" s="136">
        <v>1243604</v>
      </c>
      <c r="L142" s="133"/>
      <c r="M142" s="134"/>
      <c r="N142" s="134"/>
      <c r="O142" s="134"/>
      <c r="P142" s="134"/>
      <c r="Q142" s="134"/>
      <c r="R142" s="134"/>
      <c r="S142" s="134"/>
      <c r="T142" s="134"/>
    </row>
    <row customHeight="1" ht="14.25">
      <c r="A143" s="586"/>
      <c r="B143" s="586"/>
      <c r="C143" s="586"/>
      <c r="D143" s="586"/>
      <c r="E143" s="119"/>
      <c r="F143" s="586"/>
      <c r="G143" s="586"/>
      <c r="H143" s="119"/>
      <c r="I143" s="586"/>
      <c r="J143" s="119"/>
      <c r="K143" s="119"/>
      <c r="L143" s="133"/>
      <c r="M143" s="134"/>
      <c r="N143" s="134"/>
      <c r="O143" s="134"/>
      <c r="P143" s="134"/>
      <c r="Q143" s="134"/>
      <c r="R143" s="134"/>
      <c r="S143" s="134"/>
      <c r="T143" s="134"/>
    </row>
    <row customHeight="1" ht="14.25">
      <c r="A144" s="586"/>
      <c r="B144" s="586"/>
      <c r="C144" s="586"/>
      <c r="D144" s="586"/>
      <c r="E144" s="137">
        <v>14953</v>
      </c>
      <c r="F144" s="586"/>
      <c r="G144" s="586"/>
      <c r="H144" s="137">
        <v>148053</v>
      </c>
      <c r="I144" s="586"/>
      <c r="J144" s="137">
        <v>15837</v>
      </c>
      <c r="K144" s="137">
        <v>163854</v>
      </c>
      <c r="L144" s="133"/>
      <c r="M144" s="134"/>
      <c r="N144" s="134"/>
      <c r="O144" s="134"/>
      <c r="P144" s="134"/>
      <c r="Q144" s="134"/>
      <c r="R144" s="134"/>
      <c r="S144" s="134"/>
      <c r="T144" s="134"/>
    </row>
    <row customHeight="1" ht="14.25">
      <c r="A145" s="586"/>
      <c r="B145" s="586"/>
      <c r="C145" s="586"/>
      <c r="D145" s="586"/>
      <c r="E145" s="136">
        <v>53873</v>
      </c>
      <c r="F145" s="586"/>
      <c r="G145" s="586"/>
      <c r="H145" s="136">
        <v>550594</v>
      </c>
      <c r="I145" s="586"/>
      <c r="J145" s="136">
        <v>55942</v>
      </c>
      <c r="K145" s="136">
        <v>603693</v>
      </c>
      <c r="L145" s="133"/>
      <c r="M145" s="134"/>
      <c r="N145" s="134"/>
      <c r="O145" s="134"/>
      <c r="P145" s="134"/>
      <c r="Q145" s="134"/>
      <c r="R145" s="134"/>
      <c r="S145" s="134"/>
      <c r="T145" s="134"/>
    </row>
    <row customHeight="1" ht="14.25">
      <c r="A146" s="586"/>
      <c r="B146" s="586"/>
      <c r="C146" s="586"/>
      <c r="D146" s="586"/>
      <c r="E146" s="136"/>
      <c r="F146" s="586"/>
      <c r="G146" s="586"/>
      <c r="H146" s="136"/>
      <c r="I146" s="586"/>
      <c r="J146" s="136"/>
      <c r="K146" s="136"/>
      <c r="L146" s="133"/>
      <c r="M146" s="134"/>
      <c r="N146" s="134"/>
      <c r="O146" s="134"/>
      <c r="P146" s="134"/>
      <c r="Q146" s="134"/>
      <c r="R146" s="134"/>
      <c r="S146" s="134"/>
      <c r="T146" s="134"/>
    </row>
    <row customHeight="1" ht="14.25">
      <c r="A147" s="586"/>
      <c r="B147" s="586"/>
      <c r="C147" s="586"/>
      <c r="D147" s="586"/>
      <c r="E147" s="136">
        <v>18230</v>
      </c>
      <c r="F147" s="586"/>
      <c r="G147" s="586"/>
      <c r="H147" s="136">
        <v>181298</v>
      </c>
      <c r="I147" s="586"/>
      <c r="J147" s="136">
        <v>18136</v>
      </c>
      <c r="K147" s="136">
        <v>203114</v>
      </c>
      <c r="L147" s="133"/>
      <c r="M147" s="134"/>
      <c r="N147" s="134"/>
      <c r="O147" s="134"/>
      <c r="P147" s="134"/>
      <c r="Q147" s="134"/>
      <c r="R147" s="134"/>
      <c r="S147" s="134"/>
      <c r="T147" s="134"/>
    </row>
    <row customHeight="1" ht="14.25">
      <c r="A148" s="586"/>
      <c r="B148" s="586"/>
      <c r="C148" s="586"/>
      <c r="D148" s="586"/>
      <c r="E148" s="136">
        <v>18804</v>
      </c>
      <c r="F148" s="586"/>
      <c r="G148" s="586"/>
      <c r="H148" s="136">
        <v>187344</v>
      </c>
      <c r="I148" s="586"/>
      <c r="J148" s="136">
        <v>18694</v>
      </c>
      <c r="K148" s="136">
        <v>209493</v>
      </c>
      <c r="L148" s="133"/>
      <c r="M148" s="134"/>
      <c r="N148" s="134"/>
      <c r="O148" s="134"/>
      <c r="P148" s="134"/>
      <c r="Q148" s="134"/>
      <c r="R148" s="134"/>
      <c r="S148" s="134"/>
      <c r="T148" s="134"/>
    </row>
    <row customHeight="1" ht="14.25">
      <c r="A149" s="586"/>
      <c r="B149" s="586"/>
      <c r="C149" s="586"/>
      <c r="D149" s="586"/>
      <c r="E149" s="136"/>
      <c r="F149" s="586"/>
      <c r="G149" s="586"/>
      <c r="H149" s="136"/>
      <c r="I149" s="586"/>
      <c r="J149" s="136"/>
      <c r="K149" s="136"/>
      <c r="L149" s="133"/>
      <c r="M149" s="134"/>
      <c r="N149" s="134"/>
      <c r="O149" s="134"/>
      <c r="P149" s="134"/>
      <c r="Q149" s="134"/>
      <c r="R149" s="134"/>
      <c r="S149" s="134"/>
      <c r="T149" s="134"/>
    </row>
    <row customHeight="1" ht="14.25">
      <c r="A150" s="586"/>
      <c r="B150" s="586"/>
      <c r="C150" s="586"/>
      <c r="D150" s="586"/>
      <c r="E150" s="136">
        <v>123004</v>
      </c>
      <c r="F150" s="586"/>
      <c r="G150" s="586"/>
      <c r="H150" s="136">
        <v>1270200</v>
      </c>
      <c r="I150" s="586"/>
      <c r="J150" s="136">
        <v>123209</v>
      </c>
      <c r="K150" s="136">
        <v>1371131</v>
      </c>
      <c r="L150" s="133"/>
      <c r="M150" s="134"/>
      <c r="N150" s="134"/>
      <c r="O150" s="134"/>
      <c r="P150" s="134"/>
      <c r="Q150" s="134"/>
      <c r="R150" s="134"/>
      <c r="S150" s="134"/>
      <c r="T150" s="134"/>
    </row>
    <row customHeight="1" ht="14.25">
      <c r="A151" s="586"/>
      <c r="B151" s="586"/>
      <c r="C151" s="586"/>
      <c r="D151" s="586"/>
      <c r="E151" s="136">
        <v>124858</v>
      </c>
      <c r="F151" s="586"/>
      <c r="G151" s="586"/>
      <c r="H151" s="136">
        <v>1289549</v>
      </c>
      <c r="I151" s="586"/>
      <c r="J151" s="136">
        <v>125697</v>
      </c>
      <c r="K151" s="136">
        <v>1389269</v>
      </c>
      <c r="L151" s="133"/>
      <c r="M151" s="134"/>
      <c r="N151" s="134"/>
      <c r="O151" s="134"/>
      <c r="P151" s="134"/>
      <c r="Q151" s="134"/>
      <c r="R151" s="134"/>
      <c r="S151" s="134"/>
      <c r="T151" s="134"/>
    </row>
    <row customHeight="1" ht="14.25">
      <c r="A152" s="586"/>
      <c r="B152" s="586"/>
      <c r="C152" s="586"/>
      <c r="D152" s="586"/>
      <c r="E152" s="136"/>
      <c r="F152" s="586"/>
      <c r="G152" s="586"/>
      <c r="H152" s="136"/>
      <c r="I152" s="586"/>
      <c r="J152" s="136"/>
      <c r="K152" s="136"/>
      <c r="L152" s="133"/>
      <c r="M152" s="134"/>
      <c r="N152" s="134"/>
      <c r="O152" s="134"/>
      <c r="P152" s="134"/>
      <c r="Q152" s="134"/>
      <c r="R152" s="134"/>
      <c r="S152" s="134"/>
      <c r="T152" s="134"/>
    </row>
    <row customHeight="1" ht="14.25">
      <c r="A153" s="586"/>
      <c r="B153" s="586"/>
      <c r="C153" s="586"/>
      <c r="D153" s="586"/>
      <c r="E153" s="119">
        <v>514694</v>
      </c>
      <c r="F153" s="586"/>
      <c r="G153" s="586"/>
      <c r="H153" s="119">
        <v>5415431</v>
      </c>
      <c r="I153" s="586"/>
      <c r="J153" s="119">
        <v>486972</v>
      </c>
      <c r="K153" s="119">
        <v>5726336.7</v>
      </c>
      <c r="L153" s="133"/>
      <c r="M153" s="134"/>
      <c r="N153" s="134"/>
      <c r="O153" s="134"/>
      <c r="P153" s="134"/>
      <c r="Q153" s="134"/>
      <c r="R153" s="134"/>
      <c r="S153" s="134"/>
      <c r="T153" s="134"/>
    </row>
    <row customHeight="1" ht="14.25">
      <c r="A154" s="586"/>
      <c r="B154" s="586"/>
      <c r="C154" s="586"/>
      <c r="D154" s="586"/>
      <c r="E154" s="119">
        <v>541735</v>
      </c>
      <c r="F154" s="586"/>
      <c r="G154" s="586"/>
      <c r="H154" s="119">
        <v>5587649</v>
      </c>
      <c r="I154" s="586"/>
      <c r="J154" s="119">
        <v>502514</v>
      </c>
      <c r="K154" s="119">
        <v>5898681</v>
      </c>
      <c r="L154" s="133"/>
      <c r="M154" s="134"/>
      <c r="N154" s="134"/>
      <c r="O154" s="134"/>
      <c r="P154" s="134"/>
      <c r="Q154" s="134"/>
      <c r="R154" s="134"/>
      <c r="S154" s="134"/>
      <c r="T154" s="134"/>
    </row>
    <row customHeight="1" ht="15.75">
      <c r="A155" s="586"/>
      <c r="B155" s="586"/>
      <c r="C155" s="586"/>
      <c r="D155" s="586"/>
      <c r="E155" s="119"/>
      <c r="F155" s="586"/>
      <c r="G155" s="586"/>
      <c r="H155" s="119"/>
      <c r="I155" s="586"/>
      <c r="J155" s="119"/>
      <c r="K155" s="119"/>
      <c r="L155" s="133"/>
      <c r="M155" s="134"/>
      <c r="N155" s="134"/>
      <c r="O155" s="134"/>
      <c r="P155" s="134"/>
      <c r="Q155" s="134"/>
      <c r="R155" s="134"/>
      <c r="S155" s="134"/>
      <c r="T155" s="134"/>
    </row>
    <row customHeight="1" ht="15.75">
      <c r="A156" s="586"/>
      <c r="B156" s="586"/>
      <c r="C156" s="586"/>
      <c r="D156" s="586"/>
      <c r="E156" s="119">
        <v>27446</v>
      </c>
      <c r="F156" s="586"/>
      <c r="G156" s="586"/>
      <c r="H156" s="119">
        <v>222674</v>
      </c>
      <c r="I156" s="586"/>
      <c r="J156" s="119">
        <v>20018</v>
      </c>
      <c r="K156" s="119">
        <v>251236</v>
      </c>
      <c r="L156" s="133"/>
      <c r="M156" s="134"/>
      <c r="N156" s="134"/>
      <c r="O156" s="134"/>
      <c r="P156" s="134"/>
      <c r="Q156" s="134"/>
      <c r="R156" s="134"/>
      <c r="S156" s="134"/>
      <c r="T156" s="134"/>
    </row>
    <row customHeight="1" ht="15.75">
      <c r="A157" s="586"/>
      <c r="B157" s="586"/>
      <c r="C157" s="586"/>
      <c r="D157" s="586"/>
      <c r="E157" s="119">
        <v>75609</v>
      </c>
      <c r="F157" s="586"/>
      <c r="G157" s="586"/>
      <c r="H157" s="119">
        <v>689109</v>
      </c>
      <c r="I157" s="586"/>
      <c r="J157" s="119">
        <v>64297</v>
      </c>
      <c r="K157" s="119">
        <v>762680</v>
      </c>
      <c r="L157" s="133"/>
      <c r="M157" s="134"/>
      <c r="N157" s="134"/>
      <c r="O157" s="134"/>
      <c r="P157" s="134"/>
      <c r="Q157" s="134"/>
      <c r="R157" s="134"/>
      <c r="S157" s="134"/>
      <c r="T157" s="134"/>
    </row>
    <row customHeight="1" ht="15.75">
      <c r="A158" s="586"/>
      <c r="B158" s="586"/>
      <c r="C158" s="586"/>
      <c r="D158" s="586"/>
      <c r="E158" s="119"/>
      <c r="F158" s="586"/>
      <c r="G158" s="586"/>
      <c r="H158" s="119"/>
      <c r="I158" s="586"/>
      <c r="J158" s="119"/>
      <c r="K158" s="119"/>
      <c r="L158" s="133"/>
      <c r="M158" s="134"/>
      <c r="N158" s="134"/>
      <c r="O158" s="134"/>
      <c r="P158" s="134"/>
      <c r="Q158" s="134"/>
      <c r="R158" s="134"/>
      <c r="S158" s="134"/>
      <c r="T158" s="134"/>
    </row>
    <row customHeight="1" ht="15.75">
      <c r="A159" s="586"/>
      <c r="B159" s="586"/>
      <c r="C159" s="586"/>
      <c r="D159" s="586"/>
      <c r="E159" s="119"/>
      <c r="F159" s="586"/>
      <c r="G159" s="586"/>
      <c r="H159" s="119"/>
      <c r="I159" s="586"/>
      <c r="J159" s="119"/>
      <c r="K159" s="119"/>
      <c r="L159" s="133"/>
      <c r="M159" s="134"/>
      <c r="N159" s="134"/>
      <c r="O159" s="134"/>
      <c r="P159" s="134"/>
      <c r="Q159" s="134"/>
      <c r="R159" s="134"/>
      <c r="S159" s="134"/>
      <c r="T159" s="134"/>
    </row>
    <row customHeight="1" ht="15.75">
      <c r="A160" s="586"/>
      <c r="B160" s="586"/>
      <c r="C160" s="586"/>
      <c r="D160" s="586"/>
      <c r="E160" s="119">
        <v>221824.8</v>
      </c>
      <c r="F160" s="119"/>
      <c r="G160" s="119"/>
      <c r="H160" s="119">
        <v>2445096.8</v>
      </c>
      <c r="I160" s="586"/>
      <c r="J160" s="119">
        <v>205186</v>
      </c>
      <c r="K160" s="119">
        <v>2544847.1</v>
      </c>
      <c r="L160" s="133"/>
      <c r="M160" s="134"/>
      <c r="N160" s="134"/>
      <c r="O160" s="134"/>
      <c r="P160" s="134"/>
      <c r="Q160" s="134"/>
      <c r="R160" s="134"/>
      <c r="S160" s="134"/>
      <c r="T160" s="134"/>
    </row>
    <row customHeight="1" ht="14.25">
      <c r="A161" s="586"/>
      <c r="B161" s="586"/>
      <c r="C161" s="586"/>
      <c r="D161" s="586"/>
      <c r="E161" s="119">
        <v>223525</v>
      </c>
      <c r="F161" s="119"/>
      <c r="G161" s="119"/>
      <c r="H161" s="119">
        <v>2461448</v>
      </c>
      <c r="I161" s="586"/>
      <c r="J161" s="119">
        <v>206515</v>
      </c>
      <c r="K161" s="119">
        <v>2563471</v>
      </c>
      <c r="L161" s="133"/>
      <c r="M161" s="134"/>
      <c r="N161" s="134"/>
      <c r="O161" s="134"/>
      <c r="P161" s="134"/>
      <c r="Q161" s="134"/>
      <c r="R161" s="134"/>
      <c r="S161" s="134"/>
      <c r="T161" s="134"/>
    </row>
    <row customHeight="1" ht="14.25">
      <c r="A162" s="586"/>
      <c r="B162" s="586"/>
      <c r="C162" s="586"/>
      <c r="D162" s="586"/>
      <c r="E162" s="119"/>
      <c r="F162" s="119"/>
      <c r="G162" s="119"/>
      <c r="H162" s="119">
        <v>0</v>
      </c>
      <c r="I162" s="586"/>
      <c r="J162" s="133"/>
      <c r="K162" s="133"/>
      <c r="L162" s="133"/>
      <c r="M162" s="134" t="s">
        <v>156</v>
      </c>
      <c r="N162" s="134"/>
      <c r="O162" s="134"/>
      <c r="P162" s="134"/>
      <c r="Q162" s="134"/>
      <c r="R162" s="134"/>
      <c r="S162" s="134"/>
      <c r="T162" s="134"/>
    </row>
    <row customHeight="1" ht="14.25">
      <c r="A163" s="586"/>
      <c r="B163" s="586"/>
      <c r="C163" s="586"/>
      <c r="D163" s="586"/>
      <c r="E163" s="137"/>
      <c r="F163" s="586"/>
      <c r="G163" s="586"/>
      <c r="H163" s="137"/>
      <c r="I163" s="586"/>
      <c r="J163" s="137"/>
      <c r="K163" s="137"/>
      <c r="L163" s="133"/>
      <c r="M163" s="134"/>
      <c r="N163" s="134"/>
      <c r="O163" s="134"/>
      <c r="P163" s="134"/>
      <c r="Q163" s="134"/>
      <c r="R163" s="134"/>
      <c r="S163" s="134"/>
      <c r="T163" s="134"/>
    </row>
    <row customHeight="1" ht="15.75">
      <c r="A164" s="586"/>
      <c r="B164" s="586"/>
      <c r="C164" s="586"/>
      <c r="D164" s="586"/>
      <c r="E164" s="136"/>
      <c r="F164" s="586"/>
      <c r="G164" s="586"/>
      <c r="H164" s="136"/>
      <c r="I164" s="586"/>
      <c r="J164" s="136"/>
      <c r="K164" s="136"/>
      <c r="L164" s="133"/>
      <c r="M164" s="134"/>
      <c r="N164" s="134"/>
      <c r="O164" s="134"/>
      <c r="P164" s="134"/>
      <c r="Q164" s="134"/>
      <c r="R164" s="134"/>
      <c r="S164" s="134"/>
      <c r="T164" s="134"/>
    </row>
    <row customHeight="1" ht="15.75">
      <c r="A165" s="586"/>
      <c r="B165" s="586"/>
      <c r="C165" s="586"/>
      <c r="D165" s="586"/>
      <c r="E165" s="136"/>
      <c r="F165" s="586"/>
      <c r="G165" s="586"/>
      <c r="H165" s="136"/>
      <c r="I165" s="586"/>
      <c r="J165" s="136"/>
      <c r="K165" s="136"/>
      <c r="L165" s="133"/>
      <c r="M165" s="134"/>
      <c r="N165" s="134"/>
      <c r="O165" s="134"/>
      <c r="P165" s="134"/>
      <c r="Q165" s="134"/>
      <c r="R165" s="134"/>
      <c r="S165" s="134"/>
      <c r="T165" s="134"/>
    </row>
    <row customHeight="1" ht="14.25">
      <c r="A166" s="586"/>
      <c r="B166" s="586"/>
      <c r="C166" s="586"/>
      <c r="D166" s="586"/>
      <c r="E166" s="119"/>
      <c r="F166" s="586"/>
      <c r="G166" s="586"/>
      <c r="H166" s="133"/>
      <c r="I166" s="586"/>
      <c r="J166" s="133"/>
      <c r="K166" s="133"/>
      <c r="L166" s="133"/>
      <c r="M166" s="134"/>
      <c r="N166" s="134"/>
      <c r="O166" s="134"/>
      <c r="P166" s="134"/>
      <c r="Q166" s="134"/>
      <c r="R166" s="134"/>
      <c r="S166" s="134"/>
      <c r="T166" s="134"/>
    </row>
    <row customHeight="1" ht="15.75">
      <c r="A167" s="586"/>
      <c r="B167" s="586"/>
      <c r="C167" s="586"/>
      <c r="D167" s="586"/>
      <c r="E167" s="136"/>
      <c r="F167" s="586"/>
      <c r="G167" s="586"/>
      <c r="H167" s="136"/>
      <c r="I167" s="586"/>
      <c r="J167" s="136"/>
      <c r="K167" s="136"/>
      <c r="L167" s="133"/>
      <c r="M167" s="134"/>
      <c r="N167" s="134"/>
      <c r="O167" s="134"/>
      <c r="P167" s="134"/>
      <c r="Q167" s="134"/>
      <c r="R167" s="134"/>
      <c r="S167" s="134"/>
      <c r="T167" s="134"/>
    </row>
    <row customHeight="1" ht="14.25">
      <c r="A168" s="586"/>
      <c r="B168" s="586"/>
      <c r="C168" s="586"/>
      <c r="D168" s="586"/>
      <c r="E168" s="137"/>
      <c r="F168" s="586"/>
      <c r="G168" s="586"/>
      <c r="H168" s="137"/>
      <c r="I168" s="586"/>
      <c r="J168" s="137"/>
      <c r="K168" s="137"/>
      <c r="L168" s="133"/>
      <c r="M168" s="134"/>
      <c r="N168" s="134"/>
      <c r="O168" s="134"/>
      <c r="P168" s="134"/>
      <c r="Q168" s="134"/>
      <c r="R168" s="134"/>
      <c r="S168" s="134"/>
      <c r="T168" s="134"/>
    </row>
    <row customHeight="1" ht="14.25">
      <c r="A169" s="586"/>
      <c r="B169" s="586"/>
      <c r="C169" s="586"/>
      <c r="D169" s="586"/>
      <c r="E169" s="137"/>
      <c r="F169" s="586"/>
      <c r="G169" s="586"/>
      <c r="H169" s="137"/>
      <c r="I169" s="586"/>
      <c r="J169" s="137"/>
      <c r="K169" s="137"/>
      <c r="L169" s="133"/>
      <c r="M169" s="134"/>
      <c r="N169" s="134"/>
      <c r="O169" s="134"/>
      <c r="P169" s="134"/>
      <c r="Q169" s="134"/>
      <c r="R169" s="134"/>
      <c r="S169" s="134"/>
      <c r="T169" s="134"/>
    </row>
    <row customHeight="1" ht="14.25">
      <c r="A170" s="586"/>
      <c r="B170" s="586"/>
      <c r="C170" s="586"/>
      <c r="D170" s="586"/>
      <c r="E170" s="137"/>
      <c r="F170" s="586"/>
      <c r="G170" s="586"/>
      <c r="H170" s="137"/>
      <c r="I170" s="586"/>
      <c r="J170" s="137"/>
      <c r="K170" s="137"/>
      <c r="L170" s="133"/>
      <c r="M170" s="134"/>
      <c r="N170" s="134"/>
      <c r="O170" s="134"/>
      <c r="P170" s="134"/>
      <c r="Q170" s="134"/>
      <c r="R170" s="134"/>
      <c r="S170" s="134"/>
      <c r="T170" s="134"/>
    </row>
    <row customHeight="1" ht="14.25">
      <c r="A171" s="586"/>
      <c r="B171" s="586"/>
      <c r="C171" s="586"/>
      <c r="D171" s="586"/>
      <c r="E171" s="137"/>
      <c r="F171" s="586"/>
      <c r="G171" s="586"/>
      <c r="H171" s="137"/>
      <c r="I171" s="586"/>
      <c r="J171" s="137"/>
      <c r="K171" s="137"/>
      <c r="L171" s="586"/>
      <c r="M171" s="521"/>
      <c r="N171" s="521"/>
      <c r="O171" s="521"/>
      <c r="P171" s="521"/>
      <c r="Q171" s="521"/>
      <c r="R171" s="521"/>
      <c r="S171" s="521"/>
      <c r="T171" s="521"/>
    </row>
    <row customHeight="1" ht="14.25">
      <c r="A172" s="586"/>
      <c r="B172" s="586"/>
      <c r="C172" s="586"/>
      <c r="D172" s="586"/>
      <c r="E172" s="137"/>
      <c r="F172" s="586"/>
      <c r="G172" s="586"/>
      <c r="H172" s="137"/>
      <c r="I172" s="586"/>
      <c r="J172" s="137"/>
      <c r="K172" s="137"/>
      <c r="L172" s="586"/>
      <c r="M172" s="521"/>
      <c r="N172" s="521"/>
      <c r="O172" s="521"/>
      <c r="P172" s="521"/>
      <c r="Q172" s="521"/>
      <c r="R172" s="521"/>
      <c r="S172" s="521"/>
      <c r="T172" s="521"/>
    </row>
    <row customHeight="1" ht="14.25">
      <c r="A173" s="586"/>
      <c r="B173" s="586"/>
      <c r="C173" s="586"/>
      <c r="D173" s="586"/>
      <c r="E173" s="136"/>
      <c r="F173" s="586"/>
      <c r="G173" s="586"/>
      <c r="H173" s="136"/>
      <c r="I173" s="586"/>
      <c r="J173" s="136"/>
      <c r="K173" s="136"/>
      <c r="L173" s="586"/>
      <c r="M173" s="521"/>
      <c r="N173" s="521"/>
      <c r="O173" s="521"/>
      <c r="P173" s="521"/>
      <c r="Q173" s="521"/>
      <c r="R173" s="521"/>
      <c r="S173" s="521"/>
      <c r="T173" s="521"/>
    </row>
    <row customHeight="1" ht="14.25">
      <c r="A174" s="586"/>
      <c r="B174" s="586"/>
      <c r="C174" s="586"/>
      <c r="D174" s="586"/>
      <c r="E174" s="137"/>
      <c r="F174" s="586"/>
      <c r="G174" s="586"/>
      <c r="H174" s="137"/>
      <c r="I174" s="586"/>
      <c r="J174" s="137"/>
      <c r="K174" s="137"/>
      <c r="L174" s="586"/>
      <c r="M174" s="521"/>
      <c r="N174" s="521"/>
      <c r="O174" s="521"/>
      <c r="P174" s="521"/>
      <c r="Q174" s="521"/>
      <c r="R174" s="521"/>
      <c r="S174" s="521"/>
      <c r="T174" s="521"/>
    </row>
    <row customHeight="1" ht="14.25">
      <c r="A175" s="586"/>
      <c r="B175" s="586"/>
      <c r="C175" s="586"/>
      <c r="D175" s="586"/>
      <c r="E175" s="137"/>
      <c r="F175" s="586"/>
      <c r="G175" s="586"/>
      <c r="H175" s="137"/>
      <c r="I175" s="586"/>
      <c r="J175" s="137"/>
      <c r="K175" s="137"/>
      <c r="L175" s="586"/>
      <c r="M175" s="521"/>
      <c r="N175" s="521"/>
      <c r="O175" s="521"/>
      <c r="P175" s="521"/>
      <c r="Q175" s="521"/>
      <c r="R175" s="521"/>
      <c r="S175" s="521"/>
      <c r="T175" s="521"/>
    </row>
    <row customHeight="1" ht="14.25">
      <c r="A176" s="586"/>
      <c r="B176" s="586"/>
      <c r="C176" s="586"/>
      <c r="D176" s="586"/>
      <c r="E176" s="137"/>
      <c r="F176" s="586"/>
      <c r="G176" s="586"/>
      <c r="H176" s="137"/>
      <c r="I176" s="586"/>
      <c r="J176" s="137"/>
      <c r="K176" s="137"/>
      <c r="L176" s="586"/>
      <c r="M176" s="521"/>
      <c r="N176" s="521"/>
      <c r="O176" s="521"/>
      <c r="P176" s="521"/>
      <c r="Q176" s="521"/>
      <c r="R176" s="521"/>
      <c r="S176" s="521"/>
      <c r="T176" s="521"/>
    </row>
    <row customHeight="1" ht="14.25">
      <c r="A177" s="586"/>
      <c r="B177" s="586"/>
      <c r="C177" s="586"/>
      <c r="D177" s="586"/>
      <c r="E177" s="137"/>
      <c r="F177" s="586"/>
      <c r="G177" s="586"/>
      <c r="H177" s="137"/>
      <c r="I177" s="586"/>
      <c r="J177" s="137"/>
      <c r="K177" s="137"/>
      <c r="L177" s="586"/>
      <c r="M177" s="521"/>
      <c r="N177" s="521"/>
      <c r="O177" s="521"/>
      <c r="P177" s="521"/>
      <c r="Q177" s="521"/>
      <c r="R177" s="521"/>
      <c r="S177" s="521"/>
      <c r="T177" s="521"/>
    </row>
    <row customHeight="1" ht="14.25">
      <c r="A178" s="586"/>
      <c r="B178" s="586"/>
      <c r="C178" s="586"/>
      <c r="D178" s="586"/>
      <c r="E178" s="119"/>
      <c r="F178" s="586"/>
      <c r="G178" s="586"/>
      <c r="H178" s="133"/>
      <c r="I178" s="586"/>
      <c r="J178" s="133"/>
      <c r="K178" s="133"/>
      <c r="L178" s="586"/>
      <c r="M178" s="521"/>
      <c r="N178" s="521"/>
      <c r="O178" s="521"/>
      <c r="P178" s="521"/>
      <c r="Q178" s="521"/>
      <c r="R178" s="521"/>
      <c r="S178" s="521"/>
      <c r="T178" s="521"/>
    </row>
    <row customHeight="1" ht="14.25">
      <c r="A179" s="586"/>
      <c r="B179" s="586"/>
      <c r="C179" s="586"/>
      <c r="D179" s="586"/>
      <c r="E179" s="136"/>
      <c r="F179" s="586"/>
      <c r="G179" s="586"/>
      <c r="H179" s="136"/>
      <c r="I179" s="586"/>
      <c r="J179" s="136"/>
      <c r="K179" s="136"/>
      <c r="L179" s="586"/>
      <c r="M179" s="521"/>
      <c r="N179" s="521"/>
      <c r="O179" s="521"/>
      <c r="P179" s="521"/>
      <c r="Q179" s="521"/>
      <c r="R179" s="521"/>
      <c r="S179" s="521"/>
      <c r="T179" s="521"/>
    </row>
    <row customHeight="1" ht="14.25">
      <c r="A180" s="586"/>
      <c r="B180" s="586"/>
      <c r="C180" s="586"/>
      <c r="D180" s="586"/>
      <c r="E180" s="136"/>
      <c r="F180" s="586"/>
      <c r="G180" s="586"/>
      <c r="H180" s="136"/>
      <c r="I180" s="586"/>
      <c r="J180" s="136"/>
      <c r="K180" s="136"/>
      <c r="L180" s="586"/>
      <c r="M180" s="521"/>
      <c r="N180" s="521"/>
      <c r="O180" s="521"/>
      <c r="P180" s="521"/>
      <c r="Q180" s="521"/>
      <c r="R180" s="521"/>
      <c r="S180" s="521"/>
      <c r="T180" s="521"/>
    </row>
    <row customHeight="1" ht="14.25">
      <c r="A181" s="586"/>
      <c r="B181" s="586"/>
      <c r="C181" s="586"/>
      <c r="D181" s="586"/>
      <c r="E181" s="136"/>
      <c r="F181" s="835"/>
      <c r="G181" s="835"/>
      <c r="H181" s="136"/>
      <c r="I181" s="586"/>
      <c r="J181" s="136"/>
      <c r="K181" s="136"/>
      <c r="L181" s="586"/>
      <c r="M181" s="521"/>
      <c r="N181" s="521"/>
      <c r="O181" s="521"/>
      <c r="P181" s="521"/>
      <c r="Q181" s="521"/>
      <c r="R181" s="521"/>
      <c r="S181" s="521"/>
      <c r="T181" s="521"/>
    </row>
    <row customHeight="1" ht="14.25">
      <c r="A182" s="586"/>
      <c r="B182" s="586"/>
      <c r="C182" s="586"/>
      <c r="D182" s="586"/>
      <c r="E182" s="136"/>
      <c r="F182" s="835"/>
      <c r="G182" s="835"/>
      <c r="H182" s="136"/>
      <c r="I182" s="586"/>
      <c r="J182" s="136"/>
      <c r="K182" s="136"/>
      <c r="L182" s="586"/>
      <c r="M182" s="521"/>
      <c r="N182" s="521"/>
      <c r="O182" s="521"/>
      <c r="P182" s="521"/>
      <c r="Q182" s="521"/>
      <c r="R182" s="521"/>
      <c r="S182" s="521"/>
      <c r="T182" s="521"/>
    </row>
    <row customHeight="1" ht="14.25">
      <c r="A183" s="586"/>
      <c r="B183" s="586"/>
      <c r="C183" s="586"/>
      <c r="D183" s="586"/>
      <c r="E183" s="136"/>
      <c r="F183" s="835"/>
      <c r="G183" s="835"/>
      <c r="H183" s="136"/>
      <c r="I183" s="586"/>
      <c r="J183" s="136"/>
      <c r="K183" s="136"/>
      <c r="L183" s="586"/>
      <c r="M183" s="521"/>
      <c r="N183" s="521"/>
      <c r="O183" s="521"/>
      <c r="P183" s="521"/>
      <c r="Q183" s="521"/>
      <c r="R183" s="521"/>
      <c r="S183" s="521"/>
      <c r="T183" s="521"/>
    </row>
    <row customHeight="1" ht="14.25">
      <c r="A184" s="586"/>
      <c r="B184" s="586"/>
      <c r="C184" s="586"/>
      <c r="D184" s="586"/>
      <c r="E184" s="136"/>
      <c r="F184" s="835"/>
      <c r="G184" s="835"/>
      <c r="H184" s="136"/>
      <c r="I184" s="586"/>
      <c r="J184" s="136"/>
      <c r="K184" s="136"/>
      <c r="L184" s="586"/>
      <c r="M184" s="521"/>
      <c r="N184" s="521"/>
      <c r="O184" s="521"/>
      <c r="P184" s="521"/>
      <c r="Q184" s="521"/>
      <c r="R184" s="521"/>
      <c r="S184" s="521"/>
      <c r="T184" s="521"/>
    </row>
    <row customHeight="1" ht="14.25">
      <c r="A185" s="586"/>
      <c r="B185" s="586"/>
      <c r="C185" s="586"/>
      <c r="D185" s="586"/>
      <c r="E185" s="136"/>
      <c r="F185" s="586"/>
      <c r="G185" s="586"/>
      <c r="H185" s="136"/>
      <c r="I185" s="586"/>
      <c r="J185" s="136"/>
      <c r="K185" s="136"/>
      <c r="L185" s="586"/>
      <c r="M185" s="521"/>
      <c r="N185" s="521"/>
      <c r="O185" s="521"/>
      <c r="P185" s="521"/>
      <c r="Q185" s="521"/>
      <c r="R185" s="521"/>
      <c r="S185" s="521"/>
      <c r="T185" s="521"/>
    </row>
    <row customHeight="1" ht="14.25">
      <c r="A186" s="586"/>
      <c r="B186" s="586"/>
      <c r="C186" s="586"/>
      <c r="D186" s="586"/>
      <c r="E186" s="136"/>
      <c r="F186" s="586"/>
      <c r="G186" s="586"/>
      <c r="H186" s="136"/>
      <c r="I186" s="586"/>
      <c r="J186" s="136"/>
      <c r="K186" s="136"/>
      <c r="L186" s="586"/>
      <c r="M186" s="521"/>
      <c r="N186" s="521"/>
      <c r="O186" s="521"/>
      <c r="P186" s="521"/>
      <c r="Q186" s="521"/>
      <c r="R186" s="521"/>
      <c r="S186" s="521"/>
      <c r="T186" s="521"/>
    </row>
    <row customHeight="1" ht="14.25">
      <c r="A187" s="586"/>
      <c r="B187" s="586"/>
      <c r="C187" s="586"/>
      <c r="D187" s="586"/>
      <c r="E187" s="136"/>
      <c r="F187" s="586"/>
      <c r="G187" s="586"/>
      <c r="H187" s="136"/>
      <c r="I187" s="586"/>
      <c r="J187" s="136"/>
      <c r="K187" s="136"/>
      <c r="L187" s="586"/>
      <c r="M187" s="521"/>
      <c r="N187" s="521"/>
      <c r="O187" s="521"/>
      <c r="P187" s="521"/>
      <c r="Q187" s="521"/>
      <c r="R187" s="521"/>
      <c r="S187" s="521"/>
      <c r="T187" s="521"/>
    </row>
    <row customHeight="1" ht="14.25">
      <c r="A188" s="586"/>
      <c r="B188" s="586"/>
      <c r="C188" s="586"/>
      <c r="D188" s="586"/>
      <c r="E188" s="118"/>
      <c r="F188" s="586"/>
      <c r="G188" s="586"/>
      <c r="H188" s="118"/>
      <c r="I188" s="586"/>
      <c r="J188" s="118"/>
      <c r="K188" s="118"/>
      <c r="L188" s="586"/>
      <c r="M188" s="521"/>
      <c r="N188" s="521"/>
      <c r="O188" s="521"/>
      <c r="P188" s="521"/>
      <c r="Q188" s="521"/>
      <c r="R188" s="521"/>
      <c r="S188" s="521"/>
      <c r="T188" s="521"/>
    </row>
    <row customHeight="1" ht="14.25">
      <c r="A189" s="586"/>
      <c r="B189" s="586"/>
      <c r="C189" s="586"/>
      <c r="D189" s="586"/>
      <c r="E189" s="119"/>
      <c r="F189" s="586"/>
      <c r="G189" s="586"/>
      <c r="H189" s="133"/>
      <c r="I189" s="586"/>
      <c r="J189" s="133"/>
      <c r="K189" s="133"/>
      <c r="L189" s="586"/>
      <c r="M189" s="521"/>
      <c r="N189" s="521"/>
      <c r="O189" s="521"/>
      <c r="P189" s="521"/>
      <c r="Q189" s="521"/>
      <c r="R189" s="521"/>
      <c r="S189" s="521"/>
      <c r="T189" s="521"/>
    </row>
    <row customHeight="1" ht="14.25">
      <c r="A190" s="586"/>
      <c r="B190" s="586"/>
      <c r="C190" s="586"/>
      <c r="D190" s="586"/>
      <c r="E190" s="136"/>
      <c r="F190" s="586"/>
      <c r="G190" s="586"/>
      <c r="H190" s="136"/>
      <c r="I190" s="586"/>
      <c r="J190" s="136"/>
      <c r="K190" s="136"/>
      <c r="L190" s="586"/>
      <c r="M190" s="521"/>
      <c r="N190" s="521"/>
      <c r="O190" s="521"/>
      <c r="P190" s="521"/>
      <c r="Q190" s="521"/>
      <c r="R190" s="521"/>
      <c r="S190" s="521"/>
      <c r="T190" s="521"/>
    </row>
    <row customHeight="1" ht="14.25">
      <c r="A191" s="586"/>
      <c r="B191" s="586"/>
      <c r="C191" s="586"/>
      <c r="D191" s="586"/>
      <c r="E191" s="136"/>
      <c r="F191" s="586"/>
      <c r="G191" s="586"/>
      <c r="H191" s="136"/>
      <c r="I191" s="586"/>
      <c r="J191" s="136"/>
      <c r="K191" s="136"/>
      <c r="L191" s="586"/>
      <c r="M191" s="521"/>
      <c r="N191" s="521"/>
      <c r="O191" s="521"/>
      <c r="P191" s="521"/>
      <c r="Q191" s="521"/>
      <c r="R191" s="521"/>
      <c r="S191" s="521"/>
      <c r="T191" s="521"/>
    </row>
    <row customHeight="1" ht="14.25">
      <c r="A192" s="586"/>
      <c r="B192" s="586"/>
      <c r="C192" s="586"/>
      <c r="D192" s="586"/>
      <c r="E192" s="136"/>
      <c r="F192" s="586"/>
      <c r="G192" s="586"/>
      <c r="H192" s="136"/>
      <c r="I192" s="586"/>
      <c r="J192" s="136"/>
      <c r="K192" s="136"/>
      <c r="L192" s="586"/>
      <c r="M192" s="521"/>
      <c r="N192" s="521"/>
      <c r="O192" s="521"/>
      <c r="P192" s="521"/>
      <c r="Q192" s="521"/>
      <c r="R192" s="521"/>
      <c r="S192" s="521"/>
      <c r="T192" s="521"/>
    </row>
    <row customHeight="1" ht="14.25">
      <c r="A193" s="586"/>
      <c r="B193" s="586"/>
      <c r="C193" s="586"/>
      <c r="D193" s="586"/>
      <c r="E193" s="118"/>
      <c r="F193" s="586"/>
      <c r="G193" s="586"/>
      <c r="H193" s="118"/>
      <c r="I193" s="586"/>
      <c r="J193" s="118"/>
      <c r="K193" s="118"/>
      <c r="L193" s="586"/>
      <c r="M193" s="521"/>
      <c r="N193" s="521"/>
      <c r="O193" s="521"/>
      <c r="P193" s="521"/>
      <c r="Q193" s="521"/>
      <c r="R193" s="521"/>
      <c r="S193" s="521"/>
      <c r="T193" s="521"/>
    </row>
    <row customHeight="1" ht="14.25">
      <c r="A194" s="586"/>
      <c r="B194" s="586"/>
      <c r="C194" s="586"/>
      <c r="D194" s="586"/>
      <c r="E194" s="118"/>
      <c r="F194" s="586"/>
      <c r="G194" s="586"/>
      <c r="H194" s="118"/>
      <c r="I194" s="586"/>
      <c r="J194" s="118"/>
      <c r="K194" s="118"/>
      <c r="L194" s="586"/>
      <c r="M194" s="521"/>
      <c r="N194" s="521"/>
      <c r="O194" s="521"/>
      <c r="P194" s="521"/>
      <c r="Q194" s="521"/>
      <c r="R194" s="521"/>
      <c r="S194" s="521"/>
      <c r="T194" s="521"/>
    </row>
    <row customHeight="1" ht="14.25">
      <c r="A195" s="586"/>
      <c r="B195" s="586"/>
      <c r="C195" s="586"/>
      <c r="D195" s="586"/>
      <c r="E195" s="118"/>
      <c r="F195" s="586"/>
      <c r="G195" s="586"/>
      <c r="H195" s="118"/>
      <c r="I195" s="586"/>
      <c r="J195" s="118"/>
      <c r="K195" s="118"/>
      <c r="L195" s="586"/>
      <c r="M195" s="521"/>
      <c r="N195" s="521"/>
      <c r="O195" s="521"/>
      <c r="P195" s="521"/>
      <c r="Q195" s="521"/>
      <c r="R195" s="521"/>
      <c r="S195" s="521"/>
      <c r="T195" s="521"/>
    </row>
    <row customHeight="1" ht="14.25">
      <c r="A196" s="586"/>
      <c r="B196" s="586"/>
      <c r="C196" s="586"/>
      <c r="D196" s="586"/>
      <c r="E196" s="119"/>
      <c r="F196" s="586"/>
      <c r="G196" s="586"/>
      <c r="H196" s="133"/>
      <c r="I196" s="586"/>
      <c r="J196" s="133"/>
      <c r="K196" s="133"/>
      <c r="L196" s="586"/>
      <c r="M196" s="521"/>
      <c r="N196" s="521"/>
      <c r="O196" s="521"/>
      <c r="P196" s="521"/>
      <c r="Q196" s="521"/>
      <c r="R196" s="521"/>
      <c r="S196" s="521"/>
      <c r="T196" s="521"/>
    </row>
    <row customHeight="1" ht="14.25">
      <c r="A197" s="586"/>
      <c r="B197" s="586"/>
      <c r="C197" s="586"/>
      <c r="D197" s="586"/>
      <c r="E197" s="136"/>
      <c r="F197" s="586"/>
      <c r="G197" s="586"/>
      <c r="H197" s="136"/>
      <c r="I197" s="586"/>
      <c r="J197" s="136"/>
      <c r="K197" s="136"/>
      <c r="L197" s="586"/>
      <c r="M197" s="521"/>
      <c r="N197" s="521"/>
      <c r="O197" s="521"/>
      <c r="P197" s="521"/>
      <c r="Q197" s="521"/>
      <c r="R197" s="521"/>
      <c r="S197" s="521"/>
      <c r="T197" s="521"/>
    </row>
    <row customHeight="1" ht="14.25">
      <c r="A198" s="586"/>
      <c r="B198" s="586"/>
      <c r="C198" s="586"/>
      <c r="D198" s="586"/>
      <c r="E198" s="136"/>
      <c r="F198" s="586"/>
      <c r="G198" s="586"/>
      <c r="H198" s="136"/>
      <c r="I198" s="586"/>
      <c r="J198" s="136"/>
      <c r="K198" s="136"/>
      <c r="L198" s="586"/>
      <c r="M198" s="521"/>
      <c r="N198" s="521"/>
      <c r="O198" s="521"/>
      <c r="P198" s="521"/>
      <c r="Q198" s="521"/>
      <c r="R198" s="521"/>
      <c r="S198" s="521"/>
      <c r="T198" s="521"/>
    </row>
    <row customHeight="1" ht="14.25">
      <c r="A199" s="586"/>
      <c r="B199" s="586"/>
      <c r="C199" s="586"/>
      <c r="D199" s="586"/>
      <c r="E199" s="136"/>
      <c r="F199" s="586"/>
      <c r="G199" s="586"/>
      <c r="H199" s="136"/>
      <c r="I199" s="586"/>
      <c r="J199" s="136"/>
      <c r="K199" s="136"/>
      <c r="L199" s="586"/>
      <c r="M199" s="521"/>
      <c r="N199" s="521"/>
      <c r="O199" s="521"/>
      <c r="P199" s="521"/>
      <c r="Q199" s="521"/>
      <c r="R199" s="521"/>
      <c r="S199" s="521"/>
      <c r="T199" s="521"/>
    </row>
    <row customHeight="1" ht="14.25">
      <c r="A200" s="586"/>
      <c r="B200" s="586"/>
      <c r="C200" s="586"/>
      <c r="D200" s="586"/>
      <c r="E200" s="136"/>
      <c r="F200" s="586"/>
      <c r="G200" s="586"/>
      <c r="H200" s="136"/>
      <c r="I200" s="586"/>
      <c r="J200" s="136"/>
      <c r="K200" s="136"/>
      <c r="L200" s="586"/>
      <c r="M200" s="521"/>
      <c r="N200" s="521"/>
      <c r="O200" s="521"/>
      <c r="P200" s="521"/>
      <c r="Q200" s="521"/>
      <c r="R200" s="521"/>
      <c r="S200" s="521"/>
      <c r="T200" s="521"/>
    </row>
    <row customHeight="1" ht="14.25">
      <c r="A201" s="586"/>
      <c r="B201" s="586"/>
      <c r="C201" s="586"/>
      <c r="D201" s="586"/>
      <c r="E201" s="136"/>
      <c r="F201" s="586"/>
      <c r="G201" s="586"/>
      <c r="H201" s="136"/>
      <c r="I201" s="586"/>
      <c r="J201" s="136"/>
      <c r="K201" s="136"/>
      <c r="L201" s="586"/>
      <c r="M201" s="521"/>
      <c r="N201" s="521"/>
      <c r="O201" s="521"/>
      <c r="P201" s="521"/>
      <c r="Q201" s="521"/>
      <c r="R201" s="521"/>
      <c r="S201" s="521"/>
      <c r="T201" s="521"/>
    </row>
    <row customHeight="1" ht="14.25">
      <c r="A202" s="586"/>
      <c r="B202" s="586"/>
      <c r="C202" s="586"/>
      <c r="D202" s="586"/>
      <c r="E202" s="137"/>
      <c r="F202" s="586"/>
      <c r="G202" s="586"/>
      <c r="H202" s="137"/>
      <c r="I202" s="586"/>
      <c r="J202" s="137"/>
      <c r="K202" s="137"/>
      <c r="L202" s="586"/>
      <c r="M202" s="521"/>
      <c r="N202" s="521"/>
      <c r="O202" s="521"/>
      <c r="P202" s="521"/>
      <c r="Q202" s="521"/>
      <c r="R202" s="521"/>
      <c r="S202" s="521"/>
      <c r="T202" s="521"/>
    </row>
    <row customHeight="1" ht="14.25">
      <c r="A203" s="586"/>
      <c r="B203" s="586"/>
      <c r="C203" s="586"/>
      <c r="D203" s="586"/>
      <c r="E203" s="137"/>
      <c r="F203" s="586"/>
      <c r="G203" s="586"/>
      <c r="H203" s="137"/>
      <c r="I203" s="586"/>
      <c r="J203" s="137"/>
      <c r="K203" s="137"/>
      <c r="L203" s="586"/>
      <c r="M203" s="521"/>
      <c r="N203" s="521"/>
      <c r="O203" s="521"/>
      <c r="P203" s="521"/>
      <c r="Q203" s="521"/>
      <c r="R203" s="521"/>
      <c r="S203" s="521"/>
      <c r="T203" s="521"/>
    </row>
    <row customHeight="1" ht="14.25">
      <c r="A204" s="586"/>
      <c r="B204" s="586"/>
      <c r="C204" s="586"/>
      <c r="D204" s="586"/>
      <c r="E204" s="119"/>
      <c r="F204" s="586"/>
      <c r="G204" s="586"/>
      <c r="H204" s="133"/>
      <c r="I204" s="586"/>
      <c r="J204" s="133"/>
      <c r="K204" s="133"/>
      <c r="L204" s="586"/>
      <c r="M204" s="521"/>
      <c r="N204" s="521"/>
      <c r="O204" s="521"/>
      <c r="P204" s="521"/>
      <c r="Q204" s="521"/>
      <c r="R204" s="521"/>
      <c r="S204" s="521"/>
      <c r="T204" s="521"/>
    </row>
    <row customHeight="1" ht="14.25">
      <c r="A205" s="586"/>
      <c r="B205" s="586"/>
      <c r="C205" s="586"/>
      <c r="D205" s="586"/>
      <c r="E205" s="119"/>
      <c r="F205" s="586"/>
      <c r="G205" s="586"/>
      <c r="H205" s="133"/>
      <c r="I205" s="586"/>
      <c r="J205" s="133"/>
      <c r="K205" s="133"/>
      <c r="L205" s="586"/>
      <c r="M205" s="521"/>
      <c r="N205" s="521"/>
      <c r="O205" s="521"/>
      <c r="P205" s="521"/>
      <c r="Q205" s="521"/>
      <c r="R205" s="521"/>
      <c r="S205" s="521"/>
      <c r="T205" s="521"/>
    </row>
    <row customHeight="1" ht="14.25">
      <c r="A206" s="586"/>
      <c r="B206" s="586"/>
      <c r="C206" s="586"/>
      <c r="D206" s="586"/>
      <c r="E206" s="119"/>
      <c r="F206" s="586"/>
      <c r="G206" s="586"/>
      <c r="H206" s="133"/>
      <c r="I206" s="586"/>
      <c r="J206" s="133"/>
      <c r="K206" s="133"/>
      <c r="L206" s="586"/>
      <c r="M206" s="521"/>
      <c r="N206" s="521"/>
      <c r="O206" s="521"/>
      <c r="P206" s="521"/>
      <c r="Q206" s="521"/>
      <c r="R206" s="521"/>
      <c r="S206" s="521"/>
      <c r="T206" s="521"/>
    </row>
    <row customHeight="1" ht="14.25">
      <c r="A207" s="586"/>
      <c r="B207" s="586"/>
      <c r="C207" s="586"/>
      <c r="D207" s="586"/>
      <c r="E207" s="119"/>
      <c r="F207" s="586"/>
      <c r="G207" s="586"/>
      <c r="H207" s="133"/>
      <c r="I207" s="586"/>
      <c r="J207" s="133"/>
      <c r="K207" s="133"/>
      <c r="L207" s="586"/>
      <c r="M207" s="521"/>
      <c r="N207" s="521"/>
      <c r="O207" s="521"/>
      <c r="P207" s="521"/>
      <c r="Q207" s="521"/>
      <c r="R207" s="521"/>
      <c r="S207" s="521"/>
      <c r="T207" s="521"/>
    </row>
    <row customHeight="1" ht="14.25">
      <c r="A208" s="586"/>
      <c r="B208" s="586"/>
      <c r="C208" s="586"/>
      <c r="D208" s="586"/>
      <c r="E208" s="119"/>
      <c r="F208" s="586"/>
      <c r="G208" s="586"/>
      <c r="H208" s="133"/>
      <c r="I208" s="586"/>
      <c r="J208" s="133"/>
      <c r="K208" s="133"/>
      <c r="L208" s="586"/>
      <c r="M208" s="521"/>
      <c r="N208" s="521"/>
      <c r="O208" s="521"/>
      <c r="P208" s="521"/>
      <c r="Q208" s="521"/>
      <c r="R208" s="521"/>
      <c r="S208" s="521"/>
      <c r="T208" s="521"/>
    </row>
    <row customHeight="1" ht="14.25">
      <c r="A209" s="586"/>
      <c r="B209" s="586"/>
      <c r="C209" s="586"/>
      <c r="D209" s="586"/>
      <c r="E209" s="119"/>
      <c r="F209" s="586"/>
      <c r="G209" s="586"/>
      <c r="H209" s="133"/>
      <c r="I209" s="586"/>
      <c r="J209" s="133"/>
      <c r="K209" s="133"/>
      <c r="L209" s="586"/>
      <c r="M209" s="521"/>
      <c r="N209" s="521"/>
      <c r="O209" s="521"/>
      <c r="P209" s="521"/>
      <c r="Q209" s="521"/>
      <c r="R209" s="521"/>
      <c r="S209" s="521"/>
      <c r="T209" s="521"/>
    </row>
    <row customHeight="1" ht="14.25">
      <c r="A210" s="586"/>
      <c r="B210" s="586"/>
      <c r="C210" s="586"/>
      <c r="D210" s="586"/>
      <c r="E210" s="119"/>
      <c r="F210" s="586"/>
      <c r="G210" s="586"/>
      <c r="H210" s="133"/>
      <c r="I210" s="586"/>
      <c r="J210" s="133"/>
      <c r="K210" s="133"/>
      <c r="L210" s="586"/>
      <c r="M210" s="521"/>
      <c r="N210" s="521"/>
      <c r="O210" s="521"/>
      <c r="P210" s="521"/>
      <c r="Q210" s="521"/>
      <c r="R210" s="521"/>
      <c r="S210" s="521"/>
      <c r="T210" s="521"/>
    </row>
    <row customHeight="1" ht="14.25">
      <c r="A211" s="586"/>
      <c r="B211" s="586"/>
      <c r="C211" s="586"/>
      <c r="D211" s="586"/>
      <c r="E211" s="119"/>
      <c r="F211" s="586"/>
      <c r="G211" s="586"/>
      <c r="H211" s="133"/>
      <c r="I211" s="586"/>
      <c r="J211" s="133"/>
      <c r="K211" s="133"/>
      <c r="L211" s="586"/>
      <c r="M211" s="521"/>
      <c r="N211" s="521"/>
      <c r="O211" s="521"/>
      <c r="P211" s="521"/>
      <c r="Q211" s="521"/>
      <c r="R211" s="521"/>
      <c r="S211" s="521"/>
      <c r="T211" s="521"/>
    </row>
    <row customHeight="1" ht="14.25">
      <c r="A212" s="586"/>
      <c r="B212" s="586"/>
      <c r="C212" s="586"/>
      <c r="D212" s="586"/>
      <c r="E212" s="119"/>
      <c r="F212" s="586"/>
      <c r="G212" s="586"/>
      <c r="H212" s="133"/>
      <c r="I212" s="586"/>
      <c r="J212" s="133"/>
      <c r="K212" s="133"/>
      <c r="L212" s="586"/>
      <c r="M212" s="521"/>
      <c r="N212" s="521"/>
      <c r="O212" s="521"/>
      <c r="P212" s="521"/>
      <c r="Q212" s="521"/>
      <c r="R212" s="521"/>
      <c r="S212" s="521"/>
      <c r="T212" s="521"/>
    </row>
    <row customHeight="1" ht="14.25">
      <c r="A213" s="586"/>
      <c r="B213" s="586"/>
      <c r="C213" s="586"/>
      <c r="D213" s="586"/>
      <c r="E213" s="119"/>
      <c r="F213" s="586"/>
      <c r="G213" s="586"/>
      <c r="H213" s="133"/>
      <c r="I213" s="586"/>
      <c r="J213" s="133"/>
      <c r="K213" s="133"/>
      <c r="L213" s="586"/>
      <c r="M213" s="521"/>
      <c r="N213" s="521"/>
      <c r="O213" s="521"/>
      <c r="P213" s="521"/>
      <c r="Q213" s="521"/>
      <c r="R213" s="521"/>
      <c r="S213" s="521"/>
      <c r="T213" s="521"/>
    </row>
    <row customHeight="1" ht="14.25">
      <c r="A214" s="586"/>
      <c r="B214" s="586"/>
      <c r="C214" s="586"/>
      <c r="D214" s="586"/>
      <c r="E214" s="119"/>
      <c r="F214" s="586"/>
      <c r="G214" s="586"/>
      <c r="H214" s="133"/>
      <c r="I214" s="586"/>
      <c r="J214" s="133"/>
      <c r="K214" s="133"/>
      <c r="L214" s="586"/>
      <c r="M214" s="521"/>
      <c r="N214" s="521"/>
      <c r="O214" s="521"/>
      <c r="P214" s="521"/>
      <c r="Q214" s="521"/>
      <c r="R214" s="521"/>
      <c r="S214" s="521"/>
      <c r="T214" s="521"/>
    </row>
    <row customHeight="1" ht="14.25">
      <c r="A215" s="586"/>
      <c r="B215" s="586"/>
      <c r="C215" s="586"/>
      <c r="D215" s="586"/>
      <c r="E215" s="119"/>
      <c r="F215" s="586"/>
      <c r="G215" s="586"/>
      <c r="H215" s="133"/>
      <c r="I215" s="586"/>
      <c r="J215" s="133"/>
      <c r="K215" s="133"/>
      <c r="L215" s="586"/>
      <c r="M215" s="521"/>
      <c r="N215" s="521"/>
      <c r="O215" s="521"/>
      <c r="P215" s="521"/>
      <c r="Q215" s="521"/>
      <c r="R215" s="521"/>
      <c r="S215" s="521"/>
      <c r="T215" s="521"/>
    </row>
    <row customHeight="1" ht="14.25">
      <c r="A216" s="586"/>
      <c r="B216" s="586"/>
      <c r="C216" s="586"/>
      <c r="D216" s="586"/>
      <c r="E216" s="119"/>
      <c r="F216" s="586"/>
      <c r="G216" s="586"/>
      <c r="H216" s="133"/>
      <c r="I216" s="586"/>
      <c r="J216" s="133"/>
      <c r="K216" s="133"/>
      <c r="L216" s="586"/>
      <c r="M216" s="521"/>
      <c r="N216" s="521"/>
      <c r="O216" s="521"/>
      <c r="P216" s="521"/>
      <c r="Q216" s="521"/>
      <c r="R216" s="521"/>
      <c r="S216" s="521"/>
      <c r="T216" s="521"/>
    </row>
    <row customHeight="1" ht="14.25">
      <c r="A217" s="586"/>
      <c r="B217" s="586"/>
      <c r="C217" s="586"/>
      <c r="D217" s="586"/>
      <c r="E217" s="119"/>
      <c r="F217" s="586"/>
      <c r="G217" s="586"/>
      <c r="H217" s="133"/>
      <c r="I217" s="586"/>
      <c r="J217" s="133"/>
      <c r="K217" s="133"/>
      <c r="L217" s="586"/>
      <c r="M217" s="521"/>
      <c r="N217" s="521"/>
      <c r="O217" s="521"/>
      <c r="P217" s="521"/>
      <c r="Q217" s="521"/>
      <c r="R217" s="521"/>
      <c r="S217" s="521"/>
      <c r="T217" s="521"/>
    </row>
    <row customHeight="1" ht="14.25">
      <c r="A218" s="586"/>
      <c r="B218" s="586"/>
      <c r="C218" s="586"/>
      <c r="D218" s="586"/>
      <c r="E218" s="119"/>
      <c r="F218" s="586"/>
      <c r="G218" s="586"/>
      <c r="H218" s="133"/>
      <c r="I218" s="586"/>
      <c r="J218" s="133"/>
      <c r="K218" s="133"/>
      <c r="L218" s="586"/>
      <c r="M218" s="521"/>
      <c r="N218" s="521"/>
      <c r="O218" s="521"/>
      <c r="P218" s="521"/>
      <c r="Q218" s="521"/>
      <c r="R218" s="521"/>
      <c r="S218" s="521"/>
      <c r="T218" s="521"/>
    </row>
    <row customHeight="1" ht="14.25">
      <c r="A219" s="586"/>
      <c r="B219" s="586"/>
      <c r="C219" s="586"/>
      <c r="D219" s="586"/>
      <c r="E219" s="119"/>
      <c r="F219" s="586"/>
      <c r="G219" s="586"/>
      <c r="H219" s="133"/>
      <c r="I219" s="586"/>
      <c r="J219" s="133"/>
      <c r="K219" s="133"/>
      <c r="L219" s="586"/>
      <c r="M219" s="521"/>
      <c r="N219" s="521"/>
      <c r="O219" s="521"/>
      <c r="P219" s="521"/>
      <c r="Q219" s="521"/>
      <c r="R219" s="521"/>
      <c r="S219" s="521"/>
      <c r="T219" s="521"/>
    </row>
    <row customHeight="1" ht="14.25">
      <c r="A220" s="586"/>
      <c r="B220" s="586"/>
      <c r="C220" s="586"/>
      <c r="D220" s="586"/>
      <c r="E220" s="119"/>
      <c r="F220" s="586"/>
      <c r="G220" s="586"/>
      <c r="H220" s="133"/>
      <c r="I220" s="586"/>
      <c r="J220" s="133"/>
      <c r="K220" s="133"/>
      <c r="L220" s="586"/>
      <c r="M220" s="521"/>
      <c r="N220" s="521"/>
      <c r="O220" s="521"/>
      <c r="P220" s="521"/>
      <c r="Q220" s="521"/>
      <c r="R220" s="521"/>
      <c r="S220" s="521"/>
      <c r="T220" s="521"/>
    </row>
    <row customHeight="1" ht="14.25">
      <c r="A221" s="586"/>
      <c r="B221" s="586"/>
      <c r="C221" s="586"/>
      <c r="D221" s="586"/>
      <c r="E221" s="119"/>
      <c r="F221" s="586"/>
      <c r="G221" s="586"/>
      <c r="H221" s="133"/>
      <c r="I221" s="586"/>
      <c r="J221" s="133"/>
      <c r="K221" s="133"/>
      <c r="L221" s="586"/>
      <c r="M221" s="521"/>
      <c r="N221" s="521"/>
      <c r="O221" s="521"/>
      <c r="P221" s="521"/>
      <c r="Q221" s="521"/>
      <c r="R221" s="521"/>
      <c r="S221" s="521"/>
      <c r="T221" s="521"/>
    </row>
    <row customHeight="1" ht="14.25">
      <c r="A222" s="586"/>
      <c r="B222" s="586"/>
      <c r="C222" s="586"/>
      <c r="D222" s="586"/>
      <c r="E222" s="119"/>
      <c r="F222" s="586"/>
      <c r="G222" s="586"/>
      <c r="H222" s="133"/>
      <c r="I222" s="586"/>
      <c r="J222" s="133"/>
      <c r="K222" s="133"/>
      <c r="L222" s="586"/>
      <c r="M222" s="521"/>
      <c r="N222" s="521"/>
      <c r="O222" s="521"/>
      <c r="P222" s="521"/>
      <c r="Q222" s="521"/>
      <c r="R222" s="521"/>
      <c r="S222" s="521"/>
      <c r="T222" s="521"/>
    </row>
    <row customHeight="1" ht="14.25">
      <c r="A223" s="586"/>
      <c r="B223" s="586"/>
      <c r="C223" s="586"/>
      <c r="D223" s="586"/>
      <c r="E223" s="119"/>
      <c r="F223" s="586"/>
      <c r="G223" s="586"/>
      <c r="H223" s="133"/>
      <c r="I223" s="586"/>
      <c r="J223" s="133"/>
      <c r="K223" s="133"/>
      <c r="L223" s="586"/>
      <c r="M223" s="521"/>
      <c r="N223" s="521"/>
      <c r="O223" s="521"/>
      <c r="P223" s="521"/>
      <c r="Q223" s="521"/>
      <c r="R223" s="521"/>
      <c r="S223" s="521"/>
      <c r="T223" s="521"/>
    </row>
    <row customHeight="1" ht="14.25">
      <c r="A224" s="586"/>
      <c r="B224" s="586"/>
      <c r="C224" s="586"/>
      <c r="D224" s="586"/>
      <c r="E224" s="119"/>
      <c r="F224" s="586"/>
      <c r="G224" s="586"/>
      <c r="H224" s="133"/>
      <c r="I224" s="586"/>
      <c r="J224" s="133"/>
      <c r="K224" s="133"/>
      <c r="L224" s="586"/>
      <c r="M224" s="521"/>
      <c r="N224" s="521"/>
      <c r="O224" s="521"/>
      <c r="P224" s="521"/>
      <c r="Q224" s="521"/>
      <c r="R224" s="521"/>
      <c r="S224" s="521"/>
      <c r="T224" s="521"/>
    </row>
    <row customHeight="1" ht="14.25">
      <c r="A225" s="586"/>
      <c r="B225" s="586"/>
      <c r="C225" s="586"/>
      <c r="D225" s="586"/>
      <c r="E225" s="119"/>
      <c r="F225" s="586"/>
      <c r="G225" s="586"/>
      <c r="H225" s="133"/>
      <c r="I225" s="586"/>
      <c r="J225" s="133"/>
      <c r="K225" s="133"/>
      <c r="L225" s="586"/>
      <c r="M225" s="521"/>
      <c r="N225" s="521"/>
      <c r="O225" s="521"/>
      <c r="P225" s="521"/>
      <c r="Q225" s="521"/>
      <c r="R225" s="521"/>
      <c r="S225" s="521"/>
      <c r="T225" s="521"/>
    </row>
    <row customHeight="1" ht="14.25">
      <c r="A226" s="586"/>
      <c r="B226" s="586"/>
      <c r="C226" s="586"/>
      <c r="D226" s="586"/>
      <c r="E226" s="119"/>
      <c r="F226" s="586"/>
      <c r="G226" s="586"/>
      <c r="H226" s="133"/>
      <c r="I226" s="586"/>
      <c r="J226" s="133"/>
      <c r="K226" s="133"/>
      <c r="L226" s="586"/>
      <c r="M226" s="521"/>
      <c r="N226" s="521"/>
      <c r="O226" s="521"/>
      <c r="P226" s="521"/>
      <c r="Q226" s="521"/>
      <c r="R226" s="521"/>
      <c r="S226" s="521"/>
      <c r="T226" s="521"/>
    </row>
    <row customHeight="1" ht="14.25">
      <c r="A227" s="586"/>
      <c r="B227" s="586"/>
      <c r="C227" s="586"/>
      <c r="D227" s="586"/>
      <c r="E227" s="119"/>
      <c r="F227" s="586"/>
      <c r="G227" s="586"/>
      <c r="H227" s="133"/>
      <c r="I227" s="586"/>
      <c r="J227" s="133"/>
      <c r="K227" s="133"/>
      <c r="L227" s="586"/>
      <c r="M227" s="521"/>
      <c r="N227" s="521"/>
      <c r="O227" s="521"/>
      <c r="P227" s="521"/>
      <c r="Q227" s="521"/>
      <c r="R227" s="521"/>
      <c r="S227" s="521"/>
      <c r="T227" s="521"/>
    </row>
    <row customHeight="1" ht="14.25">
      <c r="A228" s="586"/>
      <c r="B228" s="586"/>
      <c r="C228" s="586"/>
      <c r="D228" s="586"/>
      <c r="E228" s="119"/>
      <c r="F228" s="586"/>
      <c r="G228" s="586"/>
      <c r="H228" s="133"/>
      <c r="I228" s="586"/>
      <c r="J228" s="133"/>
      <c r="K228" s="133"/>
      <c r="L228" s="586"/>
      <c r="M228" s="521"/>
      <c r="N228" s="521"/>
      <c r="O228" s="521"/>
      <c r="P228" s="521"/>
      <c r="Q228" s="521"/>
      <c r="R228" s="521"/>
      <c r="S228" s="521"/>
      <c r="T228" s="521"/>
    </row>
    <row customHeight="1" ht="14.25">
      <c r="A229" s="586"/>
      <c r="B229" s="586"/>
      <c r="C229" s="586"/>
      <c r="D229" s="586"/>
      <c r="E229" s="119"/>
      <c r="F229" s="586"/>
      <c r="G229" s="586"/>
      <c r="H229" s="133"/>
      <c r="I229" s="586"/>
      <c r="J229" s="133"/>
      <c r="K229" s="133"/>
      <c r="L229" s="586"/>
      <c r="M229" s="521"/>
      <c r="N229" s="521"/>
      <c r="O229" s="521"/>
      <c r="P229" s="521"/>
      <c r="Q229" s="521"/>
      <c r="R229" s="521"/>
      <c r="S229" s="521"/>
      <c r="T229" s="521"/>
    </row>
    <row customHeight="1" ht="14.25">
      <c r="A230" s="586"/>
      <c r="B230" s="586"/>
      <c r="C230" s="586"/>
      <c r="D230" s="586"/>
      <c r="E230" s="119"/>
      <c r="F230" s="586"/>
      <c r="G230" s="586"/>
      <c r="H230" s="133"/>
      <c r="I230" s="586"/>
      <c r="J230" s="133"/>
      <c r="K230" s="133"/>
      <c r="L230" s="586"/>
      <c r="M230" s="521"/>
      <c r="N230" s="521"/>
      <c r="O230" s="521"/>
      <c r="P230" s="521"/>
      <c r="Q230" s="521"/>
      <c r="R230" s="521"/>
      <c r="S230" s="521"/>
      <c r="T230" s="521"/>
    </row>
    <row customHeight="1" ht="14.25">
      <c r="A231" s="586"/>
      <c r="B231" s="586"/>
      <c r="C231" s="586"/>
      <c r="D231" s="586"/>
      <c r="E231" s="119"/>
      <c r="F231" s="586"/>
      <c r="G231" s="586"/>
      <c r="H231" s="133"/>
      <c r="I231" s="586"/>
      <c r="J231" s="133"/>
      <c r="K231" s="133"/>
      <c r="L231" s="586"/>
      <c r="M231" s="521"/>
      <c r="N231" s="521"/>
      <c r="O231" s="521"/>
      <c r="P231" s="521"/>
      <c r="Q231" s="521"/>
      <c r="R231" s="521"/>
      <c r="S231" s="521"/>
      <c r="T231" s="521"/>
    </row>
    <row customHeight="1" ht="14.25">
      <c r="A232" s="586"/>
      <c r="B232" s="586"/>
      <c r="C232" s="586"/>
      <c r="D232" s="586"/>
      <c r="E232" s="119"/>
      <c r="F232" s="586"/>
      <c r="G232" s="586"/>
      <c r="H232" s="133"/>
      <c r="I232" s="586"/>
      <c r="J232" s="133"/>
      <c r="K232" s="133"/>
      <c r="L232" s="586"/>
      <c r="M232" s="521"/>
      <c r="N232" s="521"/>
      <c r="O232" s="521"/>
      <c r="P232" s="521"/>
      <c r="Q232" s="521"/>
      <c r="R232" s="521"/>
      <c r="S232" s="521"/>
      <c r="T232" s="521"/>
    </row>
    <row customHeight="1" ht="14.25">
      <c r="A233" s="586"/>
      <c r="B233" s="586"/>
      <c r="C233" s="586"/>
      <c r="D233" s="586"/>
      <c r="E233" s="119"/>
      <c r="F233" s="586"/>
      <c r="G233" s="586"/>
      <c r="H233" s="133"/>
      <c r="I233" s="586"/>
      <c r="J233" s="133"/>
      <c r="K233" s="133"/>
      <c r="L233" s="586"/>
      <c r="M233" s="521"/>
      <c r="N233" s="521"/>
      <c r="O233" s="521"/>
      <c r="P233" s="521"/>
      <c r="Q233" s="521"/>
      <c r="R233" s="521"/>
      <c r="S233" s="521"/>
      <c r="T233" s="521"/>
    </row>
    <row customHeight="1" ht="14.25">
      <c r="A234" s="586"/>
      <c r="B234" s="586"/>
      <c r="C234" s="586"/>
      <c r="D234" s="586"/>
      <c r="E234" s="119"/>
      <c r="F234" s="586"/>
      <c r="G234" s="586"/>
      <c r="H234" s="133"/>
      <c r="I234" s="586"/>
      <c r="J234" s="133"/>
      <c r="K234" s="133"/>
      <c r="L234" s="586"/>
      <c r="M234" s="521"/>
      <c r="N234" s="521"/>
      <c r="O234" s="521"/>
      <c r="P234" s="521"/>
      <c r="Q234" s="521"/>
      <c r="R234" s="521"/>
      <c r="S234" s="521"/>
      <c r="T234" s="521"/>
    </row>
    <row customHeight="1" ht="14.25">
      <c r="A235" s="586"/>
      <c r="B235" s="586"/>
      <c r="C235" s="586"/>
      <c r="D235" s="586"/>
      <c r="E235" s="119"/>
      <c r="F235" s="586"/>
      <c r="G235" s="586"/>
      <c r="H235" s="133"/>
      <c r="I235" s="586"/>
      <c r="J235" s="133"/>
      <c r="K235" s="133"/>
      <c r="L235" s="586"/>
      <c r="M235" s="521"/>
      <c r="N235" s="521"/>
      <c r="O235" s="521"/>
      <c r="P235" s="521"/>
      <c r="Q235" s="521"/>
      <c r="R235" s="521"/>
      <c r="S235" s="521"/>
      <c r="T235" s="521"/>
    </row>
    <row customHeight="1" ht="14.25">
      <c r="A236" s="586"/>
      <c r="B236" s="586"/>
      <c r="C236" s="586"/>
      <c r="D236" s="586"/>
      <c r="E236" s="119"/>
      <c r="F236" s="586"/>
      <c r="G236" s="586"/>
      <c r="H236" s="133"/>
      <c r="I236" s="586"/>
      <c r="J236" s="133"/>
      <c r="K236" s="133"/>
      <c r="L236" s="586"/>
      <c r="M236" s="521"/>
      <c r="N236" s="521"/>
      <c r="O236" s="521"/>
      <c r="P236" s="521"/>
      <c r="Q236" s="521"/>
      <c r="R236" s="521"/>
      <c r="S236" s="521"/>
      <c r="T236" s="521"/>
    </row>
    <row customHeight="1" ht="14.25">
      <c r="A237" s="586"/>
      <c r="B237" s="586"/>
      <c r="C237" s="586"/>
      <c r="D237" s="586"/>
      <c r="E237" s="119"/>
      <c r="F237" s="586"/>
      <c r="G237" s="586"/>
      <c r="H237" s="133"/>
      <c r="I237" s="586"/>
      <c r="J237" s="133"/>
      <c r="K237" s="133"/>
      <c r="L237" s="586"/>
      <c r="M237" s="521"/>
      <c r="N237" s="521"/>
      <c r="O237" s="521"/>
      <c r="P237" s="521"/>
      <c r="Q237" s="521"/>
      <c r="R237" s="521"/>
      <c r="S237" s="521"/>
      <c r="T237" s="521"/>
    </row>
    <row customHeight="1" ht="14.25">
      <c r="A238" s="586"/>
      <c r="B238" s="586"/>
      <c r="C238" s="586"/>
      <c r="D238" s="586"/>
      <c r="E238" s="119"/>
      <c r="F238" s="586"/>
      <c r="G238" s="586"/>
      <c r="H238" s="133"/>
      <c r="I238" s="586"/>
      <c r="J238" s="133"/>
      <c r="K238" s="133"/>
      <c r="L238" s="586"/>
      <c r="M238" s="521"/>
      <c r="N238" s="521"/>
      <c r="O238" s="521"/>
      <c r="P238" s="521"/>
      <c r="Q238" s="521"/>
      <c r="R238" s="521"/>
      <c r="S238" s="521"/>
      <c r="T238" s="521"/>
    </row>
    <row customHeight="1" ht="14.25">
      <c r="A239" s="586"/>
      <c r="B239" s="586"/>
      <c r="C239" s="586"/>
      <c r="D239" s="586"/>
      <c r="E239" s="119"/>
      <c r="F239" s="586"/>
      <c r="G239" s="586"/>
      <c r="H239" s="133"/>
      <c r="I239" s="586"/>
      <c r="J239" s="133"/>
      <c r="K239" s="133"/>
      <c r="L239" s="586"/>
      <c r="M239" s="521"/>
      <c r="N239" s="521"/>
      <c r="O239" s="521"/>
      <c r="P239" s="521"/>
      <c r="Q239" s="521"/>
      <c r="R239" s="521"/>
      <c r="S239" s="521"/>
      <c r="T239" s="521"/>
    </row>
    <row customHeight="1" ht="14.25">
      <c r="A240" s="586"/>
      <c r="B240" s="586"/>
      <c r="C240" s="586"/>
      <c r="D240" s="586"/>
      <c r="E240" s="119"/>
      <c r="F240" s="586"/>
      <c r="G240" s="586"/>
      <c r="H240" s="133"/>
      <c r="I240" s="586"/>
      <c r="J240" s="133"/>
      <c r="K240" s="133"/>
      <c r="L240" s="586"/>
      <c r="M240" s="521"/>
      <c r="N240" s="521"/>
      <c r="O240" s="521"/>
      <c r="P240" s="521"/>
      <c r="Q240" s="521"/>
      <c r="R240" s="521"/>
      <c r="S240" s="521"/>
      <c r="T240" s="521"/>
    </row>
    <row customHeight="1" ht="14.25">
      <c r="A241" s="586"/>
      <c r="B241" s="586"/>
      <c r="C241" s="586"/>
      <c r="D241" s="586"/>
      <c r="E241" s="119"/>
      <c r="F241" s="586"/>
      <c r="G241" s="586"/>
      <c r="H241" s="133"/>
      <c r="I241" s="586"/>
      <c r="J241" s="133"/>
      <c r="K241" s="133"/>
      <c r="L241" s="586"/>
      <c r="M241" s="521"/>
      <c r="N241" s="521"/>
      <c r="O241" s="521"/>
      <c r="P241" s="521"/>
      <c r="Q241" s="521"/>
      <c r="R241" s="521"/>
      <c r="S241" s="521"/>
      <c r="T241" s="521"/>
    </row>
    <row customHeight="1" ht="14.25">
      <c r="A242" s="586"/>
      <c r="B242" s="586"/>
      <c r="C242" s="586"/>
      <c r="D242" s="586"/>
      <c r="E242" s="119"/>
      <c r="F242" s="586"/>
      <c r="G242" s="586"/>
      <c r="H242" s="133"/>
      <c r="I242" s="586"/>
      <c r="J242" s="133"/>
      <c r="K242" s="133"/>
      <c r="L242" s="586"/>
      <c r="M242" s="521"/>
      <c r="N242" s="521"/>
      <c r="O242" s="521"/>
      <c r="P242" s="521"/>
      <c r="Q242" s="521"/>
      <c r="R242" s="521"/>
      <c r="S242" s="521"/>
      <c r="T242" s="521"/>
    </row>
    <row customHeight="1" ht="14.25">
      <c r="A243" s="586"/>
      <c r="B243" s="586"/>
      <c r="C243" s="586"/>
      <c r="D243" s="586"/>
      <c r="E243" s="119"/>
      <c r="F243" s="586"/>
      <c r="G243" s="586"/>
      <c r="H243" s="133"/>
      <c r="I243" s="586"/>
      <c r="J243" s="133"/>
      <c r="K243" s="133"/>
      <c r="L243" s="586"/>
      <c r="M243" s="521"/>
      <c r="N243" s="521"/>
      <c r="O243" s="521"/>
      <c r="P243" s="521"/>
      <c r="Q243" s="521"/>
      <c r="R243" s="521"/>
      <c r="S243" s="521"/>
      <c r="T243" s="521"/>
    </row>
    <row customHeight="1" ht="14.25">
      <c r="A244" s="586"/>
      <c r="B244" s="586"/>
      <c r="C244" s="586"/>
      <c r="D244" s="586"/>
      <c r="E244" s="119"/>
      <c r="F244" s="586"/>
      <c r="G244" s="586"/>
      <c r="H244" s="133"/>
      <c r="I244" s="586"/>
      <c r="J244" s="133"/>
      <c r="K244" s="133"/>
      <c r="L244" s="586"/>
      <c r="M244" s="521"/>
      <c r="N244" s="521"/>
      <c r="O244" s="521"/>
      <c r="P244" s="521"/>
      <c r="Q244" s="521"/>
      <c r="R244" s="521"/>
      <c r="S244" s="521"/>
      <c r="T244" s="521"/>
    </row>
    <row customHeight="1" ht="14.25">
      <c r="A245" s="586"/>
      <c r="B245" s="586"/>
      <c r="C245" s="586"/>
      <c r="D245" s="586"/>
      <c r="E245" s="119"/>
      <c r="F245" s="586"/>
      <c r="G245" s="586"/>
      <c r="H245" s="133"/>
      <c r="I245" s="586"/>
      <c r="J245" s="133"/>
      <c r="K245" s="133"/>
      <c r="L245" s="586"/>
      <c r="M245" s="521"/>
      <c r="N245" s="521"/>
      <c r="O245" s="521"/>
      <c r="P245" s="521"/>
      <c r="Q245" s="521"/>
      <c r="R245" s="521"/>
      <c r="S245" s="521"/>
      <c r="T245" s="521"/>
    </row>
    <row customHeight="1" ht="14.25">
      <c r="A246" s="586"/>
      <c r="B246" s="586"/>
      <c r="C246" s="586"/>
      <c r="D246" s="586"/>
      <c r="E246" s="119"/>
      <c r="F246" s="586"/>
      <c r="G246" s="586"/>
      <c r="H246" s="133"/>
      <c r="I246" s="586"/>
      <c r="J246" s="133"/>
      <c r="K246" s="133"/>
      <c r="L246" s="586"/>
      <c r="M246" s="521"/>
      <c r="N246" s="521"/>
      <c r="O246" s="521"/>
      <c r="P246" s="521"/>
      <c r="Q246" s="521"/>
      <c r="R246" s="521"/>
      <c r="S246" s="521"/>
      <c r="T246" s="521"/>
    </row>
    <row customHeight="1" ht="14.25">
      <c r="A247" s="586"/>
      <c r="B247" s="586"/>
      <c r="C247" s="586"/>
      <c r="D247" s="586"/>
      <c r="E247" s="119"/>
      <c r="F247" s="586"/>
      <c r="G247" s="586"/>
      <c r="H247" s="133"/>
      <c r="I247" s="586"/>
      <c r="J247" s="133"/>
      <c r="K247" s="133"/>
      <c r="L247" s="586"/>
      <c r="M247" s="521"/>
      <c r="N247" s="521"/>
      <c r="O247" s="521"/>
      <c r="P247" s="521"/>
      <c r="Q247" s="521"/>
      <c r="R247" s="521"/>
      <c r="S247" s="521"/>
      <c r="T247" s="521"/>
    </row>
    <row customHeight="1" ht="14.25">
      <c r="A248" s="586"/>
      <c r="B248" s="586"/>
      <c r="C248" s="586"/>
      <c r="D248" s="586"/>
      <c r="E248" s="119"/>
      <c r="F248" s="586"/>
      <c r="G248" s="586"/>
      <c r="H248" s="133"/>
      <c r="I248" s="586"/>
      <c r="J248" s="133"/>
      <c r="K248" s="133"/>
      <c r="L248" s="586"/>
      <c r="M248" s="521"/>
      <c r="N248" s="521"/>
      <c r="O248" s="521"/>
      <c r="P248" s="521"/>
      <c r="Q248" s="521"/>
      <c r="R248" s="521"/>
      <c r="S248" s="521"/>
      <c r="T248" s="521"/>
    </row>
    <row customHeight="1" ht="14.25">
      <c r="A249" s="586"/>
      <c r="B249" s="586"/>
      <c r="C249" s="586"/>
      <c r="D249" s="586"/>
      <c r="E249" s="119"/>
      <c r="F249" s="586"/>
      <c r="G249" s="586"/>
      <c r="H249" s="133"/>
      <c r="I249" s="586"/>
      <c r="J249" s="133"/>
      <c r="K249" s="133"/>
      <c r="L249" s="586"/>
      <c r="M249" s="521"/>
      <c r="N249" s="521"/>
      <c r="O249" s="521"/>
      <c r="P249" s="521"/>
      <c r="Q249" s="521"/>
      <c r="R249" s="521"/>
      <c r="S249" s="521"/>
      <c r="T249" s="521"/>
    </row>
    <row customHeight="1" ht="14.25">
      <c r="A250" s="586"/>
      <c r="B250" s="586"/>
      <c r="C250" s="586"/>
      <c r="D250" s="586"/>
      <c r="E250" s="119"/>
      <c r="F250" s="586"/>
      <c r="G250" s="586"/>
      <c r="H250" s="133"/>
      <c r="I250" s="586"/>
      <c r="J250" s="133"/>
      <c r="K250" s="133"/>
      <c r="L250" s="586"/>
      <c r="M250" s="521"/>
      <c r="N250" s="521"/>
      <c r="O250" s="521"/>
      <c r="P250" s="521"/>
      <c r="Q250" s="521"/>
      <c r="R250" s="521"/>
      <c r="S250" s="521"/>
      <c r="T250" s="521"/>
    </row>
    <row customHeight="1" ht="14.25">
      <c r="A251" s="586"/>
      <c r="B251" s="586"/>
      <c r="C251" s="586"/>
      <c r="D251" s="586"/>
      <c r="E251" s="119"/>
      <c r="F251" s="586"/>
      <c r="G251" s="586"/>
      <c r="H251" s="133"/>
      <c r="I251" s="586"/>
      <c r="J251" s="133"/>
      <c r="K251" s="133"/>
      <c r="L251" s="586"/>
      <c r="M251" s="521"/>
      <c r="N251" s="521"/>
      <c r="O251" s="521"/>
      <c r="P251" s="521"/>
      <c r="Q251" s="521"/>
      <c r="R251" s="521"/>
      <c r="S251" s="521"/>
      <c r="T251" s="521"/>
    </row>
    <row customHeight="1" ht="14.4525">
      <c r="A252" s="586"/>
      <c r="B252" s="586"/>
      <c r="C252" s="586"/>
      <c r="D252" s="586"/>
      <c r="E252" s="586"/>
      <c r="F252" s="586"/>
      <c r="G252" s="586"/>
      <c r="H252" s="586"/>
      <c r="I252" s="586"/>
      <c r="J252" s="586"/>
      <c r="K252" s="586"/>
      <c r="L252" s="586"/>
      <c r="M252" s="521"/>
      <c r="N252" s="521"/>
      <c r="O252" s="521"/>
      <c r="P252" s="521"/>
      <c r="Q252" s="521"/>
      <c r="R252" s="521"/>
      <c r="S252" s="521"/>
      <c r="T252" s="521"/>
    </row>
    <row customHeight="1" ht="14.25">
      <c r="A253" s="586"/>
      <c r="B253" s="586"/>
      <c r="C253" s="586"/>
      <c r="D253" s="586"/>
      <c r="E253" s="586"/>
      <c r="F253" s="586"/>
      <c r="G253" s="586"/>
      <c r="H253" s="586"/>
      <c r="I253" s="586"/>
      <c r="J253" s="137"/>
      <c r="K253" s="137"/>
      <c r="L253" s="586"/>
      <c r="M253" s="521"/>
      <c r="N253" s="521"/>
      <c r="O253" s="521"/>
      <c r="P253" s="521"/>
      <c r="Q253" s="521"/>
      <c r="R253" s="521"/>
      <c r="S253" s="521"/>
      <c r="T253" s="521"/>
    </row>
    <row customHeight="1" ht="14.25">
      <c r="A254" s="586"/>
      <c r="B254" s="586"/>
      <c r="C254" s="586"/>
      <c r="D254" s="586"/>
      <c r="E254" s="586"/>
      <c r="F254" s="586"/>
      <c r="G254" s="586"/>
      <c r="H254" s="586"/>
      <c r="I254" s="586"/>
      <c r="J254" s="136"/>
      <c r="K254" s="136"/>
      <c r="L254" s="586"/>
      <c r="M254" s="521"/>
      <c r="N254" s="521"/>
      <c r="O254" s="521"/>
      <c r="P254" s="521"/>
      <c r="Q254" s="521"/>
      <c r="R254" s="521"/>
      <c r="S254" s="521"/>
      <c r="T254" s="521"/>
    </row>
  </sheetData>
  <mergeCells count="12">
    <mergeCell ref="B1:L1"/>
    <mergeCell ref="C2:I2"/>
    <mergeCell ref="J2:L2"/>
    <mergeCell ref="D3:F3"/>
    <mergeCell ref="G3:I3"/>
    <mergeCell ref="J3:K3"/>
    <mergeCell ref="C93:F93"/>
    <mergeCell ref="G93:I93"/>
    <mergeCell ref="K93:L93"/>
    <mergeCell ref="B3:B4"/>
    <mergeCell ref="C3:C4"/>
    <mergeCell ref="L3:L4"/>
  </mergeCells>
  <conditionalFormatting sqref="J99">
    <cfRule type="cellIs" priority="5" dxfId="12" operator="equal">
      <formula>"#SQL(""LH_PRO_ONE_MTD"",""VALUE"","":where{NAME="</formula>
    </cfRule>
  </conditionalFormatting>
  <conditionalFormatting sqref="J101">
    <cfRule type="cellIs" priority="4" dxfId="13" operator="equal">
      <formula>"#SQL(""LH_PRO_ONE_MTD"",""VALUE"","":where{NAME="</formula>
    </cfRule>
  </conditionalFormatting>
  <conditionalFormatting sqref="J103">
    <cfRule type="cellIs" priority="2" dxfId="14" operator="equal">
      <formula>"#SQL(""LH_PRO_ONE_MTD"",""VALUE"","":where{NAME="</formula>
    </cfRule>
  </conditionalFormatting>
  <conditionalFormatting sqref="J104">
    <cfRule type="cellIs" priority="3" dxfId="15" operator="equal">
      <formula>"#SQL(""LH_PRO_ONE_MTD"",""VALUE"","":where{NAME="</formula>
    </cfRule>
  </conditionalFormatting>
  <conditionalFormatting sqref="J120">
    <cfRule type="cellIs" priority="1" dxfId="16" operator="equal">
      <formula>"#SQL(""LH_PRO_ONE_MTD"",""VALUE"","":where{NAME="</formula>
    </cfRule>
  </conditionalFormatting>
  <conditionalFormatting sqref="J95:J98 J100 J102 J105:J119 J121:J161">
    <cfRule type="cellIs" priority="6" dxfId="17" operator="equal">
      <formula>"#SQL(""LH_PRO_ONE_MTD"",""VALUE"","":where{NAME="</formula>
    </cfRule>
  </conditionalFormatting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炼化公司月报表</vt:lpstr>
      <vt:lpstr>取值</vt:lpstr>
      <vt:lpstr>延炼月报表</vt:lpstr>
      <vt:lpstr>延炼取值 </vt:lpstr>
      <vt:lpstr>永炼月报表</vt:lpstr>
      <vt:lpstr>永炼取值</vt:lpstr>
      <vt:lpstr>榆炼月报表</vt:lpstr>
      <vt:lpstr>榆炼取值</vt:lpstr>
      <vt:lpstr>石化厂月报表</vt:lpstr>
      <vt:lpstr>取值说明</vt:lpstr>
      <vt:lpstr>石化取值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WPS_1176973267</cp:lastModifiedBy>
  <dcterms:created xsi:type="dcterms:W3CDTF">2021-11-09T06:51:00Z</dcterms:created>
  <dcterms:modified xsi:type="dcterms:W3CDTF">2024-10-21T15:11:50Z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52488C2CE69B4AF18F5EBEE70DB38CF8</vt:lpwstr>
  </property>
  <property fmtid="{D5CDD505-2E9C-101B-9397-08002B2CF9AE}" pid="3" name="KSOProductBuildVer">
    <vt:lpwstr>2052-12.1.0.18608</vt:lpwstr>
  </property>
  <property fmtid="{D5CDD505-2E9C-101B-9397-08002B2CF9AE}" pid="4" name="KSOReadingLayout">
    <vt:bool>true</vt:bool>
  </property>
</Properties>
</file>