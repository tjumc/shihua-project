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调运月报" sheetId="1" r:id="rId2"/>
    <sheet name="取值" sheetId="2" state="hidden" r:id="rId3"/>
  </sheets>
  <definedNames>
    <definedName name="_xlnm._FilterDatabase" localSheetId="0">调运月报!#REF!</definedName>
  </definedName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J7" authorId="0">
      <text>
        <r>
          <rPr>
            <sz val="9"/>
            <color indexed="81"/>
            <rFont val="Arial"/>
            <family val="2"/>
          </rPr>
          <t xml:space="preserve">#Input("永炼_调运月报表_调拨总量_1#渣油_榆能化一销售",":key{{dw}}")
</t>
        </r>
      </text>
    </comment>
    <comment ref="M7" authorId="0">
      <text>
        <r>
          <rPr>
            <sz val="9"/>
            <color indexed="81"/>
            <rFont val="Arial"/>
            <family val="2"/>
          </rPr>
          <t xml:space="preserve">#Input("永炼_调运月报表_装车数量_1#渣油_榆能化一销售",":key{{dw}}")
</t>
        </r>
      </text>
    </comment>
    <comment ref="J8" authorId="0">
      <text>
        <r>
          <rPr>
            <sz val="9"/>
            <color indexed="81"/>
            <rFont val="宋体"/>
            <family val="2"/>
          </rPr>
          <t>#Input("永炼_调运月报表_调拨总量_1#渣油_榆能化公司（榆炼）",":key{{dw}}")</t>
        </r>
      </text>
    </comment>
    <comment ref="M8" authorId="0">
      <text>
        <r>
          <rPr>
            <sz val="9"/>
            <color indexed="81"/>
            <rFont val="宋体"/>
            <family val="2"/>
          </rPr>
          <t>#Input("永炼_调运月报表_装车总量_1#渣油_榆能化公司（榆炼）",":key{{dw}}")</t>
        </r>
      </text>
    </comment>
    <comment ref="J9" authorId="0">
      <text>
        <r>
          <rPr>
            <sz val="9"/>
            <color indexed="81"/>
            <rFont val="宋体"/>
            <family val="2"/>
          </rPr>
          <t>#Input("永炼_调运月报表_调拨总量_1#渣油_延炼调入",":key{{dw}}")</t>
        </r>
      </text>
    </comment>
    <comment ref="M9" authorId="0">
      <text>
        <r>
          <rPr>
            <sz val="9"/>
            <color indexed="81"/>
            <rFont val="宋体"/>
            <family val="2"/>
          </rPr>
          <t>#Input("永炼_调运月报表_装车总量_1#渣油_延炼调入",":key{{dw}}")</t>
        </r>
      </text>
    </comment>
    <comment ref="J10" authorId="0">
      <text>
        <r>
          <rPr>
            <sz val="9"/>
            <color indexed="81"/>
            <rFont val="宋体"/>
            <family val="2"/>
          </rPr>
          <t>#Input("永炼_调运月报表_调拨总量_常压石脑油_石化厂",":key{{dw}}")</t>
        </r>
      </text>
    </comment>
    <comment ref="M10" authorId="0">
      <text>
        <r>
          <rPr>
            <sz val="9"/>
            <color indexed="81"/>
            <rFont val="宋体"/>
            <family val="2"/>
          </rPr>
          <t>#Input("永炼_调运月报表_装车总量_常压石脑油_石化厂",":key{{dw}}")</t>
        </r>
      </text>
    </comment>
    <comment ref="J11" authorId="0">
      <text>
        <r>
          <rPr>
            <sz val="9"/>
            <color indexed="81"/>
            <rFont val="宋体"/>
            <family val="2"/>
          </rPr>
          <t>#Input("永炼_调运月报表_调拨总量_常压石脑油_榆炼",":key{{dw}}")</t>
        </r>
      </text>
    </comment>
    <comment ref="M11" authorId="0">
      <text>
        <r>
          <rPr>
            <sz val="9"/>
            <color indexed="81"/>
            <rFont val="宋体"/>
            <family val="2"/>
          </rPr>
          <t>#Input("永炼_调运月报表_装车总量_常压石脑油_榆炼",":key{{dw}}")</t>
        </r>
      </text>
    </comment>
    <comment ref="J12" authorId="0">
      <text>
        <r>
          <rPr>
            <sz val="9"/>
            <color indexed="81"/>
            <rFont val="宋体"/>
            <family val="2"/>
          </rPr>
          <t>#Input("永炼_调运月报表_调拨总量_常压石脑油_延能化",":key{{dw}}")</t>
        </r>
      </text>
    </comment>
    <comment ref="M12" authorId="0">
      <text>
        <r>
          <rPr>
            <sz val="9"/>
            <color indexed="81"/>
            <rFont val="宋体"/>
            <family val="2"/>
          </rPr>
          <t>#Input("永炼_调运月报表_装车总量_常压石脑油_延能化",":key{{dw}}")</t>
        </r>
      </text>
    </comment>
    <comment ref="J13" authorId="0">
      <text>
        <r>
          <rPr>
            <sz val="9"/>
            <color indexed="81"/>
            <rFont val="宋体"/>
            <family val="2"/>
          </rPr>
          <t>#Input("永炼_调运月报表_调拨总量_催化柴油",":key{{dw}}")</t>
        </r>
      </text>
    </comment>
    <comment ref="M13" authorId="0">
      <text>
        <r>
          <rPr>
            <sz val="9"/>
            <color indexed="81"/>
            <rFont val="宋体"/>
            <family val="2"/>
          </rPr>
          <t>#Input("永炼_调运月报表_装车总量_催化柴油",":key{{dw}}")</t>
        </r>
      </text>
    </comment>
    <comment ref="J14" authorId="0">
      <text>
        <r>
          <rPr>
            <sz val="9"/>
            <color indexed="81"/>
            <rFont val="宋体"/>
            <family val="2"/>
          </rPr>
          <t>#Input("永炼_调运月报表_调拨总量_原料液化气",":key{{dw}}")</t>
        </r>
      </text>
    </comment>
    <comment ref="M14" authorId="0">
      <text>
        <r>
          <rPr>
            <sz val="9"/>
            <color indexed="81"/>
            <rFont val="宋体"/>
            <family val="2"/>
          </rPr>
          <t>#Input("永炼_调运月报表_装车总量_原料液化气",":key{{dw}}")</t>
        </r>
      </text>
    </comment>
    <comment ref="J15" authorId="0">
      <text>
        <r>
          <rPr>
            <sz val="9"/>
            <color indexed="81"/>
            <rFont val="宋体"/>
            <family val="2"/>
          </rPr>
          <t>#Input("永炼_调运月报表_调拨总量_石脑油Ⅱ",":key{{dw}}")</t>
        </r>
      </text>
    </comment>
    <comment ref="M15" authorId="0">
      <text>
        <r>
          <rPr>
            <sz val="9"/>
            <color indexed="81"/>
            <rFont val="宋体"/>
            <family val="2"/>
          </rPr>
          <t>#Input("永炼_调运月报表_装车总量_石脑油Ⅱ",":key{{dw}}")</t>
        </r>
      </text>
    </comment>
    <comment ref="J16" authorId="0">
      <text>
        <r>
          <rPr>
            <sz val="9"/>
            <color indexed="81"/>
            <rFont val="宋体"/>
            <family val="2"/>
          </rPr>
          <t>#Input("永炼_调运月报表_调拨总量_2#渣油调榆炼",":key{{dw}}")</t>
        </r>
      </text>
    </comment>
    <comment ref="M16" authorId="0">
      <text>
        <r>
          <rPr>
            <sz val="9"/>
            <color indexed="81"/>
            <rFont val="宋体"/>
            <family val="2"/>
          </rPr>
          <t>#Input("永炼_调运月报表_装车总量_2#渣油调榆炼",":key{{dw}}")</t>
        </r>
      </text>
    </comment>
    <comment ref="J17" authorId="0">
      <text>
        <r>
          <rPr>
            <sz val="9"/>
            <color indexed="81"/>
            <rFont val="宋体"/>
            <family val="2"/>
          </rPr>
          <t>#Input("永炼_调运月报表_调拨总量_2#渣油销售",":key{{dw}}")</t>
        </r>
      </text>
    </comment>
    <comment ref="M17" authorId="0">
      <text>
        <r>
          <rPr>
            <sz val="9"/>
            <color indexed="81"/>
            <rFont val="宋体"/>
            <family val="2"/>
          </rPr>
          <t>#Input("永炼_调运月报表_装车总量_2#渣油销售",":key{{dw}}")</t>
        </r>
      </text>
    </comment>
    <comment ref="J18" authorId="0">
      <text>
        <r>
          <rPr>
            <sz val="9"/>
            <color indexed="81"/>
            <rFont val="宋体"/>
            <family val="2"/>
          </rPr>
          <t>#Input("永炼_调运月报表_调拨总量_延能化一销售",":key{{dw}}")</t>
        </r>
      </text>
    </comment>
    <comment ref="M18" authorId="0">
      <text>
        <r>
          <rPr>
            <sz val="9"/>
            <color indexed="81"/>
            <rFont val="宋体"/>
            <family val="2"/>
          </rPr>
          <t>#Input("永炼_调运月报表_装车总量_延能化一销售",":key{{dw}}")</t>
        </r>
      </text>
    </comment>
    <comment ref="J19" authorId="0">
      <text>
        <r>
          <rPr>
            <sz val="9"/>
            <color indexed="81"/>
            <rFont val="宋体"/>
            <family val="2"/>
          </rPr>
          <t>#Input("永炼_调运月报表_调拨总量_粗硫磺_销售",":key{{dw}}")</t>
        </r>
      </text>
    </comment>
    <comment ref="M19" authorId="0">
      <text>
        <r>
          <rPr>
            <sz val="9"/>
            <color indexed="81"/>
            <rFont val="宋体"/>
            <family val="2"/>
          </rPr>
          <t>#Input("永炼_调运月报表_装车总量_粗硫磺_销售",":key{{dw}}")</t>
        </r>
      </text>
    </comment>
    <comment ref="J20" authorId="0">
      <text>
        <r>
          <rPr>
            <sz val="9"/>
            <color indexed="81"/>
            <rFont val="宋体"/>
            <family val="2"/>
          </rPr>
          <t>#Input("永炼_调运月报表_调拨总量_粗硫磺_延能化",":key{{dw}}")</t>
        </r>
      </text>
    </comment>
    <comment ref="M20" authorId="0">
      <text>
        <r>
          <rPr>
            <sz val="9"/>
            <color indexed="81"/>
            <rFont val="宋体"/>
            <family val="2"/>
          </rPr>
          <t>#Input("永炼_调运月报表_装车总量_粗硫磺_延能化",":key{{dw}}")</t>
        </r>
      </text>
    </comment>
    <comment ref="J21" authorId="0">
      <text>
        <r>
          <rPr>
            <sz val="9"/>
            <color indexed="81"/>
            <rFont val="宋体"/>
            <family val="2"/>
          </rPr>
          <t>#Input("永炼_调运月报表_调拨总量_粗硫磺_榆能化",":key{{dw}}")</t>
        </r>
      </text>
    </comment>
    <comment ref="M21" authorId="0">
      <text>
        <r>
          <rPr>
            <sz val="9"/>
            <color indexed="81"/>
            <rFont val="宋体"/>
            <family val="2"/>
          </rPr>
          <t>#Input("永炼_调运月报表_装车总量_粗硫磺_榆能化",":key{{dw}}")</t>
        </r>
      </text>
    </comment>
    <comment ref="J22" authorId="0">
      <text>
        <r>
          <rPr>
            <sz val="9"/>
            <color indexed="81"/>
            <rFont val="宋体"/>
            <family val="2"/>
          </rPr>
          <t>#Input("永炼_调运月报表_调拨总量_常压柴油（内调）",":key{{dw}}")</t>
        </r>
      </text>
    </comment>
    <comment ref="M22" authorId="0">
      <text>
        <r>
          <rPr>
            <sz val="9"/>
            <color indexed="81"/>
            <rFont val="宋体"/>
            <family val="2"/>
          </rPr>
          <t>#Input("永炼_调运月报表_装车总量_常压柴油（内调）",":key{{dw}}")</t>
        </r>
      </text>
    </comment>
    <comment ref="J23" authorId="0">
      <text>
        <r>
          <rPr>
            <sz val="9"/>
            <color indexed="81"/>
            <rFont val="宋体"/>
            <family val="2"/>
          </rPr>
          <t>#Input("永炼_调运月报表_调拨总量_-20#柴油",":key{{dw}}")</t>
        </r>
      </text>
    </comment>
    <comment ref="M23" authorId="0">
      <text>
        <r>
          <rPr>
            <sz val="9"/>
            <color indexed="81"/>
            <rFont val="宋体"/>
            <family val="2"/>
          </rPr>
          <t>#Input("永炼_调运月报表_装车总量_-20#柴油",":key{{dw}}")</t>
        </r>
      </text>
    </comment>
    <comment ref="D24" authorId="0">
      <text>
        <r>
          <rPr>
            <sz val="9"/>
            <color indexed="81"/>
            <rFont val="宋体"/>
            <family val="2"/>
          </rPr>
          <t>#Input("永炼_调运月报表_调拨总量_烷基化（内调石化厂）",":key{{dw}}")</t>
        </r>
      </text>
    </comment>
    <comment ref="G24" authorId="0">
      <text>
        <r>
          <rPr>
            <sz val="9"/>
            <color indexed="81"/>
            <rFont val="宋体"/>
            <family val="2"/>
          </rPr>
          <t>#Input("永炼_调运月报表_装车总量_烷基化（内调石化厂）",":key{{dw}}")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#Input("永炼_调运月报表_调拨总量_烷基化（外购）",":key{{dw}}")</t>
        </r>
      </text>
    </comment>
    <comment ref="G25" authorId="0">
      <text>
        <r>
          <rPr>
            <sz val="9"/>
            <color indexed="81"/>
            <rFont val="Arial"/>
            <family val="2"/>
          </rPr>
          <t xml:space="preserve">#Input("永炼_调运月报表_装车总量_烷基化（外购）",":key{{dw}}")
</t>
        </r>
      </text>
    </comment>
    <comment ref="D26" authorId="0">
      <text>
        <r>
          <rPr>
            <sz val="9"/>
            <color indexed="81"/>
            <rFont val="宋体"/>
            <family val="2"/>
          </rPr>
          <t>#Input("永炼_调运月报表_调拨总量_MTBE内调（延石化）",":key{{dw}}")</t>
        </r>
      </text>
    </comment>
    <comment ref="G26" authorId="0">
      <text>
        <r>
          <rPr>
            <sz val="9"/>
            <color indexed="81"/>
            <rFont val="宋体"/>
            <family val="2"/>
          </rPr>
          <t>#Input("永炼_调运月报表_装车总量_MTBE内调（延石化）",":key{{dw}}")</t>
        </r>
      </text>
    </comment>
    <comment ref="D27" authorId="0">
      <text>
        <r>
          <rPr>
            <sz val="9"/>
            <color indexed="81"/>
            <rFont val="宋体"/>
            <family val="2"/>
          </rPr>
          <t>#Input("永炼_调运月报表_调拨总量_MTBE外购榆能化",":key{{dw}}")</t>
        </r>
      </text>
    </comment>
    <comment ref="G27" authorId="0">
      <text>
        <r>
          <rPr>
            <sz val="9"/>
            <color indexed="81"/>
            <rFont val="宋体"/>
            <family val="2"/>
          </rPr>
          <t>#Input("永炼_调运月报表_装车总量_MTBE外购榆能化",":key{{dw}}")</t>
        </r>
      </text>
    </comment>
    <comment ref="D28" authorId="0">
      <text>
        <r>
          <rPr>
            <sz val="9"/>
            <color indexed="81"/>
            <rFont val="宋体"/>
            <family val="2"/>
          </rPr>
          <t>#Input("永炼_调运月报表_调拨总量_MTBE外购恒百瑞",":key{{dw}}")</t>
        </r>
      </text>
    </comment>
    <comment ref="G28" authorId="0">
      <text>
        <r>
          <rPr>
            <sz val="9"/>
            <color indexed="81"/>
            <rFont val="宋体"/>
            <family val="2"/>
          </rPr>
          <t>#Input("永炼_调运月报表_装车总量_MTBE外购恒百瑞",":key{{dw}}")</t>
        </r>
      </text>
    </comment>
    <comment ref="D29" authorId="0">
      <text>
        <r>
          <rPr>
            <sz val="9"/>
            <color indexed="81"/>
            <rFont val="宋体"/>
            <family val="2"/>
          </rPr>
          <t>#Input("永炼_调运月报表_调拨总量_MTBE外购陕西圣仁石化",":key{{dw}}")</t>
        </r>
      </text>
    </comment>
    <comment ref="G29" authorId="0">
      <text>
        <r>
          <rPr>
            <sz val="9"/>
            <color indexed="81"/>
            <rFont val="宋体"/>
            <family val="2"/>
          </rPr>
          <t>#Input("永炼_调运月报表_装车总量_MTBE外购陕西圣仁石化",":key{{dw}}")</t>
        </r>
      </text>
    </comment>
    <comment ref="D30" authorId="0">
      <text>
        <r>
          <rPr>
            <sz val="9"/>
            <color indexed="81"/>
            <rFont val="宋体"/>
            <family val="2"/>
          </rPr>
          <t>#Input("永炼_调运月报表_调拨总量_MTBE外购榆林市洪宇石化",":key{{dw}}")</t>
        </r>
      </text>
    </comment>
    <comment ref="G30" authorId="0">
      <text>
        <r>
          <rPr>
            <sz val="9"/>
            <color indexed="81"/>
            <rFont val="宋体"/>
            <family val="2"/>
          </rPr>
          <t>#Input("永炼_调运月报表_装车总量_MTBE外购榆林市洪宇石化",":key{{dw}}")</t>
        </r>
      </text>
    </comment>
    <comment ref="D31" authorId="0">
      <text>
        <r>
          <rPr>
            <sz val="9"/>
            <color indexed="81"/>
            <rFont val="宋体"/>
            <family val="2"/>
          </rPr>
          <t>#Input("永炼_调运月报表_调拨总量_MTBE外购中煤榆能化",":key{{dw}}")</t>
        </r>
      </text>
    </comment>
    <comment ref="G31" authorId="0">
      <text>
        <r>
          <rPr>
            <sz val="9"/>
            <color indexed="81"/>
            <rFont val="宋体"/>
            <family val="2"/>
          </rPr>
          <t>#Input("永炼_调运月报表_装车总量_MTBE外购中煤榆能化",":key{{dw}}")</t>
        </r>
      </text>
    </comment>
    <comment ref="D32" authorId="0">
      <text>
        <r>
          <rPr>
            <sz val="9"/>
            <color indexed="81"/>
            <rFont val="宋体"/>
            <family val="2"/>
          </rPr>
          <t>#Input("永炼_调运月报表_调拨总量_MTBE外购榆林新瑞能源",":key{{dw}}")</t>
        </r>
      </text>
    </comment>
    <comment ref="G32" authorId="0">
      <text>
        <r>
          <rPr>
            <sz val="9"/>
            <color indexed="81"/>
            <rFont val="宋体"/>
            <family val="2"/>
          </rPr>
          <t>#Input("永炼_调运月报表_装车总量_MTBE外购榆林新瑞能源",":key{{dw}}")</t>
        </r>
      </text>
    </comment>
    <comment ref="D33" authorId="0">
      <text>
        <r>
          <rPr>
            <sz val="9"/>
            <color indexed="81"/>
            <rFont val="宋体"/>
            <family val="2"/>
          </rPr>
          <t>#Input("永炼_调运月报表_调拨总量_MTBE外购延安能源化工",":key{{dw}}")</t>
        </r>
      </text>
    </comment>
    <comment ref="G33" authorId="0">
      <text>
        <r>
          <rPr>
            <sz val="9"/>
            <color indexed="81"/>
            <rFont val="宋体"/>
            <family val="2"/>
          </rPr>
          <t>#Input("永炼_调运月报表_装车总量_MTBE外购延安能源化工",":key{{dw}}")</t>
        </r>
      </text>
    </comment>
    <comment ref="D34" authorId="0">
      <text>
        <r>
          <rPr>
            <sz val="9"/>
            <color indexed="81"/>
            <rFont val="宋体"/>
            <family val="2"/>
          </rPr>
          <t>#Input("永炼_调运月报表_调拨总量_MTBE外购陕西亿鑫寰宇石油化工",":key{{dw}}")</t>
        </r>
      </text>
    </comment>
    <comment ref="G34" authorId="0">
      <text>
        <r>
          <rPr>
            <sz val="9"/>
            <color indexed="81"/>
            <rFont val="宋体"/>
            <family val="2"/>
          </rPr>
          <t>#Input("永炼_调运月报表_装车总量_MTBE外购陕西亿鑫寰宇石油化工",":key{{dw}}")</t>
        </r>
      </text>
    </comment>
    <comment ref="D35" authorId="0">
      <text>
        <r>
          <rPr>
            <sz val="9"/>
            <color indexed="81"/>
            <rFont val="宋体"/>
            <family val="2"/>
          </rPr>
          <t>#Input("永炼_调运月报表_调拨总量_MTBE外购陕西延长石油能源科技有限公司",":key{{dw}}")</t>
        </r>
      </text>
    </comment>
    <comment ref="G35" authorId="0">
      <text>
        <r>
          <rPr>
            <sz val="9"/>
            <color indexed="81"/>
            <rFont val="宋体"/>
            <family val="2"/>
          </rPr>
          <t>#Input("永炼_调运月报表_装车总量_MTBE外购陕西延长石油能源科技有限公司",":key{{dw}}")</t>
        </r>
      </text>
    </comment>
    <comment ref="D36" authorId="0">
      <text>
        <r>
          <rPr>
            <sz val="9"/>
            <color indexed="81"/>
            <rFont val="宋体"/>
            <family val="2"/>
          </rPr>
          <t>#Input("永炼_调运月报表_调拨总量_MTBE外购陕西中钻投",":key{{dw}}")</t>
        </r>
      </text>
    </comment>
    <comment ref="G36" authorId="0">
      <text>
        <r>
          <rPr>
            <sz val="9"/>
            <color indexed="81"/>
            <rFont val="宋体"/>
            <family val="2"/>
          </rPr>
          <t>#Input("永炼_调运月报表_装车总量_MTBE外购陕西中钻投",":key{{dw}}")</t>
        </r>
      </text>
    </comment>
    <comment ref="D37" authorId="0">
      <text>
        <r>
          <rPr>
            <sz val="9"/>
            <color indexed="81"/>
            <rFont val="宋体"/>
            <family val="2"/>
          </rPr>
          <t>#Input("永炼_调运月报表_调拨总量_MTBE外购西安劲雨实业有限公司",":key{{dw}}")</t>
        </r>
      </text>
    </comment>
    <comment ref="G37" authorId="0">
      <text>
        <r>
          <rPr>
            <sz val="9"/>
            <color indexed="81"/>
            <rFont val="宋体"/>
            <family val="2"/>
          </rPr>
          <t>#Input("永炼_调运月报表_装车总量_MTBE外购西安劲雨实业有限公司",":key{{dw}}")</t>
        </r>
      </text>
    </comment>
    <comment ref="D38" authorId="0">
      <text>
        <r>
          <rPr>
            <sz val="9"/>
            <color indexed="81"/>
            <rFont val="宋体"/>
            <family val="2"/>
          </rPr>
          <t>#Input("永炼_调运月报表_调拨总量_MTBE外购黄陵顺达工贸有限责任公司",":key{{dw}}")</t>
        </r>
      </text>
    </comment>
    <comment ref="G38" authorId="0">
      <text>
        <r>
          <rPr>
            <sz val="9"/>
            <color indexed="81"/>
            <rFont val="宋体"/>
            <family val="2"/>
          </rPr>
          <t>#Input("永炼_调运月报表_装车总量_MTBE外购黄陵顺达工贸有限责任公司",":key{{dw}}")</t>
        </r>
      </text>
    </comment>
    <comment ref="D39" authorId="0">
      <text>
        <r>
          <rPr>
            <sz val="9"/>
            <color indexed="81"/>
            <rFont val="宋体"/>
            <family val="2"/>
          </rPr>
          <t>#Input("永炼_调运月报表_调拨总量_MTBE外购12",":key{{dw}}")</t>
        </r>
      </text>
    </comment>
    <comment ref="G39" authorId="0">
      <text>
        <r>
          <rPr>
            <sz val="9"/>
            <color indexed="81"/>
            <rFont val="宋体"/>
            <family val="2"/>
          </rPr>
          <t>#Input("永炼_调运月报表_装车总量_MTBE外购12",":key{{dw}}")</t>
        </r>
      </text>
    </comment>
    <comment ref="D40" authorId="0">
      <text>
        <r>
          <rPr>
            <sz val="9"/>
            <color indexed="81"/>
            <rFont val="宋体"/>
            <family val="2"/>
          </rPr>
          <t>#Input("永炼_调运月报表_调拨总量_MTBE外购13",":key{{dw}}")</t>
        </r>
      </text>
    </comment>
    <comment ref="G40" authorId="0">
      <text>
        <r>
          <rPr>
            <sz val="9"/>
            <color indexed="81"/>
            <rFont val="宋体"/>
            <family val="2"/>
          </rPr>
          <t>#Input("永炼_调运月报表_装车总量_MTBE外购13",":key{{dw}}")</t>
        </r>
      </text>
    </comment>
    <comment ref="D41" authorId="0">
      <text>
        <r>
          <rPr>
            <sz val="9"/>
            <color indexed="81"/>
            <rFont val="宋体"/>
            <family val="2"/>
          </rPr>
          <t>#Input("永炼_调运月报表_调拨总量_MTBE外购14",":key{{dw}}")</t>
        </r>
      </text>
    </comment>
    <comment ref="G41" authorId="0">
      <text>
        <r>
          <rPr>
            <sz val="9"/>
            <color indexed="81"/>
            <rFont val="宋体"/>
            <family val="2"/>
          </rPr>
          <t>#Input("永炼_调运月报表_装车总量_MTBE外购14",":key{{dw}}")</t>
        </r>
      </text>
    </comment>
    <comment ref="D42" authorId="0">
      <text>
        <r>
          <rPr>
            <sz val="9"/>
            <color indexed="81"/>
            <rFont val="宋体"/>
            <family val="2"/>
          </rPr>
          <t>#Input("永炼_调运月报表_调拨总量_MTBE外购15",":key{{dw}}")</t>
        </r>
      </text>
    </comment>
    <comment ref="G42" authorId="0">
      <text>
        <r>
          <rPr>
            <sz val="9"/>
            <color indexed="81"/>
            <rFont val="宋体"/>
            <family val="2"/>
          </rPr>
          <t>#Input("永炼_调运月报表_装车总量_MTBE外购15",":key{{dw}}")</t>
        </r>
      </text>
    </comment>
    <comment ref="D44" authorId="0">
      <text>
        <r>
          <rPr>
            <sz val="9"/>
            <color indexed="81"/>
            <rFont val="宋体"/>
            <family val="2"/>
          </rPr>
          <t>#Input("永炼_调运月报表_调拨总量_二甲苯（榆炼炼油厂）",":key{{dw}}")</t>
        </r>
      </text>
    </comment>
    <comment ref="G44" authorId="0">
      <text>
        <r>
          <rPr>
            <sz val="9"/>
            <color indexed="81"/>
            <rFont val="宋体"/>
            <family val="2"/>
          </rPr>
          <t>#Input("永炼_调运月报表_装车总量_二甲苯（榆炼炼油厂）",":key{{dw}}")</t>
        </r>
      </text>
    </comment>
    <comment ref="D45" authorId="0">
      <text>
        <r>
          <rPr>
            <sz val="9"/>
            <color indexed="81"/>
            <rFont val="宋体"/>
            <family val="2"/>
          </rPr>
          <t>#Input("永炼_调运月报表_调拨总量_二甲苯外购（榆能化）",":key{{dw}}")</t>
        </r>
      </text>
    </comment>
    <comment ref="G45" authorId="0">
      <text>
        <r>
          <rPr>
            <sz val="9"/>
            <color indexed="81"/>
            <rFont val="宋体"/>
            <family val="2"/>
          </rPr>
          <t>#Input("永炼_调运月报表_装车总量_二甲苯外购（榆能化）",":key{{dw}}")</t>
        </r>
      </text>
    </comment>
    <comment ref="C46" authorId="0">
      <text>
        <r>
          <rPr>
            <sz val="9"/>
            <color indexed="81"/>
            <rFont val="Arial"/>
            <family val="2"/>
          </rPr>
          <t xml:space="preserve">#Input("永炼_永炼厂调运月报表_审核人",":key{{dw}}")
</t>
        </r>
      </text>
    </comment>
    <comment ref="K46" authorId="0">
      <text>
        <r>
          <rPr>
            <sz val="9"/>
            <color indexed="81"/>
            <rFont val="Arial"/>
            <family val="2"/>
          </rPr>
          <t xml:space="preserve">#Input("永炼_永炼厂调运月报表_填报人",":key{{dw}}")
</t>
        </r>
      </text>
    </comment>
  </commentList>
</comments>
</file>

<file path=xl/sharedStrings.xml><?xml version="1.0" encoding="utf-8"?>
<sst xmlns="http://schemas.openxmlformats.org/spreadsheetml/2006/main" count="374" uniqueCount="70">
  <si>
    <t>陕西延长石油集团公司原料油(气)调拨统计报表</t>
  </si>
  <si>
    <t>填报单位:  永坪炼油厂</t>
  </si>
  <si>
    <t>统计日期：</t>
  </si>
  <si>
    <t>2025-12</t>
  </si>
  <si>
    <t>油品名称</t>
  </si>
  <si>
    <t>调运单位</t>
  </si>
  <si>
    <t>调入</t>
  </si>
  <si>
    <t>调出</t>
  </si>
  <si>
    <t>调运量</t>
  </si>
  <si>
    <t>车次</t>
  </si>
  <si>
    <t>单位</t>
  </si>
  <si>
    <t>月累计</t>
  </si>
  <si>
    <t>年累计</t>
  </si>
  <si>
    <t>1.1#渣油</t>
  </si>
  <si>
    <t>榆能化一销售</t>
  </si>
  <si>
    <t>吨</t>
  </si>
  <si>
    <t>辆</t>
  </si>
  <si>
    <t>榆能化公司（榆炼）</t>
  </si>
  <si>
    <t>延安炼油厂</t>
  </si>
  <si>
    <t>2.常压石脑油</t>
  </si>
  <si>
    <t>延安石化厂</t>
  </si>
  <si>
    <t>榆林炼油厂</t>
  </si>
  <si>
    <t>延能化</t>
  </si>
  <si>
    <t>3.催化柴油</t>
  </si>
  <si>
    <t>4.原料液化气</t>
  </si>
  <si>
    <t>5.石脑油Ⅱ</t>
  </si>
  <si>
    <t>6.2#渣油</t>
  </si>
  <si>
    <t>延能化一销售</t>
  </si>
  <si>
    <t>7、粗硫磺</t>
  </si>
  <si>
    <t>销售</t>
  </si>
  <si>
    <t>榆能化</t>
  </si>
  <si>
    <t xml:space="preserve">8、常压柴油 </t>
  </si>
  <si>
    <t>9、-20#柴油</t>
  </si>
  <si>
    <t>10、烷基化</t>
  </si>
  <si>
    <t>外购</t>
  </si>
  <si>
    <t>11、MTBE内调</t>
  </si>
  <si>
    <t>12、MTBE外购</t>
  </si>
  <si>
    <t>恒百瑞（外购）</t>
  </si>
  <si>
    <t>陕西圣仁石化</t>
  </si>
  <si>
    <t>榆林市洪宇石化</t>
  </si>
  <si>
    <t>中煤榆能化</t>
  </si>
  <si>
    <t>榆林新瑞能源</t>
  </si>
  <si>
    <t>延安能源化工</t>
  </si>
  <si>
    <t>陕西亿鑫寰宇石油化工</t>
  </si>
  <si>
    <t>陕西延长石油能源科技有限公司</t>
  </si>
  <si>
    <t>陕西中钻投</t>
  </si>
  <si>
    <t>西安劲雨实业有限公司</t>
  </si>
  <si>
    <t>黄陵顺达工贸有限责任公司</t>
  </si>
  <si>
    <t>合计</t>
  </si>
  <si>
    <t>13、二甲苯</t>
  </si>
  <si>
    <t>14、二甲苯外购</t>
  </si>
  <si>
    <t>审核人：</t>
  </si>
  <si>
    <t>马海龙</t>
  </si>
  <si>
    <t>填报人：</t>
  </si>
  <si>
    <t>高彩虹</t>
  </si>
  <si>
    <t>报表生成时间：</t>
  </si>
  <si>
    <t xml:space="preserve"> 8:00:00</t>
  </si>
  <si>
    <t>陕西长恒实业有限公司外购MTBE</t>
  </si>
  <si>
    <t>江苏延长国际物流有限公司外购MTBE</t>
  </si>
  <si>
    <t>榆林市新瑞能源化工有限公司外购MTBE</t>
  </si>
  <si>
    <t>淄博瀚德化工有限公司外购MTBE</t>
  </si>
  <si>
    <t>当日动态库存</t>
  </si>
  <si>
    <t>备注</t>
  </si>
  <si>
    <t>1#渣油</t>
  </si>
  <si>
    <t>石脑油</t>
  </si>
  <si>
    <t>MTBE</t>
  </si>
  <si>
    <t>填报人</t>
  </si>
  <si>
    <t>永炼_调运月报表_调拨总量_1#渣油_延炼调入</t>
  </si>
  <si>
    <t>永炼_调运月报表_装车数量_1#渣油_榆能化一销售</t>
  </si>
  <si>
    <t>永炼_调运月报表_装车总量_1#渣油_榆能化一销售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</si>
</sst>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yyyy&quot;年&quot;m&quot;月&quot;d&quot;日&quot;;@"/>
    <numFmt numFmtId="173" formatCode="0.000;[Red]0.000"/>
    <numFmt numFmtId="174" formatCode="0;[Red]0"/>
    <numFmt numFmtId="175" formatCode="yyyy&quot;年&quot;m&quot;月&quot;;@"/>
    <numFmt numFmtId="176" formatCode="#"/>
  </numFmts>
  <fonts count="28">
    <font>
      <sz val="12"/>
      <color rgb="FF000000"/>
      <name val="宋体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2"/>
      <color auto="1"/>
      <name val="宋体"/>
    </font>
    <font>
      <sz val="11"/>
      <color theme="1"/>
      <name val="等线"/>
    </font>
    <font>
      <sz val="11"/>
      <color rgb="FFFF0000"/>
      <name val="等线"/>
    </font>
    <font>
      <sz val="9"/>
      <color auto="1"/>
      <name val="等线"/>
    </font>
    <font>
      <sz val="9"/>
      <color rgb="FF000000"/>
      <name val="等线"/>
    </font>
    <font>
      <sz val="9"/>
      <color rgb="FF000000"/>
      <name val="宋体"/>
    </font>
    <font>
      <sz val="9"/>
      <color theme="1"/>
      <name val="等线"/>
    </font>
    <font>
      <sz val="11"/>
      <color rgb="FF000000"/>
      <name val="等线"/>
    </font>
    <font>
      <b/>
      <sz val="16"/>
      <color auto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8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</borders>
  <cellStyleXfs count="47">
    <xf numFmtId="0" fontId="0" fillId="0" borderId="0" applyFont="1" applyFill="0" applyBorder="0"/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43" fontId="6" fillId="0" borderId="0" applyFont="0" applyFill="0" applyBorder="0" applyNumberFormat="1">
      <alignment vertical="top"/>
    </xf>
    <xf numFmtId="41" fontId="6" fillId="0" borderId="0" applyFont="0" applyFill="0" applyBorder="0" applyNumberFormat="1">
      <alignment vertical="top"/>
    </xf>
    <xf numFmtId="44" fontId="6" fillId="0" borderId="0" applyFont="0" applyFill="0" applyBorder="0" applyNumberFormat="1">
      <alignment vertical="top"/>
    </xf>
    <xf numFmtId="42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</cellStyleXfs>
  <cellXfs count="415">
    <xf numFmtId="0" fontId="0" fillId="0" borderId="0" xfId="0" applyFont="1"/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43" fontId="6" fillId="0" borderId="0" xfId="28" applyFont="0" applyNumberFormat="1">
      <alignment vertical="top"/>
    </xf>
    <xf numFmtId="41" fontId="6" fillId="0" borderId="0" xfId="29" applyFont="0" applyNumberFormat="1">
      <alignment vertical="top"/>
    </xf>
    <xf numFmtId="44" fontId="6" fillId="0" borderId="0" xfId="30" applyFont="0" applyNumberFormat="1">
      <alignment vertical="top"/>
    </xf>
    <xf numFmtId="42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0" xfId="0" applyFont="1"/>
    <xf numFmtId="20" fontId="0" fillId="0" borderId="0" xfId="0" applyFont="1" applyNumberFormat="1"/>
    <xf numFmtId="0" fontId="0" fillId="0" borderId="0" xfId="0" applyFont="1">
      <alignment horizontal="left" vertical="top"/>
    </xf>
    <xf numFmtId="171" fontId="20" fillId="0" borderId="10" xfId="0" applyFont="1" applyBorder="1" applyNumberFormat="1">
      <alignment horizontal="left" vertical="top"/>
    </xf>
    <xf numFmtId="171" fontId="21" fillId="7" borderId="10" xfId="0" applyFont="1" applyFill="1" applyBorder="1" applyNumberFormat="1">
      <alignment horizontal="center" vertical="center"/>
    </xf>
    <xf numFmtId="0" fontId="22" fillId="0" borderId="10" xfId="0" applyFont="1" applyBorder="1"/>
    <xf numFmtId="172" fontId="19" fillId="0" borderId="0" xfId="0" applyFont="1" applyNumberFormat="1"/>
    <xf numFmtId="172" fontId="23" fillId="33" borderId="0" xfId="0" applyFont="1" applyFill="1" applyNumberFormat="1">
      <alignment horizontal="left" vertical="center"/>
    </xf>
    <xf numFmtId="173" fontId="21" fillId="0" borderId="0" xfId="0" applyFont="1" applyNumberFormat="1">
      <alignment horizontal="center" vertical="center" wrapText="1"/>
    </xf>
    <xf numFmtId="0" fontId="20" fillId="0" borderId="0" xfId="0" applyFont="1"/>
    <xf numFmtId="0" fontId="20" fillId="0" borderId="0" xfId="0" applyFont="1">
      <alignment horizontal="center" vertical="center" wrapText="1"/>
    </xf>
    <xf numFmtId="0" fontId="1" fillId="0" borderId="0" xfId="0" applyFont="1">
      <alignment horizontal="center" vertical="center"/>
    </xf>
    <xf numFmtId="0" fontId="1" fillId="0" borderId="0" xfId="0" applyFont="1">
      <alignment horizontal="left" vertical="center"/>
    </xf>
    <xf numFmtId="0" fontId="0" fillId="0" borderId="0" xfId="0" applyFont="1">
      <alignment horizontal="center" vertical="center"/>
    </xf>
    <xf numFmtId="173" fontId="18" fillId="0" borderId="0" xfId="0" applyFont="1" applyNumberFormat="1">
      <alignment horizontal="center" vertical="center"/>
    </xf>
    <xf numFmtId="174" fontId="0" fillId="0" borderId="0" xfId="0" applyFont="1" applyNumberFormat="1">
      <alignment horizontal="center" vertical="center"/>
    </xf>
    <xf numFmtId="171" fontId="1" fillId="0" borderId="0" xfId="0" applyFont="1" applyNumberFormat="1">
      <alignment horizontal="center" vertical="center"/>
    </xf>
    <xf numFmtId="175" fontId="23" fillId="33" borderId="0" xfId="0" applyFont="1" applyFill="1" applyNumberFormat="1">
      <alignment horizontal="left" vertical="center"/>
    </xf>
    <xf numFmtId="0" fontId="24" fillId="0" borderId="0" xfId="0" applyFont="1"/>
    <xf numFmtId="0" fontId="22" fillId="0" borderId="0" xfId="0" applyFont="1">
      <alignment vertical="center"/>
    </xf>
    <xf numFmtId="1" fontId="25" fillId="0" borderId="10" xfId="0" applyFont="1" applyBorder="1" applyNumberFormat="1">
      <alignment horizontal="center" vertical="center"/>
    </xf>
    <xf numFmtId="0" fontId="22" fillId="0" borderId="10" xfId="0" applyFont="1" applyBorder="1">
      <alignment vertical="center"/>
    </xf>
    <xf numFmtId="0" fontId="23" fillId="0" borderId="10" xfId="0" applyFont="1" applyBorder="1">
      <alignment horizontal="left" vertical="center"/>
    </xf>
    <xf numFmtId="0" fontId="23" fillId="0" borderId="11" xfId="0" applyFont="1" applyBorder="1">
      <alignment horizontal="left" vertical="center"/>
    </xf>
    <xf numFmtId="0" fontId="23" fillId="0" borderId="10" xfId="0" applyFont="1" applyBorder="1">
      <alignment vertical="center"/>
    </xf>
    <xf numFmtId="2" fontId="25" fillId="7" borderId="10" xfId="0" applyFont="1" applyFill="1" applyBorder="1" applyNumberFormat="1">
      <alignment horizontal="center" vertical="center"/>
    </xf>
    <xf numFmtId="176" fontId="25" fillId="7" borderId="10" xfId="0" applyFont="1" applyFill="1" applyBorder="1" applyNumberFormat="1">
      <alignment horizontal="center" vertical="center"/>
    </xf>
    <xf numFmtId="0" fontId="22" fillId="0" borderId="0" xfId="0" applyFont="1"/>
    <xf numFmtId="0" fontId="23" fillId="0" borderId="12" xfId="0" applyFont="1" applyBorder="1">
      <alignment horizontal="left" vertical="center"/>
    </xf>
    <xf numFmtId="0" fontId="23" fillId="0" borderId="13" xfId="0" applyFont="1" applyBorder="1">
      <alignment vertical="center"/>
    </xf>
    <xf numFmtId="0" fontId="22" fillId="0" borderId="0" xfId="0" applyFont="1">
      <alignment horizontal="left" vertical="center"/>
    </xf>
    <xf numFmtId="1" fontId="25" fillId="0" borderId="14" xfId="0" applyFont="1" applyBorder="1" applyNumberFormat="1">
      <alignment horizontal="center" vertical="center"/>
    </xf>
    <xf numFmtId="0" fontId="23" fillId="0" borderId="10" xfId="0" applyFont="1" applyBorder="1">
      <alignment vertical="center"/>
    </xf>
    <xf numFmtId="0" fontId="23" fillId="0" borderId="14" xfId="0" applyFont="1" applyBorder="1">
      <alignment vertical="center"/>
    </xf>
    <xf numFmtId="0" fontId="23" fillId="0" borderId="10" xfId="0" applyFont="1" applyBorder="1">
      <alignment horizontal="center" vertical="center"/>
    </xf>
    <xf numFmtId="0" fontId="25" fillId="0" borderId="10" xfId="0" applyFont="1" applyBorder="1">
      <alignment horizontal="center" vertical="center"/>
    </xf>
    <xf numFmtId="0" fontId="26" fillId="0" borderId="10" xfId="0" applyFont="1" applyBorder="1">
      <alignment horizontal="center" vertical="center"/>
    </xf>
    <xf numFmtId="0" fontId="0" fillId="0" borderId="10" xfId="0" applyFont="1" applyBorder="1"/>
    <xf numFmtId="171" fontId="21" fillId="34" borderId="10" xfId="0" applyFont="1" applyFill="1" applyBorder="1" applyNumberFormat="1">
      <alignment horizontal="center" vertical="center"/>
    </xf>
    <xf numFmtId="171" fontId="20" fillId="0" borderId="10" xfId="0" applyFont="1" applyBorder="1" applyNumberFormat="1">
      <alignment horizontal="left" vertical="top"/>
    </xf>
    <xf numFmtId="0" fontId="20" fillId="0" borderId="10" xfId="0" applyFont="1" applyBorder="1">
      <alignment horizontal="center" vertical="center"/>
    </xf>
    <xf numFmtId="171" fontId="21" fillId="7" borderId="10" xfId="0" applyFont="1" applyFill="1" applyBorder="1" applyNumberFormat="1">
      <alignment horizontal="center" vertical="center"/>
    </xf>
    <xf numFmtId="0" fontId="26" fillId="0" borderId="10" xfId="0" applyFont="1" applyBorder="1">
      <alignment horizontal="center" vertical="center"/>
    </xf>
    <xf numFmtId="171" fontId="21" fillId="35" borderId="10" xfId="0" applyFont="1" applyFill="1" applyBorder="1" applyNumberFormat="1">
      <alignment horizontal="center" vertical="center"/>
    </xf>
    <xf numFmtId="0" fontId="26" fillId="35" borderId="10" xfId="0" applyFont="1" applyFill="1" applyBorder="1">
      <alignment horizontal="center" vertical="center"/>
    </xf>
    <xf numFmtId="171" fontId="0" fillId="34" borderId="10" xfId="0" applyFont="1" applyFill="1" applyBorder="1" applyNumberFormat="1"/>
    <xf numFmtId="171" fontId="0" fillId="0" borderId="10" xfId="0" applyFont="1" applyBorder="1" applyNumberFormat="1"/>
    <xf numFmtId="0" fontId="20" fillId="0" borderId="10" xfId="0" applyFont="1" applyBorder="1">
      <alignment horizontal="center" vertical="center"/>
    </xf>
    <xf numFmtId="0" fontId="26" fillId="7" borderId="10" xfId="0" applyFont="1" applyFill="1" applyBorder="1">
      <alignment horizontal="center" vertical="center"/>
    </xf>
    <xf numFmtId="171" fontId="21" fillId="34" borderId="10" xfId="0" applyFont="1" applyFill="1" applyBorder="1" applyNumberFormat="1">
      <alignment horizontal="center" vertical="center"/>
    </xf>
    <xf numFmtId="171" fontId="21" fillId="7" borderId="10" xfId="0" applyFont="1" applyFill="1" applyBorder="1" applyNumberFormat="1">
      <alignment horizontal="center" vertical="center"/>
    </xf>
    <xf numFmtId="171" fontId="20" fillId="0" borderId="10" xfId="0" applyFont="1" applyBorder="1" applyNumberFormat="1">
      <alignment horizontal="left" vertical="top"/>
    </xf>
    <xf numFmtId="0" fontId="26" fillId="0" borderId="10" xfId="0" applyFont="1" applyBorder="1">
      <alignment horizontal="center" vertical="center"/>
    </xf>
    <xf numFmtId="0" fontId="20" fillId="0" borderId="10" xfId="0" applyFont="1" applyBorder="1">
      <alignment horizontal="center" vertical="center"/>
    </xf>
    <xf numFmtId="0" fontId="23" fillId="0" borderId="14" xfId="0" applyFont="1" applyBorder="1">
      <alignment horizontal="center" vertical="center"/>
    </xf>
    <xf numFmtId="0" fontId="23" fillId="0" borderId="14" xfId="0" applyFont="1" applyBorder="1">
      <alignment vertical="center"/>
    </xf>
    <xf numFmtId="171" fontId="20" fillId="0" borderId="10" xfId="0" applyFont="1" applyBorder="1" applyNumberFormat="1">
      <alignment horizontal="left" vertical="top"/>
    </xf>
    <xf numFmtId="0" fontId="23" fillId="0" borderId="10" xfId="0" applyFont="1" applyBorder="1">
      <alignment horizontal="center" vertical="center"/>
    </xf>
    <xf numFmtId="0" fontId="23" fillId="0" borderId="10" xfId="0" applyFont="1" applyBorder="1">
      <alignment horizontal="left" vertical="center"/>
    </xf>
    <xf numFmtId="0" fontId="26" fillId="0" borderId="10" xfId="0" applyFont="1" applyBorder="1">
      <alignment horizontal="center" vertical="center"/>
    </xf>
    <xf numFmtId="0" fontId="20" fillId="0" borderId="10" xfId="0" applyFont="1" applyBorder="1">
      <alignment horizontal="center" vertical="center"/>
    </xf>
    <xf numFmtId="0" fontId="23" fillId="33" borderId="14" xfId="0" applyFont="1" applyFill="1" applyBorder="1">
      <alignment vertical="center"/>
    </xf>
    <xf numFmtId="171" fontId="20" fillId="0" borderId="10" xfId="0" applyFont="1" applyBorder="1" applyNumberFormat="1">
      <alignment horizontal="left" vertical="top"/>
    </xf>
    <xf numFmtId="176" fontId="25" fillId="0" borderId="10" xfId="0" applyFont="1" applyBorder="1" applyNumberFormat="1">
      <alignment horizontal="center" vertical="center"/>
    </xf>
    <xf numFmtId="0" fontId="26" fillId="0" borderId="10" xfId="0" applyFont="1" applyBorder="1">
      <alignment horizontal="center" vertical="center"/>
    </xf>
    <xf numFmtId="0" fontId="20" fillId="0" borderId="10" xfId="0" applyFont="1" applyBorder="1">
      <alignment horizontal="center" vertical="center"/>
    </xf>
    <xf numFmtId="176" fontId="25" fillId="0" borderId="14" xfId="0" applyFont="1" applyBorder="1" applyNumberFormat="1">
      <alignment horizontal="center" vertical="center"/>
    </xf>
    <xf numFmtId="0" fontId="25" fillId="0" borderId="14" xfId="0" applyFont="1" applyBorder="1">
      <alignment horizontal="center" vertical="center"/>
    </xf>
    <xf numFmtId="0" fontId="23" fillId="0" borderId="12" xfId="0" applyFont="1" applyBorder="1">
      <alignment horizontal="left" vertical="center"/>
    </xf>
    <xf numFmtId="0" fontId="23" fillId="0" borderId="13" xfId="0" applyFont="1" applyBorder="1">
      <alignment vertical="center"/>
    </xf>
    <xf numFmtId="171" fontId="20" fillId="0" borderId="10" xfId="0" applyFont="1" applyBorder="1" applyNumberFormat="1">
      <alignment horizontal="left" vertical="top"/>
    </xf>
    <xf numFmtId="171" fontId="21" fillId="7" borderId="10" xfId="0" applyFont="1" applyFill="1" applyBorder="1" applyNumberFormat="1">
      <alignment horizontal="center" vertical="center"/>
    </xf>
    <xf numFmtId="171" fontId="21" fillId="34" borderId="10" xfId="0" applyFont="1" applyFill="1" applyBorder="1" applyNumberFormat="1">
      <alignment horizontal="center" vertical="center"/>
    </xf>
    <xf numFmtId="2" fontId="25" fillId="7" borderId="14" xfId="0" applyFont="1" applyFill="1" applyBorder="1" applyNumberFormat="1">
      <alignment horizontal="center" vertical="center"/>
    </xf>
    <xf numFmtId="176" fontId="25" fillId="7" borderId="14" xfId="0" applyFont="1" applyFill="1" applyBorder="1" applyNumberFormat="1">
      <alignment horizontal="center" vertical="center"/>
    </xf>
    <xf numFmtId="0" fontId="23" fillId="0" borderId="10" xfId="0" applyFont="1" applyBorder="1">
      <alignment vertical="center"/>
    </xf>
    <xf numFmtId="0" fontId="23" fillId="0" borderId="10" xfId="0" applyFont="1" applyBorder="1">
      <alignment horizontal="center" vertical="center"/>
    </xf>
    <xf numFmtId="2" fontId="25" fillId="7" borderId="10" xfId="0" applyFont="1" applyFill="1" applyBorder="1" applyNumberFormat="1">
      <alignment horizontal="center" vertical="center"/>
    </xf>
    <xf numFmtId="176" fontId="25" fillId="0" borderId="10" xfId="0" applyFont="1" applyBorder="1" applyNumberFormat="1">
      <alignment horizontal="center" vertical="center"/>
    </xf>
    <xf numFmtId="0" fontId="25" fillId="0" borderId="10" xfId="0" applyFont="1" applyBorder="1">
      <alignment horizontal="center" vertical="center"/>
    </xf>
    <xf numFmtId="176" fontId="25" fillId="7" borderId="10" xfId="0" applyFont="1" applyFill="1" applyBorder="1" applyNumberFormat="1">
      <alignment horizontal="center" vertical="center"/>
    </xf>
    <xf numFmtId="1" fontId="25" fillId="0" borderId="10" xfId="0" applyFont="1" applyBorder="1" applyNumberFormat="1">
      <alignment horizontal="center" vertical="center"/>
    </xf>
    <xf numFmtId="0" fontId="23" fillId="33" borderId="10" xfId="0" applyFont="1" applyFill="1" applyBorder="1">
      <alignment vertical="center"/>
    </xf>
    <xf numFmtId="2" fontId="25" fillId="0" borderId="10" xfId="0" applyFont="1" applyBorder="1" applyNumberFormat="1">
      <alignment horizontal="center" vertical="center"/>
    </xf>
    <xf numFmtId="175" fontId="23" fillId="33" borderId="0" xfId="0" applyFont="1" applyFill="1" applyNumberFormat="1">
      <alignment horizontal="left" vertical="center"/>
    </xf>
    <xf numFmtId="0" fontId="24" fillId="0" borderId="0" xfId="0" applyFont="1"/>
    <xf numFmtId="0" fontId="22" fillId="0" borderId="0" xfId="0" applyFont="1">
      <alignment vertical="center"/>
    </xf>
    <xf numFmtId="0" fontId="25" fillId="0" borderId="15" xfId="0" applyFont="1" applyBorder="1">
      <alignment horizontal="center" vertical="center"/>
    </xf>
    <xf numFmtId="176" fontId="25" fillId="0" borderId="15" xfId="0" applyFont="1" applyBorder="1" applyNumberFormat="1">
      <alignment horizontal="center" vertical="center"/>
    </xf>
    <xf numFmtId="0" fontId="23" fillId="0" borderId="11" xfId="0" applyFont="1" applyBorder="1">
      <alignment horizontal="left" vertical="center"/>
    </xf>
    <xf numFmtId="1" fontId="25" fillId="0" borderId="15" xfId="0" applyFont="1" applyBorder="1" applyNumberFormat="1">
      <alignment horizontal="center" vertical="center"/>
    </xf>
    <xf numFmtId="0" fontId="23" fillId="0" borderId="16" xfId="0" applyFont="1" applyBorder="1">
      <alignment horizontal="left" vertical="center"/>
    </xf>
    <xf numFmtId="1" fontId="25" fillId="0" borderId="17" xfId="0" applyFont="1" applyBorder="1" applyNumberFormat="1">
      <alignment horizontal="center" vertical="center"/>
    </xf>
    <xf numFmtId="1" fontId="25" fillId="0" borderId="15" xfId="0" applyFont="1" applyBorder="1" applyNumberFormat="1">
      <alignment horizontal="center" vertical="center"/>
    </xf>
    <xf numFmtId="0" fontId="23" fillId="0" borderId="11" xfId="0" applyFont="1" applyBorder="1">
      <alignment horizontal="left" vertical="center"/>
    </xf>
    <xf numFmtId="0" fontId="23" fillId="0" borderId="12" xfId="0" applyFont="1" applyBorder="1">
      <alignment horizontal="left" vertical="center"/>
    </xf>
    <xf numFmtId="0" fontId="23" fillId="0" borderId="13" xfId="0" applyFont="1" applyBorder="1">
      <alignment vertical="center"/>
    </xf>
    <xf numFmtId="0" fontId="23" fillId="0" borderId="13" xfId="0" applyFont="1" applyBorder="1">
      <alignment horizontal="center" vertical="center"/>
    </xf>
    <xf numFmtId="2" fontId="25" fillId="7" borderId="13" xfId="0" applyFont="1" applyFill="1" applyBorder="1" applyNumberFormat="1">
      <alignment horizontal="center" vertical="center"/>
    </xf>
    <xf numFmtId="176" fontId="25" fillId="0" borderId="13" xfId="0" applyFont="1" applyBorder="1" applyNumberFormat="1">
      <alignment horizontal="center" vertical="center"/>
    </xf>
    <xf numFmtId="0" fontId="25" fillId="0" borderId="13" xfId="0" applyFont="1" applyBorder="1">
      <alignment horizontal="center" vertical="center"/>
    </xf>
    <xf numFmtId="176" fontId="25" fillId="7" borderId="13" xfId="0" applyFont="1" applyFill="1" applyBorder="1" applyNumberFormat="1">
      <alignment horizontal="center" vertical="center"/>
    </xf>
    <xf numFmtId="1" fontId="25" fillId="0" borderId="13" xfId="0" applyFont="1" applyBorder="1" applyNumberFormat="1">
      <alignment horizontal="center" vertical="center"/>
    </xf>
    <xf numFmtId="1" fontId="25" fillId="0" borderId="18" xfId="0" applyFont="1" applyBorder="1" applyNumberFormat="1">
      <alignment horizontal="center" vertical="center"/>
    </xf>
    <xf numFmtId="0" fontId="23" fillId="0" borderId="10" xfId="0" applyFont="1" applyBorder="1">
      <alignment horizontal="center" vertical="center"/>
    </xf>
    <xf numFmtId="0" fontId="26" fillId="0" borderId="10" xfId="0" applyFont="1" applyBorder="1">
      <alignment horizontal="center" vertical="center"/>
    </xf>
    <xf numFmtId="0" fontId="20" fillId="0" borderId="10" xfId="0" applyFont="1" applyBorder="1">
      <alignment horizontal="center" vertical="center"/>
    </xf>
    <xf numFmtId="171" fontId="0" fillId="34" borderId="10" xfId="0" applyFont="1" applyFill="1" applyBorder="1" applyNumberFormat="1"/>
    <xf numFmtId="171" fontId="0" fillId="0" borderId="10" xfId="0" applyFont="1" applyBorder="1" applyNumberFormat="1"/>
    <xf numFmtId="0" fontId="23" fillId="0" borderId="10" xfId="0" applyFont="1" applyBorder="1">
      <alignment horizontal="center" vertical="center"/>
    </xf>
    <xf numFmtId="0" fontId="26" fillId="0" borderId="10" xfId="0" applyFont="1" applyBorder="1">
      <alignment horizontal="center" vertical="center"/>
    </xf>
    <xf numFmtId="0" fontId="20" fillId="0" borderId="10" xfId="0" applyFont="1" applyBorder="1">
      <alignment horizontal="center" vertical="center"/>
    </xf>
    <xf numFmtId="0" fontId="23" fillId="0" borderId="10" xfId="0" applyFont="1" applyBorder="1">
      <alignment horizontal="center" vertical="center"/>
    </xf>
    <xf numFmtId="0" fontId="23" fillId="0" borderId="10" xfId="0" applyFont="1" applyBorder="1">
      <alignment horizontal="left" vertical="center"/>
    </xf>
    <xf numFmtId="0" fontId="26" fillId="0" borderId="10" xfId="0" applyFont="1" applyBorder="1">
      <alignment horizontal="center" vertical="center"/>
    </xf>
    <xf numFmtId="0" fontId="20" fillId="0" borderId="10" xfId="0" applyFont="1" applyBorder="1">
      <alignment horizontal="center" vertical="center"/>
    </xf>
    <xf numFmtId="0" fontId="23" fillId="0" borderId="11" xfId="0" applyFont="1" applyBorder="1">
      <alignment horizontal="left" vertical="center"/>
    </xf>
    <xf numFmtId="0" fontId="22" fillId="0" borderId="11" xfId="0" applyFont="1" applyBorder="1">
      <alignment horizontal="left" vertical="center"/>
    </xf>
    <xf numFmtId="176" fontId="20" fillId="0" borderId="0" xfId="0" applyFont="1" applyNumberFormat="1">
      <alignment horizontal="left" vertical="center" wrapText="1"/>
    </xf>
    <xf numFmtId="174" fontId="20" fillId="0" borderId="0" xfId="0" applyFont="1" applyNumberFormat="1">
      <alignment horizontal="right" vertical="center" wrapText="1"/>
    </xf>
    <xf numFmtId="0" fontId="20" fillId="0" borderId="0" xfId="0" applyFont="1">
      <alignment horizontal="right" vertical="center" wrapText="1"/>
    </xf>
    <xf numFmtId="0" fontId="23" fillId="0" borderId="16" xfId="0" applyFont="1" applyBorder="1">
      <alignment horizontal="center" vertical="center"/>
    </xf>
    <xf numFmtId="0" fontId="23" fillId="0" borderId="19" xfId="0" applyFont="1" applyBorder="1">
      <alignment horizontal="center" vertical="center"/>
    </xf>
    <xf numFmtId="0" fontId="23" fillId="0" borderId="20" xfId="0" applyFont="1" applyBorder="1">
      <alignment horizontal="center" vertical="center"/>
    </xf>
    <xf numFmtId="0" fontId="27" fillId="0" borderId="21" xfId="0" applyFont="1" applyBorder="1">
      <alignment horizontal="center" vertical="center"/>
    </xf>
    <xf numFmtId="0" fontId="27" fillId="0" borderId="22" xfId="0" applyFont="1" applyBorder="1">
      <alignment horizontal="center" vertical="center"/>
    </xf>
    <xf numFmtId="0" fontId="27" fillId="0" borderId="23" xfId="0" applyFont="1" applyBorder="1">
      <alignment horizontal="center" vertical="center"/>
    </xf>
    <xf numFmtId="0" fontId="23" fillId="33" borderId="24" xfId="0" applyFont="1" applyFill="1" applyBorder="1">
      <alignment horizontal="right" vertical="center"/>
    </xf>
    <xf numFmtId="172" fontId="22" fillId="0" borderId="24" xfId="0" applyFont="1" applyBorder="1" applyNumberFormat="1">
      <alignment horizontal="left" vertical="center"/>
    </xf>
    <xf numFmtId="172" fontId="22" fillId="0" borderId="25" xfId="0" applyFont="1" applyBorder="1" applyNumberFormat="1">
      <alignment horizontal="left" vertical="center"/>
    </xf>
    <xf numFmtId="49" fontId="23" fillId="33" borderId="10" xfId="0" applyFont="1" applyFill="1" applyBorder="1" applyNumberFormat="1">
      <alignment horizontal="center" vertical="center"/>
    </xf>
    <xf numFmtId="0" fontId="22" fillId="0" borderId="10" xfId="0" applyFont="1" applyBorder="1">
      <alignment horizontal="center" vertical="center"/>
    </xf>
    <xf numFmtId="0" fontId="23" fillId="0" borderId="10" xfId="0" applyFont="1" applyBorder="1">
      <alignment horizontal="center" vertical="center"/>
    </xf>
    <xf numFmtId="0" fontId="23" fillId="0" borderId="15" xfId="0" applyFont="1" applyBorder="1">
      <alignment horizontal="center" vertical="center"/>
    </xf>
    <xf numFmtId="0" fontId="22" fillId="0" borderId="26" xfId="0" applyFont="1" applyBorder="1">
      <alignment horizontal="center" vertical="center"/>
    </xf>
    <xf numFmtId="0" fontId="22" fillId="0" borderId="0" xfId="0" applyFont="1">
      <alignment horizontal="center" vertical="center"/>
    </xf>
    <xf numFmtId="49" fontId="23" fillId="33" borderId="0" xfId="0" applyFont="1" applyFill="1" applyNumberFormat="1">
      <alignment horizontal="right" vertical="center"/>
    </xf>
    <xf numFmtId="49" fontId="23" fillId="33" borderId="15" xfId="0" applyFont="1" applyFill="1" applyBorder="1" applyNumberFormat="1">
      <alignment horizontal="center" vertical="center"/>
    </xf>
    <xf numFmtId="0" fontId="23" fillId="33" borderId="0" xfId="0" applyFont="1" applyFill="1">
      <alignment horizontal="right" vertical="center"/>
    </xf>
    <xf numFmtId="0" fontId="26" fillId="0" borderId="10" xfId="0" applyFont="1" applyBorder="1">
      <alignment horizontal="center" vertical="center"/>
    </xf>
    <xf numFmtId="0" fontId="26" fillId="0" borderId="10" xfId="0" applyFont="1" applyBorder="1">
      <alignment horizontal="center" vertical="center" wrapText="1"/>
    </xf>
    <xf numFmtId="0" fontId="26" fillId="7" borderId="10" xfId="0" applyFont="1" applyFill="1" applyBorder="1">
      <alignment horizontal="center" vertical="center"/>
    </xf>
    <xf numFmtId="0" fontId="20" fillId="0" borderId="10" xfId="0" applyFont="1" applyBorder="1">
      <alignment horizontal="center" vertical="center"/>
    </xf>
    <xf numFmtId="172" fontId="22" fillId="0" borderId="0" xfId="0" applyFont="1" applyNumberFormat="1">
      <alignment horizontal="left" vertical="center"/>
    </xf>
    <xf numFmtId="172" fontId="22" fillId="0" borderId="27" xfId="0" applyFont="1" applyBorder="1" applyNumberFormat="1">
      <alignment horizontal="left" vertical="center"/>
    </xf>
    <xf numFmtId="0" fontId="23" fillId="0" borderId="10" xfId="0" applyFont="1" applyBorder="1">
      <alignment horizontal="left" vertical="center"/>
    </xf>
    <xf numFmtId="0" fontId="23" fillId="0" borderId="16" xfId="0" applyFont="1" applyBorder="1">
      <alignment horizontal="left" vertical="center"/>
    </xf>
    <xf numFmtId="0" fontId="23" fillId="0" borderId="19" xfId="0" applyFont="1" applyBorder="1">
      <alignment horizontal="left" vertical="center"/>
    </xf>
    <xf numFmtId="0" fontId="23" fillId="0" borderId="20" xfId="0" applyFont="1" applyBorder="1">
      <alignment horizontal="left" vertical="center"/>
    </xf>
    <xf numFmtId="0" fontId="23" fillId="0" borderId="10" xfId="0" applyFont="1" applyBorder="1">
      <alignment horizontal="left" vertical="center"/>
    </xf>
    <xf numFmtId="171" fontId="21" fillId="34" borderId="10" xfId="0" applyFont="1" applyFill="1" applyBorder="1" applyNumberFormat="1">
      <alignment horizontal="center" vertical="center"/>
    </xf>
    <xf numFmtId="171" fontId="20" fillId="0" borderId="10" xfId="0" applyFont="1" applyBorder="1" applyNumberFormat="1">
      <alignment horizontal="left" vertical="top"/>
    </xf>
    <xf numFmtId="171" fontId="21" fillId="7" borderId="10" xfId="0" applyFont="1" applyFill="1" applyBorder="1" applyNumberFormat="1">
      <alignment horizontal="center" vertical="center"/>
    </xf>
    <xf numFmtId="0" fontId="22" fillId="0" borderId="0" xfId="0" applyFont="1">
      <alignment horizontal="left" vertical="center" wrapText="1"/>
    </xf>
    <xf numFmtId="0" fontId="22" fillId="0" borderId="0" xfId="0" applyFont="1">
      <alignment wrapText="1"/>
    </xf>
    <xf numFmtId="0" fontId="0" fillId="0" borderId="0" xfId="0" applyFont="1">
      <alignment wrapText="1"/>
    </xf>
    <xf numFmtId="0" fontId="27" fillId="0" borderId="21" xfId="0" applyFont="1" applyBorder="1">
      <alignment horizontal="center" vertical="center" wrapText="1"/>
    </xf>
    <xf numFmtId="0" fontId="27" fillId="0" borderId="22" xfId="0" applyFont="1" applyBorder="1">
      <alignment horizontal="center" vertical="center" wrapText="1"/>
    </xf>
    <xf numFmtId="0" fontId="27" fillId="0" borderId="23" xfId="0" applyFont="1" applyBorder="1">
      <alignment horizontal="center" vertical="center" wrapText="1"/>
    </xf>
    <xf numFmtId="0" fontId="22" fillId="0" borderId="26" xfId="0" applyFont="1" applyBorder="1">
      <alignment horizontal="center" vertical="center" wrapText="1"/>
    </xf>
    <xf numFmtId="0" fontId="22" fillId="0" borderId="0" xfId="0" applyFont="1">
      <alignment horizontal="center" vertical="center" wrapText="1"/>
    </xf>
    <xf numFmtId="49" fontId="23" fillId="33" borderId="0" xfId="0" applyFont="1" applyFill="1" applyNumberFormat="1">
      <alignment horizontal="right" vertical="center" wrapText="1"/>
    </xf>
    <xf numFmtId="175" fontId="23" fillId="33" borderId="0" xfId="0" applyFont="1" applyFill="1" applyNumberFormat="1">
      <alignment horizontal="left" vertical="center" wrapText="1"/>
    </xf>
    <xf numFmtId="0" fontId="24" fillId="0" borderId="0" xfId="0" applyFont="1">
      <alignment wrapText="1"/>
    </xf>
    <xf numFmtId="0" fontId="22" fillId="0" borderId="0" xfId="0" applyFont="1">
      <alignment vertical="center" wrapText="1"/>
    </xf>
    <xf numFmtId="0" fontId="23" fillId="33" borderId="24" xfId="0" applyFont="1" applyFill="1" applyBorder="1">
      <alignment horizontal="right" vertical="center" wrapText="1"/>
    </xf>
    <xf numFmtId="172" fontId="22" fillId="0" borderId="24" xfId="0" applyFont="1" applyBorder="1" applyNumberFormat="1">
      <alignment horizontal="left" vertical="center" wrapText="1"/>
    </xf>
    <xf numFmtId="172" fontId="22" fillId="0" borderId="25" xfId="0" applyFont="1" applyBorder="1" applyNumberFormat="1">
      <alignment horizontal="left" vertical="center" wrapText="1"/>
    </xf>
    <xf numFmtId="0" fontId="23" fillId="0" borderId="11" xfId="0" applyFont="1" applyBorder="1">
      <alignment horizontal="left" vertical="center" wrapText="1"/>
    </xf>
    <xf numFmtId="0" fontId="22" fillId="0" borderId="10" xfId="0" applyFont="1" applyBorder="1">
      <alignment horizontal="center" vertical="center" wrapText="1"/>
    </xf>
    <xf numFmtId="49" fontId="23" fillId="33" borderId="10" xfId="0" applyFont="1" applyFill="1" applyBorder="1" applyNumberFormat="1">
      <alignment horizontal="center" vertical="center" wrapText="1"/>
    </xf>
    <xf numFmtId="49" fontId="23" fillId="33" borderId="15" xfId="0" applyFont="1" applyFill="1" applyBorder="1" applyNumberFormat="1">
      <alignment horizontal="center" vertical="center" wrapText="1"/>
    </xf>
    <xf numFmtId="0" fontId="23" fillId="0" borderId="10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0" xfId="0" applyFont="1" applyBorder="1">
      <alignment horizontal="center" vertical="center" wrapText="1"/>
    </xf>
    <xf numFmtId="0" fontId="25" fillId="0" borderId="10" xfId="0" applyFont="1" applyBorder="1">
      <alignment horizontal="center" vertical="center" wrapText="1"/>
    </xf>
    <xf numFmtId="0" fontId="25" fillId="0" borderId="15" xfId="0" applyFont="1" applyBorder="1">
      <alignment horizontal="center" vertical="center" wrapText="1"/>
    </xf>
    <xf numFmtId="0" fontId="22" fillId="0" borderId="11" xfId="0" applyFont="1" applyBorder="1">
      <alignment horizontal="left" vertical="center" wrapText="1"/>
    </xf>
    <xf numFmtId="0" fontId="22" fillId="0" borderId="10" xfId="0" applyFont="1" applyBorder="1">
      <alignment vertical="center" wrapText="1"/>
    </xf>
    <xf numFmtId="0" fontId="22" fillId="0" borderId="10" xfId="0" applyFont="1" applyBorder="1">
      <alignment wrapText="1"/>
    </xf>
    <xf numFmtId="2" fontId="25" fillId="7" borderId="10" xfId="0" applyFont="1" applyFill="1" applyBorder="1" applyNumberFormat="1">
      <alignment horizontal="center" vertical="center" wrapText="1"/>
      <protection locked="0"/>
    </xf>
    <xf numFmtId="176" fontId="25" fillId="0" borderId="10" xfId="0" applyFont="1" applyBorder="1" applyNumberFormat="1">
      <alignment horizontal="center" vertical="center" wrapText="1"/>
    </xf>
    <xf numFmtId="176" fontId="25" fillId="7" borderId="10" xfId="0" applyFont="1" applyFill="1" applyBorder="1" applyNumberFormat="1">
      <alignment horizontal="center" vertical="center" wrapText="1"/>
      <protection locked="0"/>
    </xf>
    <xf numFmtId="176" fontId="25" fillId="0" borderId="15" xfId="0" applyFont="1" applyBorder="1" applyNumberFormat="1">
      <alignment horizontal="center" vertical="center" wrapText="1"/>
    </xf>
    <xf numFmtId="0" fontId="23" fillId="0" borderId="10" xfId="0" applyFont="1" applyBorder="1">
      <alignment vertical="center" wrapText="1"/>
    </xf>
    <xf numFmtId="0" fontId="23" fillId="0" borderId="10" xfId="0" applyFont="1" applyBorder="1">
      <alignment horizontal="left" vertical="center" wrapText="1"/>
    </xf>
    <xf numFmtId="0" fontId="23" fillId="0" borderId="11" xfId="0" applyFont="1" applyBorder="1">
      <alignment horizontal="left" vertical="center" wrapText="1"/>
    </xf>
    <xf numFmtId="0" fontId="23" fillId="0" borderId="16" xfId="0" applyFont="1" applyBorder="1">
      <alignment horizontal="left" vertical="center" wrapText="1"/>
    </xf>
    <xf numFmtId="0" fontId="23" fillId="0" borderId="10" xfId="0" applyFont="1" applyBorder="1">
      <alignment vertical="center" wrapText="1"/>
    </xf>
    <xf numFmtId="0" fontId="23" fillId="0" borderId="19" xfId="0" applyFont="1" applyBorder="1">
      <alignment horizontal="left" vertical="center" wrapText="1"/>
    </xf>
    <xf numFmtId="0" fontId="23" fillId="0" borderId="10" xfId="0" applyFont="1" applyBorder="1">
      <alignment horizontal="left" vertical="center" wrapText="1"/>
    </xf>
    <xf numFmtId="0" fontId="0" fillId="0" borderId="0" xfId="0" applyFont="1"/>
    <xf numFmtId="0" fontId="23" fillId="0" borderId="20" xfId="0" applyFont="1" applyBorder="1">
      <alignment horizontal="left" vertical="center" wrapText="1"/>
    </xf>
    <xf numFmtId="0" fontId="23" fillId="0" borderId="10" xfId="0" applyFont="1" applyBorder="1">
      <alignment horizontal="left" vertical="center" wrapText="1"/>
    </xf>
    <xf numFmtId="0" fontId="23" fillId="0" borderId="10" xfId="0" applyFont="1" applyBorder="1">
      <alignment horizontal="center" vertical="center" wrapText="1"/>
    </xf>
    <xf numFmtId="0" fontId="25" fillId="0" borderId="10" xfId="0" applyFont="1" applyBorder="1">
      <alignment horizontal="center" vertical="center" wrapText="1"/>
    </xf>
    <xf numFmtId="2" fontId="25" fillId="7" borderId="10" xfId="0" applyFont="1" applyFill="1" applyBorder="1" applyNumberFormat="1">
      <alignment horizontal="center" vertical="center" wrapText="1"/>
      <protection locked="0"/>
    </xf>
    <xf numFmtId="176" fontId="25" fillId="0" borderId="10" xfId="0" applyFont="1" applyBorder="1" applyNumberFormat="1">
      <alignment horizontal="center" vertical="center" wrapText="1"/>
    </xf>
    <xf numFmtId="176" fontId="25" fillId="7" borderId="10" xfId="0" applyFont="1" applyFill="1" applyBorder="1" applyNumberFormat="1">
      <alignment horizontal="center" vertical="center" wrapText="1"/>
      <protection locked="0"/>
    </xf>
    <xf numFmtId="0" fontId="0" fillId="0" borderId="0" xfId="0" applyFont="1">
      <alignment wrapText="1"/>
    </xf>
    <xf numFmtId="0" fontId="0" fillId="0" borderId="0" xfId="0" applyFont="1"/>
    <xf numFmtId="0" fontId="23" fillId="0" borderId="11" xfId="0" applyFont="1" applyBorder="1">
      <alignment horizontal="left" vertical="center" wrapText="1"/>
    </xf>
    <xf numFmtId="0" fontId="23" fillId="0" borderId="10" xfId="0" applyFont="1" applyBorder="1">
      <alignment horizontal="center" vertical="center" wrapText="1"/>
    </xf>
    <xf numFmtId="1" fontId="25" fillId="0" borderId="10" xfId="0" applyFont="1" applyBorder="1" applyNumberFormat="1">
      <alignment horizontal="center" vertical="center" wrapText="1"/>
    </xf>
    <xf numFmtId="1" fontId="25" fillId="0" borderId="15" xfId="0" applyFont="1" applyBorder="1" applyNumberFormat="1">
      <alignment horizontal="center" vertical="center" wrapText="1"/>
    </xf>
    <xf numFmtId="0" fontId="0" fillId="0" borderId="0" xfId="0" applyFont="1"/>
    <xf numFmtId="0" fontId="23" fillId="0" borderId="16" xfId="0" applyFont="1" applyBorder="1">
      <alignment horizontal="left" vertical="center" wrapText="1"/>
    </xf>
    <xf numFmtId="0" fontId="23" fillId="0" borderId="14" xfId="0" applyFont="1" applyBorder="1">
      <alignment vertical="center" wrapText="1"/>
    </xf>
    <xf numFmtId="0" fontId="23" fillId="0" borderId="14" xfId="0" applyFont="1" applyBorder="1">
      <alignment horizontal="center" vertical="center" wrapText="1"/>
    </xf>
    <xf numFmtId="2" fontId="25" fillId="7" borderId="14" xfId="0" applyFont="1" applyFill="1" applyBorder="1" applyNumberFormat="1">
      <alignment horizontal="center" vertical="center" wrapText="1"/>
      <protection locked="0"/>
    </xf>
    <xf numFmtId="176" fontId="25" fillId="0" borderId="14" xfId="0" applyFont="1" applyBorder="1" applyNumberFormat="1">
      <alignment horizontal="center" vertical="center" wrapText="1"/>
    </xf>
    <xf numFmtId="0" fontId="25" fillId="0" borderId="14" xfId="0" applyFont="1" applyBorder="1">
      <alignment horizontal="center" vertical="center" wrapText="1"/>
    </xf>
    <xf numFmtId="176" fontId="25" fillId="7" borderId="14" xfId="0" applyFont="1" applyFill="1" applyBorder="1" applyNumberFormat="1">
      <alignment horizontal="center" vertical="center" wrapText="1"/>
      <protection locked="0"/>
    </xf>
    <xf numFmtId="1" fontId="25" fillId="0" borderId="14" xfId="0" applyFont="1" applyBorder="1" applyNumberFormat="1">
      <alignment horizontal="center" vertical="center" wrapText="1"/>
    </xf>
    <xf numFmtId="1" fontId="25" fillId="0" borderId="17" xfId="0" applyFont="1" applyBorder="1" applyNumberFormat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1" fontId="25" fillId="0" borderId="10" xfId="0" applyFont="1" applyBorder="1" applyNumberFormat="1">
      <alignment horizontal="center" vertical="center" wrapText="1"/>
    </xf>
    <xf numFmtId="1" fontId="25" fillId="0" borderId="15" xfId="0" applyFont="1" applyBorder="1" applyNumberFormat="1">
      <alignment horizontal="center" vertical="center" wrapText="1"/>
    </xf>
    <xf numFmtId="0" fontId="0" fillId="0" borderId="0" xfId="0" applyFont="1"/>
    <xf numFmtId="0" fontId="23" fillId="0" borderId="19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3" fillId="33" borderId="10" xfId="0" applyFont="1" applyFill="1" applyBorder="1">
      <alignment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23" fillId="0" borderId="10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23" fillId="0" borderId="10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3" fillId="0" borderId="20" xfId="0" applyFont="1" applyBorder="1">
      <alignment horizontal="center" vertical="center" wrapText="1"/>
    </xf>
    <xf numFmtId="2" fontId="25" fillId="0" borderId="10" xfId="0" applyFont="1" applyBorder="1" applyNumberFormat="1">
      <alignment horizontal="center" vertical="center" wrapText="1"/>
    </xf>
    <xf numFmtId="0" fontId="0" fillId="0" borderId="0" xfId="0" applyFont="1"/>
    <xf numFmtId="0" fontId="23" fillId="0" borderId="12" xfId="0" applyFont="1" applyBorder="1">
      <alignment horizontal="left" vertical="center" wrapText="1"/>
    </xf>
    <xf numFmtId="0" fontId="23" fillId="0" borderId="13" xfId="0" applyFont="1" applyBorder="1">
      <alignment vertical="center" wrapText="1"/>
    </xf>
    <xf numFmtId="0" fontId="23" fillId="0" borderId="13" xfId="0" applyFont="1" applyBorder="1">
      <alignment horizontal="center" vertical="center" wrapText="1"/>
    </xf>
    <xf numFmtId="2" fontId="25" fillId="7" borderId="13" xfId="0" applyFont="1" applyFill="1" applyBorder="1" applyNumberFormat="1">
      <alignment horizontal="center" vertical="center" wrapText="1"/>
      <protection locked="0"/>
    </xf>
    <xf numFmtId="176" fontId="25" fillId="0" borderId="13" xfId="0" applyFont="1" applyBorder="1" applyNumberFormat="1">
      <alignment horizontal="center" vertical="center" wrapText="1"/>
    </xf>
    <xf numFmtId="0" fontId="25" fillId="0" borderId="13" xfId="0" applyFont="1" applyBorder="1">
      <alignment horizontal="center" vertical="center" wrapText="1"/>
    </xf>
    <xf numFmtId="176" fontId="25" fillId="7" borderId="13" xfId="0" applyFont="1" applyFill="1" applyBorder="1" applyNumberFormat="1">
      <alignment horizontal="center" vertical="center" wrapText="1"/>
      <protection locked="0"/>
    </xf>
    <xf numFmtId="1" fontId="25" fillId="0" borderId="13" xfId="0" applyFont="1" applyBorder="1" applyNumberFormat="1">
      <alignment horizontal="center" vertical="center" wrapText="1"/>
    </xf>
    <xf numFmtId="1" fontId="25" fillId="0" borderId="18" xfId="0" applyFont="1" applyBorder="1" applyNumberFormat="1">
      <alignment horizontal="center" vertical="center" wrapText="1"/>
    </xf>
    <xf numFmtId="0" fontId="20" fillId="0" borderId="0" xfId="0" applyFont="1">
      <alignment horizontal="right" vertical="center" wrapText="1"/>
    </xf>
    <xf numFmtId="176" fontId="20" fillId="0" borderId="0" xfId="0" applyFont="1" applyNumberFormat="1">
      <alignment horizontal="left" vertical="center" wrapText="1"/>
      <protection locked="0"/>
    </xf>
    <xf numFmtId="176" fontId="20" fillId="0" borderId="0" xfId="0" applyFont="1" applyNumberFormat="1">
      <alignment horizontal="left" vertical="center" wrapText="1"/>
    </xf>
    <xf numFmtId="173" fontId="21" fillId="0" borderId="0" xfId="0" applyFont="1" applyNumberFormat="1">
      <alignment horizontal="center" vertical="center" wrapText="1"/>
    </xf>
    <xf numFmtId="0" fontId="20" fillId="0" borderId="0" xfId="0" applyFont="1">
      <alignment wrapText="1"/>
    </xf>
    <xf numFmtId="0" fontId="20" fillId="0" borderId="0" xfId="0" applyFont="1">
      <alignment horizontal="center" vertical="center" wrapText="1"/>
    </xf>
    <xf numFmtId="174" fontId="20" fillId="0" borderId="0" xfId="0" applyFont="1" applyNumberFormat="1">
      <alignment horizontal="right" vertical="center" wrapText="1"/>
    </xf>
    <xf numFmtId="172" fontId="23" fillId="33" borderId="0" xfId="0" applyFont="1" applyFill="1" applyNumberFormat="1">
      <alignment horizontal="left" vertical="center" wrapText="1"/>
    </xf>
    <xf numFmtId="0" fontId="19" fillId="0" borderId="0" xfId="0" applyFont="1">
      <alignment wrapText="1"/>
    </xf>
    <xf numFmtId="172" fontId="19" fillId="0" borderId="0" xfId="0" applyFont="1" applyNumberFormat="1">
      <alignment wrapText="1"/>
    </xf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175" fontId="23" fillId="33" borderId="0" xfId="0" applyFont="1" applyFill="1" applyNumberFormat="1">
      <alignment horizontal="left" vertical="center" wrapText="1"/>
    </xf>
    <xf numFmtId="0" fontId="24" fillId="0" borderId="0" xfId="0" applyFont="1">
      <alignment wrapText="1"/>
    </xf>
    <xf numFmtId="0" fontId="22" fillId="0" borderId="0" xfId="0" applyFont="1">
      <alignment vertical="center" wrapText="1"/>
    </xf>
    <xf numFmtId="0" fontId="23" fillId="33" borderId="0" xfId="0" applyFont="1" applyFill="1">
      <alignment horizontal="right" vertical="center" wrapText="1"/>
    </xf>
    <xf numFmtId="172" fontId="22" fillId="0" borderId="0" xfId="0" applyFont="1" applyNumberFormat="1">
      <alignment horizontal="left" vertical="center" wrapText="1"/>
    </xf>
    <xf numFmtId="172" fontId="22" fillId="0" borderId="27" xfId="0" applyFont="1" applyBorder="1" applyNumberFormat="1">
      <alignment horizontal="left" vertical="center" wrapText="1"/>
    </xf>
    <xf numFmtId="0" fontId="23" fillId="0" borderId="10" xfId="0" applyFont="1" applyBorder="1">
      <alignment horizontal="left" vertical="center" wrapText="1"/>
    </xf>
    <xf numFmtId="0" fontId="0" fillId="0" borderId="0" xfId="0" applyFont="1"/>
    <xf numFmtId="0" fontId="23" fillId="0" borderId="10" xfId="0" applyFont="1" applyBorder="1">
      <alignment horizontal="center" vertical="center" wrapText="1"/>
    </xf>
    <xf numFmtId="0" fontId="26" fillId="0" borderId="10" xfId="0" applyFont="1" applyBorder="1">
      <alignment horizontal="center" vertical="center" wrapText="1"/>
    </xf>
    <xf numFmtId="0" fontId="0" fillId="0" borderId="10" xfId="0" applyFont="1" applyBorder="1">
      <alignment wrapText="1"/>
    </xf>
    <xf numFmtId="171" fontId="21" fillId="34" borderId="10" xfId="0" applyFont="1" applyFill="1" applyBorder="1" applyNumberFormat="1">
      <alignment horizontal="center" vertical="center" wrapText="1"/>
    </xf>
    <xf numFmtId="171" fontId="20" fillId="0" borderId="10" xfId="0" applyFont="1" applyBorder="1" applyNumberFormat="1">
      <alignment horizontal="left" vertical="top" wrapText="1"/>
    </xf>
    <xf numFmtId="0" fontId="20" fillId="0" borderId="10" xfId="0" applyFont="1" applyBorder="1">
      <alignment horizontal="center" vertical="center" wrapText="1"/>
    </xf>
    <xf numFmtId="171" fontId="21" fillId="7" borderId="10" xfId="0" applyFont="1" applyFill="1" applyBorder="1" applyNumberFormat="1">
      <alignment horizontal="center" vertical="center" wrapText="1"/>
    </xf>
    <xf numFmtId="0" fontId="23" fillId="0" borderId="10" xfId="0" applyFont="1" applyBorder="1">
      <alignment vertical="center" wrapText="1"/>
    </xf>
    <xf numFmtId="0" fontId="26" fillId="0" borderId="10" xfId="0" applyFont="1" applyBorder="1">
      <alignment horizontal="center" vertical="center" wrapText="1"/>
    </xf>
    <xf numFmtId="0" fontId="23" fillId="0" borderId="10" xfId="0" applyFont="1" applyBorder="1">
      <alignment horizontal="left" vertical="center" wrapText="1"/>
    </xf>
    <xf numFmtId="0" fontId="23" fillId="0" borderId="11" xfId="0" applyFont="1" applyBorder="1">
      <alignment horizontal="left" vertical="center" wrapText="1"/>
    </xf>
    <xf numFmtId="171" fontId="21" fillId="35" borderId="10" xfId="0" applyFont="1" applyFill="1" applyBorder="1" applyNumberFormat="1">
      <alignment horizontal="center" vertical="center" wrapText="1"/>
    </xf>
    <xf numFmtId="0" fontId="26" fillId="35" borderId="10" xfId="0" applyFont="1" applyFill="1" applyBorder="1">
      <alignment horizontal="center" vertical="center" wrapText="1"/>
    </xf>
    <xf numFmtId="0" fontId="0" fillId="0" borderId="0" xfId="0" applyFont="1"/>
    <xf numFmtId="0" fontId="20" fillId="0" borderId="10" xfId="0" applyFont="1" applyBorder="1">
      <alignment horizontal="center" vertical="center" wrapText="1"/>
    </xf>
    <xf numFmtId="0" fontId="0" fillId="0" borderId="0" xfId="0" applyFont="1"/>
    <xf numFmtId="171" fontId="21" fillId="34" borderId="10" xfId="0" applyFont="1" applyFill="1" applyBorder="1" applyNumberFormat="1">
      <alignment horizontal="center" vertical="center" wrapText="1"/>
    </xf>
    <xf numFmtId="171" fontId="20" fillId="0" borderId="10" xfId="0" applyFont="1" applyBorder="1" applyNumberFormat="1">
      <alignment horizontal="left" vertical="top" wrapText="1"/>
    </xf>
    <xf numFmtId="171" fontId="21" fillId="7" borderId="10" xfId="0" applyFont="1" applyFill="1" applyBorder="1" applyNumberFormat="1">
      <alignment horizontal="center" vertical="center" wrapText="1"/>
    </xf>
    <xf numFmtId="171" fontId="0" fillId="34" borderId="10" xfId="0" applyFont="1" applyFill="1" applyBorder="1" applyNumberFormat="1">
      <alignment wrapText="1"/>
    </xf>
    <xf numFmtId="171" fontId="0" fillId="0" borderId="10" xfId="0" applyFont="1" applyBorder="1" applyNumberFormat="1">
      <alignment wrapText="1"/>
    </xf>
    <xf numFmtId="0" fontId="0" fillId="0" borderId="0" xfId="0" applyFont="1"/>
    <xf numFmtId="0" fontId="26" fillId="0" borderId="10" xfId="0" applyFont="1" applyBorder="1">
      <alignment horizontal="center" vertical="center" wrapText="1"/>
    </xf>
    <xf numFmtId="171" fontId="0" fillId="34" borderId="10" xfId="0" applyFont="1" applyFill="1" applyBorder="1" applyNumberFormat="1">
      <alignment wrapText="1"/>
    </xf>
    <xf numFmtId="171" fontId="20" fillId="0" borderId="10" xfId="0" applyFont="1" applyBorder="1" applyNumberFormat="1">
      <alignment horizontal="left" vertical="top" wrapText="1"/>
    </xf>
    <xf numFmtId="0" fontId="20" fillId="0" borderId="10" xfId="0" applyFont="1" applyBorder="1">
      <alignment horizontal="center" vertical="center" wrapText="1"/>
    </xf>
    <xf numFmtId="171" fontId="0" fillId="0" borderId="10" xfId="0" applyFont="1" applyBorder="1" applyNumberFormat="1">
      <alignment wrapText="1"/>
    </xf>
    <xf numFmtId="0" fontId="0" fillId="0" borderId="0" xfId="0" applyFont="1"/>
    <xf numFmtId="0" fontId="0" fillId="0" borderId="0" xfId="0" applyFont="1"/>
    <xf numFmtId="0" fontId="23" fillId="0" borderId="14" xfId="0" applyFont="1" applyBorder="1">
      <alignment vertical="center" wrapText="1"/>
    </xf>
    <xf numFmtId="0" fontId="0" fillId="0" borderId="0" xfId="0" applyFont="1"/>
    <xf numFmtId="171" fontId="21" fillId="34" borderId="10" xfId="0" applyFont="1" applyFill="1" applyBorder="1" applyNumberFormat="1">
      <alignment horizontal="center" vertical="center" wrapText="1"/>
    </xf>
    <xf numFmtId="171" fontId="20" fillId="0" borderId="10" xfId="0" applyFont="1" applyBorder="1" applyNumberFormat="1">
      <alignment horizontal="left" vertical="top" wrapText="1"/>
    </xf>
    <xf numFmtId="171" fontId="21" fillId="7" borderId="10" xfId="0" applyFont="1" applyFill="1" applyBorder="1" applyNumberForma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6" fillId="0" borderId="10" xfId="0" applyFont="1" applyBorder="1">
      <alignment horizontal="center" vertical="center" wrapText="1"/>
    </xf>
    <xf numFmtId="171" fontId="20" fillId="0" borderId="10" xfId="0" applyFont="1" applyBorder="1" applyNumberFormat="1">
      <alignment horizontal="left" vertical="top" wrapText="1"/>
    </xf>
    <xf numFmtId="0" fontId="20" fillId="0" borderId="10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23" fillId="33" borderId="14" xfId="0" applyFont="1" applyFill="1" applyBorder="1">
      <alignment vertical="center" wrapText="1"/>
    </xf>
    <xf numFmtId="0" fontId="26" fillId="0" borderId="10" xfId="0" applyFont="1" applyBorder="1">
      <alignment horizontal="center" vertical="center" wrapText="1"/>
    </xf>
    <xf numFmtId="171" fontId="20" fillId="0" borderId="10" xfId="0" applyFont="1" applyBorder="1" applyNumberFormat="1">
      <alignment horizontal="left" vertical="top" wrapText="1"/>
    </xf>
    <xf numFmtId="0" fontId="20" fillId="0" borderId="10" xfId="0" applyFont="1" applyBorder="1">
      <alignment horizontal="center" vertical="center" wrapText="1"/>
    </xf>
    <xf numFmtId="0" fontId="0" fillId="0" borderId="0" xfId="0" applyFont="1">
      <alignment wrapText="1"/>
    </xf>
    <xf numFmtId="0" fontId="26" fillId="0" borderId="10" xfId="0" applyFont="1" applyBorder="1">
      <alignment horizontal="center" vertical="center" wrapText="1"/>
    </xf>
    <xf numFmtId="171" fontId="21" fillId="34" borderId="10" xfId="0" applyFont="1" applyFill="1" applyBorder="1" applyNumberFormat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171" fontId="21" fillId="7" borderId="10" xfId="0" applyFont="1" applyFill="1" applyBorder="1" applyNumberFormat="1">
      <alignment horizontal="center" vertical="center" wrapText="1"/>
    </xf>
    <xf numFmtId="0" fontId="0" fillId="0" borderId="0" xfId="0" applyFont="1"/>
    <xf numFmtId="0" fontId="0" fillId="0" borderId="0" xfId="0" applyFont="1"/>
    <xf numFmtId="0" fontId="26" fillId="0" borderId="10" xfId="0" applyFont="1" applyBorder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3" fillId="0" borderId="12" xfId="0" applyFont="1" applyBorder="1">
      <alignment horizontal="left" vertical="center" wrapText="1"/>
    </xf>
    <xf numFmtId="0" fontId="23" fillId="0" borderId="13" xfId="0" applyFont="1" applyBorder="1">
      <alignment vertical="center" wrapText="1"/>
    </xf>
    <xf numFmtId="0" fontId="26" fillId="0" borderId="10" xfId="0" applyFont="1" applyBorder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0" fontId="23" fillId="0" borderId="12" xfId="0" applyFont="1" applyBorder="1">
      <alignment horizontal="left" vertical="center" wrapText="1"/>
    </xf>
    <xf numFmtId="0" fontId="23" fillId="0" borderId="13" xfId="0" applyFont="1" applyBorder="1">
      <alignment vertical="center" wrapText="1"/>
    </xf>
    <xf numFmtId="0" fontId="26" fillId="0" borderId="10" xfId="0" applyFont="1" applyBorder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0" fontId="26" fillId="0" borderId="10" xfId="0" applyFont="1" applyBorder="1">
      <alignment horizontal="center" vertical="center" wrapText="1"/>
    </xf>
    <xf numFmtId="0" fontId="26" fillId="7" borderId="10" xfId="0" applyFont="1" applyFill="1" applyBorder="1">
      <alignment horizontal="center" vertical="center" wrapText="1"/>
    </xf>
    <xf numFmtId="0" fontId="26" fillId="7" borderId="10" xfId="0" applyFont="1" applyFill="1" applyBorder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left" vertical="center" wrapText="1"/>
    </xf>
    <xf numFmtId="0" fontId="0" fillId="0" borderId="0" xfId="0" applyFont="1">
      <alignment horizontal="center" vertical="center" wrapText="1"/>
    </xf>
    <xf numFmtId="173" fontId="18" fillId="0" borderId="0" xfId="0" applyFont="1" applyNumberFormat="1">
      <alignment horizontal="center" vertical="center" wrapText="1"/>
    </xf>
    <xf numFmtId="174" fontId="0" fillId="0" borderId="0" xfId="0" applyFont="1" applyNumberFormat="1">
      <alignment horizontal="center" vertical="center" wrapText="1"/>
    </xf>
    <xf numFmtId="171" fontId="1" fillId="0" borderId="0" xfId="0" applyFont="1" applyNumberFormat="1">
      <alignment horizontal="center" vertical="center" wrapText="1"/>
    </xf>
    <xf numFmtId="0" fontId="0" fillId="0" borderId="0" xfId="0" applyFont="1"/>
    <xf numFmtId="171" fontId="21" fillId="7" borderId="10" xfId="0" applyFont="1" applyFill="1" applyBorder="1" applyNumberForma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horizontal="left" vertical="top" wrapText="1"/>
    </xf>
    <xf numFmtId="171" fontId="20" fillId="0" borderId="10" xfId="0" applyFont="1" applyBorder="1" applyNumberFormat="1">
      <alignment horizontal="left" vertical="top"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1F77658-B5B8-293E-5013-E39CA7AEA308}" mc:Ignorable="x14ac xr xr2 xr3">
  <sheetPr>
    <pageSetUpPr fitToPage="1"/>
  </sheetPr>
  <dimension ref="A1:U53"/>
  <sheetViews>
    <sheetView showGridLines="0" workbookViewId="0" tabSelected="1">
      <pane xSplit="1" ySplit="6" topLeftCell="B16" activePane="bottomRight" state="frozen"/>
      <selection pane="bottomLeft" activeCell="A7" sqref="A7"/>
      <selection pane="topRight" activeCell="B1" sqref="B1"/>
      <selection pane="bottomRight" activeCell="A1" sqref="A1"/>
    </sheetView>
  </sheetViews>
  <sheetFormatPr defaultColWidth="9.00390625" customHeight="1" defaultRowHeight="14.25"/>
  <cols>
    <col min="1" max="1" style="77" width="11.25390625" customWidth="1"/>
    <col min="2" max="2" style="74" width="22.375" customWidth="1"/>
    <col min="3" max="3" style="74" width="4.50390625" customWidth="1"/>
    <col min="4" max="5" style="74" width="10.625" customWidth="1"/>
    <col min="6" max="6" style="74" width="4.50390625" customWidth="1"/>
    <col min="7" max="8" style="74" width="8.625" customWidth="1"/>
    <col min="9" max="9" style="74" width="4.50390625" customWidth="1"/>
    <col min="10" max="11" style="74" width="10.625" customWidth="1"/>
    <col min="12" max="12" style="74" width="4.50390625" customWidth="1"/>
    <col min="13" max="14" style="74" width="8.625" customWidth="1"/>
  </cols>
  <sheetData>
    <row customHeight="1" ht="2.25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  <c r="P1" s="202"/>
      <c r="Q1" s="202"/>
      <c r="R1" s="202"/>
      <c r="S1" s="202"/>
      <c r="T1" s="202"/>
      <c r="U1" s="202"/>
    </row>
    <row customHeight="1" ht="23.25">
      <c r="A2" s="203" t="s">
        <v>0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5"/>
      <c r="O2" s="202"/>
      <c r="P2" s="202"/>
      <c r="Q2" s="202"/>
      <c r="R2" s="202"/>
      <c r="S2" s="202"/>
      <c r="T2" s="202"/>
      <c r="U2" s="202"/>
    </row>
    <row customHeight="1" ht="14.25">
      <c r="A3" s="206" t="s">
        <v>1</v>
      </c>
      <c r="B3" s="207"/>
      <c r="C3" s="208" t="s">
        <v>2</v>
      </c>
      <c r="D3" s="208"/>
      <c r="E3" s="209" t="s">
        <v>3</v>
      </c>
      <c r="F3" s="210"/>
      <c r="G3" s="211"/>
      <c r="H3" s="211"/>
      <c r="I3" s="212" t="str">
        <f>取值!B1</f>
        <v>报表生成时间：</v>
      </c>
      <c r="J3" s="212"/>
      <c r="K3" s="212"/>
      <c r="L3" s="213">
        <f>_xlfn.IFERROR(取值!C1,"")</f>
        <v>46022</v>
      </c>
      <c r="M3" s="213"/>
      <c r="N3" s="214"/>
      <c r="O3" s="202"/>
      <c r="P3" s="202"/>
      <c r="Q3" s="202"/>
      <c r="R3" s="202"/>
      <c r="S3" s="202"/>
      <c r="T3" s="202"/>
      <c r="U3" s="202"/>
    </row>
    <row customHeight="1" ht="14.25">
      <c r="A4" s="215" t="s">
        <v>4</v>
      </c>
      <c r="B4" s="216" t="s">
        <v>5</v>
      </c>
      <c r="C4" s="217" t="s">
        <v>6</v>
      </c>
      <c r="D4" s="217"/>
      <c r="E4" s="217"/>
      <c r="F4" s="217"/>
      <c r="G4" s="217"/>
      <c r="H4" s="217"/>
      <c r="I4" s="217" t="s">
        <v>7</v>
      </c>
      <c r="J4" s="217"/>
      <c r="K4" s="217"/>
      <c r="L4" s="217"/>
      <c r="M4" s="217"/>
      <c r="N4" s="218"/>
      <c r="O4" s="202"/>
      <c r="P4" s="202"/>
      <c r="Q4" s="202"/>
      <c r="R4" s="202"/>
      <c r="S4" s="202"/>
      <c r="T4" s="202"/>
      <c r="U4" s="202"/>
    </row>
    <row customHeight="1" ht="14.25">
      <c r="A5" s="215"/>
      <c r="B5" s="216"/>
      <c r="C5" s="216" t="s">
        <v>8</v>
      </c>
      <c r="D5" s="219"/>
      <c r="E5" s="219"/>
      <c r="F5" s="219" t="s">
        <v>9</v>
      </c>
      <c r="G5" s="219"/>
      <c r="H5" s="219"/>
      <c r="I5" s="216" t="s">
        <v>8</v>
      </c>
      <c r="J5" s="219"/>
      <c r="K5" s="219"/>
      <c r="L5" s="219" t="s">
        <v>9</v>
      </c>
      <c r="M5" s="219"/>
      <c r="N5" s="220"/>
      <c r="O5" s="202"/>
      <c r="P5" s="202"/>
      <c r="Q5" s="202"/>
      <c r="R5" s="202"/>
      <c r="S5" s="202"/>
      <c r="T5" s="202"/>
      <c r="U5" s="202"/>
    </row>
    <row customHeight="1" ht="14.25">
      <c r="A6" s="215"/>
      <c r="B6" s="216"/>
      <c r="C6" s="221" t="s">
        <v>10</v>
      </c>
      <c r="D6" s="221" t="s">
        <v>11</v>
      </c>
      <c r="E6" s="221" t="s">
        <v>12</v>
      </c>
      <c r="F6" s="222" t="s">
        <v>10</v>
      </c>
      <c r="G6" s="222" t="s">
        <v>11</v>
      </c>
      <c r="H6" s="222" t="s">
        <v>12</v>
      </c>
      <c r="I6" s="221" t="s">
        <v>10</v>
      </c>
      <c r="J6" s="221" t="s">
        <v>11</v>
      </c>
      <c r="K6" s="221" t="s">
        <v>12</v>
      </c>
      <c r="L6" s="222" t="s">
        <v>10</v>
      </c>
      <c r="M6" s="222" t="s">
        <v>11</v>
      </c>
      <c r="N6" s="223" t="s">
        <v>12</v>
      </c>
      <c r="O6" s="202"/>
      <c r="P6" s="202"/>
      <c r="Q6" s="202"/>
      <c r="R6" s="202"/>
      <c r="S6" s="202"/>
      <c r="T6" s="202"/>
      <c r="U6" s="202"/>
    </row>
    <row customHeight="1" ht="14.25">
      <c r="A7" s="224" t="s">
        <v>13</v>
      </c>
      <c r="B7" s="225" t="s">
        <v>14</v>
      </c>
      <c r="C7" s="221" t="s">
        <v>15</v>
      </c>
      <c r="D7" s="226"/>
      <c r="E7" s="226"/>
      <c r="F7" s="222" t="s">
        <v>16</v>
      </c>
      <c r="G7" s="226"/>
      <c r="H7" s="226"/>
      <c r="I7" s="221" t="s">
        <v>15</v>
      </c>
      <c r="J7" s="227">
        <v>37838.24</v>
      </c>
      <c r="K7" s="228">
        <f>_xlfn.IFERROR(取值!K7+IF(调运月报!J7="",0,J7),"")</f>
        <v>513611.1</v>
      </c>
      <c r="L7" s="222" t="s">
        <v>16</v>
      </c>
      <c r="M7" s="229">
        <v>1179</v>
      </c>
      <c r="N7" s="230">
        <f>_xlfn.IFERROR(取值!N7+IF(调运月报!M7="",0,M7),"")</f>
        <v>15987</v>
      </c>
      <c r="O7" s="202"/>
      <c r="P7" s="202"/>
      <c r="Q7" s="202"/>
      <c r="R7" s="202"/>
      <c r="S7" s="202"/>
      <c r="T7" s="202"/>
      <c r="U7" s="202"/>
    </row>
    <row customHeight="1" ht="14.25">
      <c r="A8" s="215"/>
      <c r="B8" s="231" t="s">
        <v>17</v>
      </c>
      <c r="C8" s="221" t="s">
        <v>15</v>
      </c>
      <c r="D8" s="226"/>
      <c r="E8" s="226"/>
      <c r="F8" s="222" t="s">
        <v>16</v>
      </c>
      <c r="G8" s="226"/>
      <c r="H8" s="226"/>
      <c r="I8" s="221" t="s">
        <v>15</v>
      </c>
      <c r="J8" s="227" t="str">
        <f>IF(SUM(取值!J8)=0,"",SUM(取值!J8))</f>
        <v/>
      </c>
      <c r="K8" s="228">
        <f>_xlfn.IFERROR(取值!K8+IF(调运月报!J8="",0,J8),"")</f>
        <v>113316.6</v>
      </c>
      <c r="L8" s="222" t="s">
        <v>16</v>
      </c>
      <c r="M8" s="229">
        <v>0</v>
      </c>
      <c r="N8" s="230">
        <f>_xlfn.IFERROR(取值!N8+IF(调运月报!M8="",0,M8),"")</f>
        <v>3529</v>
      </c>
      <c r="O8" s="202"/>
      <c r="P8" s="202"/>
      <c r="Q8" s="202"/>
      <c r="R8" s="202"/>
      <c r="S8" s="202"/>
      <c r="T8" s="202"/>
      <c r="U8" s="202"/>
    </row>
    <row customHeight="1" ht="14.25">
      <c r="A9" s="215"/>
      <c r="B9" s="232" t="s">
        <v>18</v>
      </c>
      <c r="C9" s="221" t="s">
        <v>15</v>
      </c>
      <c r="D9" s="226"/>
      <c r="E9" s="226"/>
      <c r="F9" s="222" t="s">
        <v>16</v>
      </c>
      <c r="G9" s="226"/>
      <c r="H9" s="226"/>
      <c r="I9" s="221" t="s">
        <v>15</v>
      </c>
      <c r="J9" s="227" t="str">
        <f>IF(SUM(取值!J9)=0,"",SUM(取值!J9))</f>
        <v/>
      </c>
      <c r="K9" s="228">
        <f>_xlfn.IFERROR(取值!K9+IF(调运月报!J9="",0,J9),"")</f>
        <v>25700.48</v>
      </c>
      <c r="L9" s="222" t="s">
        <v>16</v>
      </c>
      <c r="M9" s="229">
        <v>0</v>
      </c>
      <c r="N9" s="230">
        <f>_xlfn.IFERROR(取值!N9+IF(调运月报!M9="",0,M9),"")</f>
        <v>801</v>
      </c>
      <c r="O9" s="202"/>
      <c r="P9" s="202"/>
      <c r="Q9" s="202"/>
      <c r="R9" s="202"/>
      <c r="S9" s="202"/>
      <c r="T9" s="202"/>
      <c r="U9" s="202"/>
    </row>
    <row customHeight="1" ht="14.25">
      <c r="A10" s="215" t="s">
        <v>19</v>
      </c>
      <c r="B10" s="231" t="s">
        <v>20</v>
      </c>
      <c r="C10" s="221" t="s">
        <v>15</v>
      </c>
      <c r="D10" s="226"/>
      <c r="E10" s="226"/>
      <c r="F10" s="222" t="s">
        <v>16</v>
      </c>
      <c r="G10" s="226"/>
      <c r="H10" s="226"/>
      <c r="I10" s="221" t="s">
        <v>15</v>
      </c>
      <c r="J10" s="227">
        <v>15554.72</v>
      </c>
      <c r="K10" s="228">
        <f>_xlfn.IFERROR(取值!K10+IF(调运月报!J10="",0,J10),"")</f>
        <v>296494.24</v>
      </c>
      <c r="L10" s="222" t="s">
        <v>16</v>
      </c>
      <c r="M10" s="229">
        <v>495</v>
      </c>
      <c r="N10" s="230">
        <f>_xlfn.IFERROR(取值!N10+IF(调运月报!M10="",0,M10),"")</f>
        <v>9348</v>
      </c>
      <c r="O10" s="202"/>
      <c r="P10" s="202"/>
      <c r="Q10" s="202"/>
      <c r="R10" s="202"/>
      <c r="S10" s="202"/>
      <c r="T10" s="202"/>
      <c r="U10" s="202"/>
    </row>
    <row customHeight="1" ht="14.25">
      <c r="A11" s="215"/>
      <c r="B11" s="232" t="s">
        <v>21</v>
      </c>
      <c r="C11" s="221" t="s">
        <v>15</v>
      </c>
      <c r="D11" s="226"/>
      <c r="E11" s="226"/>
      <c r="F11" s="222" t="s">
        <v>16</v>
      </c>
      <c r="G11" s="226"/>
      <c r="H11" s="226"/>
      <c r="I11" s="221" t="s">
        <v>15</v>
      </c>
      <c r="J11" s="227" t="str">
        <f>IF(SUM(取值!J11)=0,"",SUM(取值!J11))</f>
        <v/>
      </c>
      <c r="K11" s="228">
        <f>_xlfn.IFERROR(取值!K11+IF(调运月报!J11="",0,J11),"")</f>
        <v>0</v>
      </c>
      <c r="L11" s="222" t="s">
        <v>16</v>
      </c>
      <c r="M11" s="229">
        <v>0</v>
      </c>
      <c r="N11" s="230">
        <f>_xlfn.IFERROR(取值!N11+IF(调运月报!M11="",0,M11),"")</f>
        <v>0</v>
      </c>
      <c r="O11" s="202"/>
      <c r="P11" s="202"/>
      <c r="Q11" s="202"/>
      <c r="R11" s="202"/>
      <c r="S11" s="202"/>
      <c r="T11" s="202"/>
      <c r="U11" s="202"/>
    </row>
    <row customHeight="1" ht="14.25">
      <c r="A12" s="215"/>
      <c r="B12" s="232" t="s">
        <v>22</v>
      </c>
      <c r="C12" s="221" t="s">
        <v>15</v>
      </c>
      <c r="D12" s="226"/>
      <c r="E12" s="226"/>
      <c r="F12" s="222" t="s">
        <v>16</v>
      </c>
      <c r="G12" s="226"/>
      <c r="H12" s="226"/>
      <c r="I12" s="221" t="s">
        <v>15</v>
      </c>
      <c r="J12" s="227">
        <v>385.16</v>
      </c>
      <c r="K12" s="228">
        <f>_xlfn.IFERROR(取值!K12+IF(调运月报!J12="",0,J12),"")</f>
        <v>13195.9</v>
      </c>
      <c r="L12" s="222" t="s">
        <v>16</v>
      </c>
      <c r="M12" s="229">
        <v>12</v>
      </c>
      <c r="N12" s="230">
        <f>_xlfn.IFERROR(取值!N12+IF(调运月报!M12="",0,M12),"")</f>
        <v>414</v>
      </c>
      <c r="O12" s="202"/>
      <c r="P12" s="202"/>
      <c r="Q12" s="202"/>
      <c r="R12" s="202"/>
      <c r="S12" s="202"/>
      <c r="T12" s="202"/>
      <c r="U12" s="202"/>
    </row>
    <row customHeight="1" ht="14.25">
      <c r="A13" s="233" t="s">
        <v>23</v>
      </c>
      <c r="B13" s="231"/>
      <c r="C13" s="221" t="s">
        <v>15</v>
      </c>
      <c r="D13" s="226"/>
      <c r="E13" s="226"/>
      <c r="F13" s="222" t="s">
        <v>16</v>
      </c>
      <c r="G13" s="226"/>
      <c r="H13" s="226"/>
      <c r="I13" s="221" t="s">
        <v>15</v>
      </c>
      <c r="J13" s="227" t="str">
        <f>IF(SUM(取值!J13)=0,"",SUM(取值!J13))</f>
        <v/>
      </c>
      <c r="K13" s="228">
        <f>_xlfn.IFERROR(取值!K13+IF(调运月报!J13="",0,J13),"")</f>
        <v>0</v>
      </c>
      <c r="L13" s="222" t="s">
        <v>16</v>
      </c>
      <c r="M13" s="229">
        <v>0</v>
      </c>
      <c r="N13" s="230">
        <f>_xlfn.IFERROR(取值!N13+IF(调运月报!M13="",0,M13),"")</f>
        <v>0</v>
      </c>
      <c r="O13" s="202"/>
      <c r="P13" s="202"/>
      <c r="Q13" s="202"/>
      <c r="R13" s="202"/>
      <c r="S13" s="202"/>
      <c r="T13" s="202"/>
      <c r="U13" s="202"/>
    </row>
    <row customHeight="1" ht="14.25">
      <c r="A14" s="233" t="s">
        <v>24</v>
      </c>
      <c r="B14" s="231" t="s">
        <v>20</v>
      </c>
      <c r="C14" s="221" t="s">
        <v>15</v>
      </c>
      <c r="D14" s="226"/>
      <c r="E14" s="226"/>
      <c r="F14" s="222" t="s">
        <v>16</v>
      </c>
      <c r="G14" s="226"/>
      <c r="H14" s="226"/>
      <c r="I14" s="221" t="s">
        <v>15</v>
      </c>
      <c r="J14" s="227">
        <v>18441</v>
      </c>
      <c r="K14" s="228">
        <f>_xlfn.IFERROR(取值!K14+IF(调运月报!J14="",0,J14),"")</f>
        <v>228858</v>
      </c>
      <c r="L14" s="222" t="s">
        <v>16</v>
      </c>
      <c r="M14" s="229">
        <v>729</v>
      </c>
      <c r="N14" s="230">
        <f>_xlfn.IFERROR(取值!N14+IF(调运月报!M14="",0,M14),"")</f>
        <v>9105</v>
      </c>
      <c r="O14" s="202"/>
      <c r="P14" s="202"/>
      <c r="Q14" s="202"/>
      <c r="R14" s="202"/>
      <c r="S14" s="202"/>
      <c r="T14" s="202"/>
      <c r="U14" s="202"/>
    </row>
    <row customHeight="1" ht="14.25">
      <c r="A15" s="233" t="s">
        <v>25</v>
      </c>
      <c r="B15" s="232" t="s">
        <v>22</v>
      </c>
      <c r="C15" s="221" t="s">
        <v>15</v>
      </c>
      <c r="D15" s="226"/>
      <c r="E15" s="226"/>
      <c r="F15" s="222" t="s">
        <v>16</v>
      </c>
      <c r="G15" s="226"/>
      <c r="H15" s="226"/>
      <c r="I15" s="221" t="s">
        <v>15</v>
      </c>
      <c r="J15" s="227">
        <v>6836</v>
      </c>
      <c r="K15" s="228">
        <f>_xlfn.IFERROR(取值!K15+IF(调运月报!J15="",0,J15),"")</f>
        <v>75702.94</v>
      </c>
      <c r="L15" s="222" t="s">
        <v>16</v>
      </c>
      <c r="M15" s="229">
        <v>274</v>
      </c>
      <c r="N15" s="230">
        <f>_xlfn.IFERROR(取值!N15+IF(调运月报!M15="",0,M15),"")</f>
        <v>2964</v>
      </c>
      <c r="O15" s="202"/>
      <c r="P15" s="202"/>
      <c r="Q15" s="202"/>
      <c r="R15" s="202"/>
      <c r="S15" s="202"/>
      <c r="T15" s="202"/>
      <c r="U15" s="202"/>
    </row>
    <row customHeight="1" ht="14.25">
      <c r="A16" s="234" t="s">
        <v>26</v>
      </c>
      <c r="B16" s="235" t="s">
        <v>21</v>
      </c>
      <c r="C16" s="221" t="s">
        <v>15</v>
      </c>
      <c r="D16" s="226"/>
      <c r="E16" s="226"/>
      <c r="F16" s="222" t="s">
        <v>16</v>
      </c>
      <c r="G16" s="226"/>
      <c r="H16" s="226"/>
      <c r="I16" s="221" t="s">
        <v>15</v>
      </c>
      <c r="J16" s="227" t="str">
        <f>IF(SUM(取值!J16)=0,"",SUM(取值!J16))</f>
        <v/>
      </c>
      <c r="K16" s="228">
        <f>_xlfn.IFERROR(取值!K16+IF(调运月报!J16="",0,J16),"")</f>
        <v>0</v>
      </c>
      <c r="L16" s="222" t="s">
        <v>16</v>
      </c>
      <c r="M16" s="229">
        <v>0</v>
      </c>
      <c r="N16" s="230">
        <f>_xlfn.IFERROR(取值!N16+IF(调运月报!M16="",0,M16),"")</f>
        <v>0</v>
      </c>
      <c r="O16" s="202"/>
      <c r="P16" s="202"/>
      <c r="Q16" s="202"/>
      <c r="R16" s="202"/>
      <c r="S16" s="202"/>
      <c r="T16" s="202"/>
      <c r="U16" s="202"/>
    </row>
    <row customHeight="1" ht="14.25">
      <c r="A17" s="236"/>
      <c r="B17" s="237" t="s">
        <v>14</v>
      </c>
      <c r="C17" s="221" t="s">
        <v>15</v>
      </c>
      <c r="D17" s="226"/>
      <c r="E17" s="226"/>
      <c r="F17" s="222" t="s">
        <v>16</v>
      </c>
      <c r="G17" s="226"/>
      <c r="H17" s="226"/>
      <c r="I17" s="221" t="s">
        <v>15</v>
      </c>
      <c r="J17" s="227">
        <v>639.48</v>
      </c>
      <c r="K17" s="228">
        <f>_xlfn.IFERROR(取值!K17+IF(调运月报!J17="",0,J17),"")</f>
        <v>6796.96</v>
      </c>
      <c r="L17" s="222" t="s">
        <v>16</v>
      </c>
      <c r="M17" s="229">
        <v>21</v>
      </c>
      <c r="N17" s="230">
        <f>_xlfn.IFERROR(取值!N17+IF(调运月报!M17="",0,M17),"")</f>
        <v>221</v>
      </c>
      <c r="O17" s="202"/>
      <c r="P17" s="202"/>
      <c r="Q17" s="202"/>
      <c r="R17" s="202"/>
      <c r="S17" s="202"/>
      <c r="T17" s="202"/>
      <c r="U17" s="202"/>
    </row>
    <row s="238" customFormat="1" customHeight="1" ht="14.25">
      <c r="A18" s="239"/>
      <c r="B18" s="240" t="s">
        <v>27</v>
      </c>
      <c r="C18" s="241" t="s">
        <v>15</v>
      </c>
      <c r="D18" s="226"/>
      <c r="E18" s="226"/>
      <c r="F18" s="242" t="s">
        <v>16</v>
      </c>
      <c r="G18" s="226"/>
      <c r="H18" s="226"/>
      <c r="I18" s="241" t="s">
        <v>15</v>
      </c>
      <c r="J18" s="243" t="str">
        <f>IF(SUM(取值!J18)=0,"",SUM(取值!J18))</f>
        <v/>
      </c>
      <c r="K18" s="244">
        <f>_xlfn.IFERROR(取值!K18+IF(调运月报!J18="",0,J18),"")</f>
        <v>306</v>
      </c>
      <c r="L18" s="242" t="s">
        <v>16</v>
      </c>
      <c r="M18" s="245">
        <v>0</v>
      </c>
      <c r="N18" s="230">
        <f>_xlfn.IFERROR(取值!N18+IF(调运月报!M18="",0,M18),"")</f>
        <v>10</v>
      </c>
      <c r="O18" s="246"/>
      <c r="P18" s="246"/>
      <c r="Q18" s="246"/>
      <c r="R18" s="246"/>
      <c r="S18" s="246"/>
      <c r="T18" s="246"/>
      <c r="U18" s="246"/>
    </row>
    <row customHeight="1" ht="14.25">
      <c r="A19" s="215" t="s">
        <v>28</v>
      </c>
      <c r="B19" s="232" t="s">
        <v>29</v>
      </c>
      <c r="C19" s="221" t="s">
        <v>15</v>
      </c>
      <c r="D19" s="226"/>
      <c r="E19" s="226"/>
      <c r="F19" s="222" t="s">
        <v>16</v>
      </c>
      <c r="G19" s="226"/>
      <c r="H19" s="226"/>
      <c r="I19" s="221" t="s">
        <v>15</v>
      </c>
      <c r="J19" s="227">
        <v>70.62</v>
      </c>
      <c r="K19" s="228">
        <f>_xlfn.IFERROR(取值!K19+IF(调运月报!J19="",0,J19),"")</f>
        <v>3004.4</v>
      </c>
      <c r="L19" s="222" t="s">
        <v>16</v>
      </c>
      <c r="M19" s="229">
        <v>2</v>
      </c>
      <c r="N19" s="230">
        <f>_xlfn.IFERROR(取值!N19+IF(调运月报!M19="",0,M19),"")</f>
        <v>88</v>
      </c>
      <c r="O19" s="202"/>
      <c r="P19" s="202"/>
      <c r="Q19" s="202"/>
      <c r="R19" s="202"/>
      <c r="S19" s="202"/>
      <c r="T19" s="202"/>
      <c r="U19" s="202"/>
    </row>
    <row customHeight="1" ht="14.25">
      <c r="A20" s="215"/>
      <c r="B20" s="232" t="s">
        <v>22</v>
      </c>
      <c r="C20" s="221" t="s">
        <v>15</v>
      </c>
      <c r="D20" s="226"/>
      <c r="E20" s="226"/>
      <c r="F20" s="222" t="s">
        <v>16</v>
      </c>
      <c r="G20" s="226"/>
      <c r="H20" s="226"/>
      <c r="I20" s="221" t="s">
        <v>15</v>
      </c>
      <c r="J20" s="227">
        <v>194.24</v>
      </c>
      <c r="K20" s="228">
        <f>_xlfn.IFERROR(取值!K20+IF(调运月报!J20="",0,J20),"")</f>
        <v>553.92</v>
      </c>
      <c r="L20" s="222" t="s">
        <v>16</v>
      </c>
      <c r="M20" s="229">
        <v>6</v>
      </c>
      <c r="N20" s="230">
        <f>_xlfn.IFERROR(取值!N20+IF(调运月报!M20="",0,M20),"")</f>
        <v>17</v>
      </c>
      <c r="O20" s="202"/>
      <c r="P20" s="202"/>
      <c r="Q20" s="202"/>
      <c r="R20" s="202"/>
      <c r="S20" s="202"/>
      <c r="T20" s="202"/>
      <c r="U20" s="202"/>
    </row>
    <row customHeight="1" ht="14.25">
      <c r="A21" s="215"/>
      <c r="B21" s="232" t="s">
        <v>30</v>
      </c>
      <c r="C21" s="221" t="s">
        <v>15</v>
      </c>
      <c r="D21" s="226"/>
      <c r="E21" s="226"/>
      <c r="F21" s="222" t="s">
        <v>16</v>
      </c>
      <c r="G21" s="226"/>
      <c r="H21" s="226"/>
      <c r="I21" s="221" t="s">
        <v>15</v>
      </c>
      <c r="J21" s="227" t="str">
        <f>IF(SUM(取值!J21)=0,"",SUM(取值!J21))</f>
        <v/>
      </c>
      <c r="K21" s="228">
        <f>_xlfn.IFERROR(取值!K21+IF(调运月报!J21="",0,J21),"")</f>
        <v>0</v>
      </c>
      <c r="L21" s="222" t="s">
        <v>16</v>
      </c>
      <c r="M21" s="229">
        <v>0</v>
      </c>
      <c r="N21" s="230">
        <f>_xlfn.IFERROR(取值!N21+IF(调运月报!M21="",0,M21),"")</f>
        <v>0</v>
      </c>
      <c r="O21" s="202"/>
      <c r="P21" s="202"/>
      <c r="Q21" s="202"/>
      <c r="R21" s="202"/>
      <c r="S21" s="202"/>
      <c r="T21" s="202"/>
      <c r="U21" s="202"/>
    </row>
    <row customHeight="1" ht="14.25">
      <c r="A22" s="233" t="s">
        <v>31</v>
      </c>
      <c r="B22" s="231" t="s">
        <v>20</v>
      </c>
      <c r="C22" s="221" t="s">
        <v>15</v>
      </c>
      <c r="D22" s="226"/>
      <c r="E22" s="226"/>
      <c r="F22" s="222" t="s">
        <v>16</v>
      </c>
      <c r="G22" s="226"/>
      <c r="H22" s="226"/>
      <c r="I22" s="221" t="s">
        <v>15</v>
      </c>
      <c r="J22" s="227" t="str">
        <f>IF(SUM(取值!J22)=0,"",SUM(取值!J22))</f>
        <v/>
      </c>
      <c r="K22" s="228">
        <f>_xlfn.IFERROR(取值!K22+IF(调运月报!J22="",0,J22),"")</f>
        <v>0</v>
      </c>
      <c r="L22" s="222" t="s">
        <v>16</v>
      </c>
      <c r="M22" s="229">
        <v>0</v>
      </c>
      <c r="N22" s="230">
        <f>_xlfn.IFERROR(取值!N22+IF(调运月报!M22="",0,M22),"")</f>
        <v>0</v>
      </c>
      <c r="O22" s="202"/>
      <c r="P22" s="202"/>
      <c r="Q22" s="202"/>
      <c r="R22" s="202"/>
      <c r="S22" s="202"/>
      <c r="T22" s="202"/>
      <c r="U22" s="202"/>
    </row>
    <row s="247" customFormat="1" customHeight="1" ht="14.25">
      <c r="A23" s="248" t="s">
        <v>32</v>
      </c>
      <c r="B23" s="235" t="s">
        <v>20</v>
      </c>
      <c r="C23" s="249" t="s">
        <v>15</v>
      </c>
      <c r="D23" s="226"/>
      <c r="E23" s="226"/>
      <c r="F23" s="242" t="s">
        <v>16</v>
      </c>
      <c r="G23" s="226"/>
      <c r="H23" s="226"/>
      <c r="I23" s="249" t="s">
        <v>15</v>
      </c>
      <c r="J23" s="243">
        <v>19.96</v>
      </c>
      <c r="K23" s="244">
        <f>_xlfn.IFERROR(取值!K23+IF(调运月报!J23="",0,J23),"")</f>
        <v>49.82</v>
      </c>
      <c r="L23" s="242" t="s">
        <v>16</v>
      </c>
      <c r="M23" s="245">
        <v>1</v>
      </c>
      <c r="N23" s="230">
        <f>_xlfn.IFERROR(取值!N23+IF(调运月报!M23="",0,M23),"")</f>
        <v>2</v>
      </c>
      <c r="O23" s="246"/>
      <c r="P23" s="246"/>
      <c r="Q23" s="246"/>
      <c r="R23" s="246"/>
      <c r="S23" s="246"/>
      <c r="T23" s="246"/>
      <c r="U23" s="246"/>
    </row>
    <row customHeight="1" ht="14.25">
      <c r="A24" s="248" t="s">
        <v>33</v>
      </c>
      <c r="B24" s="231" t="s">
        <v>20</v>
      </c>
      <c r="C24" s="221" t="s">
        <v>15</v>
      </c>
      <c r="D24" s="227">
        <v>2286.72</v>
      </c>
      <c r="E24" s="228">
        <f>_xlfn.IFERROR(取值!E24+IF(调运月报!D24="",0,D24),"")</f>
        <v>43210.6</v>
      </c>
      <c r="F24" s="222" t="s">
        <v>16</v>
      </c>
      <c r="G24" s="229">
        <v>73</v>
      </c>
      <c r="H24" s="228">
        <f>_xlfn.IFERROR(取值!H24+IF(调运月报!G24="",0,G24),"")</f>
        <v>1383</v>
      </c>
      <c r="I24" s="221"/>
      <c r="J24" s="250"/>
      <c r="K24" s="250"/>
      <c r="L24" s="250"/>
      <c r="M24" s="250"/>
      <c r="N24" s="251"/>
      <c r="O24" s="202"/>
      <c r="P24" s="202"/>
      <c r="Q24" s="202"/>
      <c r="R24" s="202"/>
      <c r="S24" s="202"/>
      <c r="T24" s="202"/>
      <c r="U24" s="202"/>
    </row>
    <row s="252" customFormat="1" customHeight="1" ht="14.25">
      <c r="A25" s="248"/>
      <c r="B25" s="231" t="s">
        <v>34</v>
      </c>
      <c r="C25" s="221" t="s">
        <v>15</v>
      </c>
      <c r="D25" s="227" t="str">
        <f>IF(SUM(取值!D25)=0,"",SUM(取值!D25))</f>
        <v/>
      </c>
      <c r="E25" s="228">
        <f>_xlfn.IFERROR(取值!E25+IF(调运月报!D25="",0,D25),"")</f>
        <v>0</v>
      </c>
      <c r="F25" s="222" t="s">
        <v>16</v>
      </c>
      <c r="G25" s="229">
        <v>0</v>
      </c>
      <c r="H25" s="228">
        <f>_xlfn.IFERROR(取值!H25+IF(调运月报!G25="",0,G25),"")</f>
        <v>0</v>
      </c>
      <c r="I25" s="221"/>
      <c r="J25" s="250"/>
      <c r="K25" s="250"/>
      <c r="L25" s="250"/>
      <c r="M25" s="250"/>
      <c r="N25" s="251"/>
      <c r="O25" s="246"/>
      <c r="P25" s="246"/>
      <c r="Q25" s="246"/>
      <c r="R25" s="246"/>
      <c r="S25" s="246"/>
      <c r="T25" s="246"/>
      <c r="U25" s="246"/>
    </row>
    <row customHeight="1" ht="14.25">
      <c r="A26" s="253" t="s">
        <v>35</v>
      </c>
      <c r="B26" s="254" t="s">
        <v>20</v>
      </c>
      <c r="C26" s="255" t="s">
        <v>15</v>
      </c>
      <c r="D26" s="256">
        <v>7872.78</v>
      </c>
      <c r="E26" s="257">
        <f>_xlfn.IFERROR(取值!E26+IF(调运月报!D26="",0,D26),"")</f>
        <v>48534.2</v>
      </c>
      <c r="F26" s="258" t="s">
        <v>16</v>
      </c>
      <c r="G26" s="259">
        <v>251</v>
      </c>
      <c r="H26" s="257">
        <f>_xlfn.IFERROR(取值!H26+IF(调运月报!G26="",0,G26),"")</f>
        <v>1546</v>
      </c>
      <c r="I26" s="255"/>
      <c r="J26" s="260"/>
      <c r="K26" s="260"/>
      <c r="L26" s="260"/>
      <c r="M26" s="260"/>
      <c r="N26" s="261"/>
      <c r="O26" s="202"/>
      <c r="P26" s="202"/>
      <c r="Q26" s="202"/>
      <c r="R26" s="202"/>
      <c r="S26" s="202"/>
      <c r="T26" s="202"/>
      <c r="U26" s="202"/>
    </row>
    <row customHeight="1" ht="14.25">
      <c r="A27" s="262" t="s">
        <v>36</v>
      </c>
      <c r="B27" s="235" t="s">
        <v>30</v>
      </c>
      <c r="C27" s="249" t="s">
        <v>15</v>
      </c>
      <c r="D27" s="243" t="str">
        <f>IF(SUM(取值!D27)=0,"",SUM(取值!D27))</f>
        <v/>
      </c>
      <c r="E27" s="244">
        <f>_xlfn.IFERROR(取值!E27+IF(调运月报!D27="",0,D27),"")</f>
        <v>0</v>
      </c>
      <c r="F27" s="242" t="s">
        <v>16</v>
      </c>
      <c r="G27" s="245">
        <v>0</v>
      </c>
      <c r="H27" s="244">
        <f>_xlfn.IFERROR(取值!H27+IF(调运月报!G27="",0,G27),"")</f>
        <v>0</v>
      </c>
      <c r="I27" s="249"/>
      <c r="J27" s="263"/>
      <c r="K27" s="263"/>
      <c r="L27" s="263"/>
      <c r="M27" s="263"/>
      <c r="N27" s="264"/>
      <c r="O27" s="202"/>
      <c r="P27" s="202"/>
      <c r="Q27" s="202"/>
      <c r="R27" s="202"/>
      <c r="S27" s="202"/>
      <c r="T27" s="202"/>
      <c r="U27" s="202"/>
    </row>
    <row s="265" customFormat="1" customHeight="1" ht="14.25">
      <c r="A28" s="266"/>
      <c r="B28" s="235" t="s">
        <v>37</v>
      </c>
      <c r="C28" s="249" t="s">
        <v>15</v>
      </c>
      <c r="D28" s="243" t="str">
        <f>IF(SUM(取值!D28)=0,"",SUM(取值!D28))</f>
        <v/>
      </c>
      <c r="E28" s="244">
        <f>_xlfn.IFERROR(取值!E28+IF(调运月报!D28="",0,D28),"")</f>
        <v>0</v>
      </c>
      <c r="F28" s="242" t="s">
        <v>16</v>
      </c>
      <c r="G28" s="245">
        <v>0</v>
      </c>
      <c r="H28" s="244">
        <f>_xlfn.IFERROR(取值!H28+IF(调运月报!G28="",0,G28),"")</f>
        <v>0</v>
      </c>
      <c r="I28" s="249"/>
      <c r="J28" s="263"/>
      <c r="K28" s="263"/>
      <c r="L28" s="263"/>
      <c r="M28" s="263"/>
      <c r="N28" s="264"/>
      <c r="O28" s="246"/>
      <c r="P28" s="246"/>
      <c r="Q28" s="246"/>
      <c r="R28" s="246"/>
      <c r="S28" s="246"/>
      <c r="T28" s="246"/>
      <c r="U28" s="246"/>
    </row>
    <row s="267" customFormat="1" customHeight="1" ht="14.25">
      <c r="A29" s="266"/>
      <c r="B29" s="235" t="s">
        <v>38</v>
      </c>
      <c r="C29" s="249" t="s">
        <v>15</v>
      </c>
      <c r="D29" s="243" t="str">
        <f>IF(SUM(取值!D29)=0,"",SUM(取值!D29))</f>
        <v/>
      </c>
      <c r="E29" s="244">
        <f>_xlfn.IFERROR(取值!E29+IF(调运月报!D29="",0,D29),"")</f>
        <v>0</v>
      </c>
      <c r="F29" s="242" t="s">
        <v>16</v>
      </c>
      <c r="G29" s="245">
        <v>0</v>
      </c>
      <c r="H29" s="244">
        <f>_xlfn.IFERROR(取值!H29+IF(调运月报!G29="",0,G29),"")</f>
        <v>0</v>
      </c>
      <c r="I29" s="249"/>
      <c r="J29" s="263"/>
      <c r="K29" s="263"/>
      <c r="L29" s="263"/>
      <c r="M29" s="263"/>
      <c r="N29" s="264"/>
      <c r="O29" s="246"/>
      <c r="P29" s="246"/>
      <c r="Q29" s="246"/>
      <c r="R29" s="246"/>
      <c r="S29" s="246"/>
      <c r="T29" s="246"/>
      <c r="U29" s="246"/>
    </row>
    <row s="268" customFormat="1" customHeight="1" ht="14.25">
      <c r="A30" s="266"/>
      <c r="B30" s="235" t="s">
        <v>39</v>
      </c>
      <c r="C30" s="249" t="s">
        <v>15</v>
      </c>
      <c r="D30" s="243" t="str">
        <f>IF(SUM(取值!D30)=0,"",SUM(取值!D30))</f>
        <v/>
      </c>
      <c r="E30" s="244">
        <f>_xlfn.IFERROR(取值!E30+IF(调运月报!D30="",0,D30),"")</f>
        <v>0</v>
      </c>
      <c r="F30" s="242" t="s">
        <v>16</v>
      </c>
      <c r="G30" s="245">
        <v>0</v>
      </c>
      <c r="H30" s="244">
        <f>_xlfn.IFERROR(取值!H30+IF(调运月报!G30="",0,G30),"")</f>
        <v>0</v>
      </c>
      <c r="I30" s="249"/>
      <c r="J30" s="263"/>
      <c r="K30" s="263"/>
      <c r="L30" s="263"/>
      <c r="M30" s="263"/>
      <c r="N30" s="264"/>
      <c r="O30" s="246"/>
      <c r="P30" s="246"/>
      <c r="Q30" s="246"/>
      <c r="R30" s="246"/>
      <c r="S30" s="246"/>
      <c r="T30" s="246"/>
      <c r="U30" s="246"/>
    </row>
    <row s="269" customFormat="1" customHeight="1" ht="14.25">
      <c r="A31" s="266"/>
      <c r="B31" s="235" t="s">
        <v>40</v>
      </c>
      <c r="C31" s="249" t="s">
        <v>15</v>
      </c>
      <c r="D31" s="243" t="str">
        <f>IF(SUM(取值!D31)=0,"",SUM(取值!D31))</f>
        <v/>
      </c>
      <c r="E31" s="244">
        <f>_xlfn.IFERROR(取值!E31+IF(调运月报!D31="",0,D31),"")</f>
        <v>0</v>
      </c>
      <c r="F31" s="242" t="s">
        <v>16</v>
      </c>
      <c r="G31" s="245">
        <v>0</v>
      </c>
      <c r="H31" s="244">
        <f>_xlfn.IFERROR(取值!H31+IF(调运月报!G31="",0,G31),"")</f>
        <v>0</v>
      </c>
      <c r="I31" s="249"/>
      <c r="J31" s="263"/>
      <c r="K31" s="263"/>
      <c r="L31" s="263"/>
      <c r="M31" s="263"/>
      <c r="N31" s="264"/>
      <c r="O31" s="246"/>
      <c r="P31" s="246"/>
      <c r="Q31" s="246"/>
      <c r="R31" s="246"/>
      <c r="S31" s="246"/>
      <c r="T31" s="246"/>
      <c r="U31" s="246"/>
    </row>
    <row s="270" customFormat="1" customHeight="1" ht="14.25">
      <c r="A32" s="266"/>
      <c r="B32" s="235" t="s">
        <v>41</v>
      </c>
      <c r="C32" s="249" t="s">
        <v>15</v>
      </c>
      <c r="D32" s="243" t="str">
        <f>IF(SUM(取值!D32)=0,"",SUM(取值!D32))</f>
        <v/>
      </c>
      <c r="E32" s="244">
        <f>_xlfn.IFERROR(取值!E32+IF(调运月报!D32="",0,D32),"")</f>
        <v>0</v>
      </c>
      <c r="F32" s="242" t="s">
        <v>16</v>
      </c>
      <c r="G32" s="245">
        <v>0</v>
      </c>
      <c r="H32" s="244">
        <f>_xlfn.IFERROR(取值!H32+IF(调运月报!G32="",0,G32),"")</f>
        <v>0</v>
      </c>
      <c r="I32" s="249"/>
      <c r="J32" s="263"/>
      <c r="K32" s="263"/>
      <c r="L32" s="263"/>
      <c r="M32" s="263"/>
      <c r="N32" s="264"/>
      <c r="O32" s="246"/>
      <c r="P32" s="246"/>
      <c r="Q32" s="246"/>
      <c r="R32" s="246"/>
      <c r="S32" s="246"/>
      <c r="T32" s="246"/>
      <c r="U32" s="246"/>
    </row>
    <row s="271" customFormat="1" customHeight="1" ht="14.25">
      <c r="A33" s="266"/>
      <c r="B33" s="272" t="s">
        <v>42</v>
      </c>
      <c r="C33" s="249" t="s">
        <v>15</v>
      </c>
      <c r="D33" s="243">
        <v>454.46</v>
      </c>
      <c r="E33" s="244">
        <f>_xlfn.IFERROR(取值!E33+IF(调运月报!D33="",0,D33),"")</f>
        <v>4946.82</v>
      </c>
      <c r="F33" s="242" t="s">
        <v>16</v>
      </c>
      <c r="G33" s="245">
        <v>14</v>
      </c>
      <c r="H33" s="244">
        <f>_xlfn.IFERROR(取值!H33+IF(调运月报!G33="",0,G33),"")</f>
        <v>152</v>
      </c>
      <c r="I33" s="249"/>
      <c r="J33" s="263"/>
      <c r="K33" s="263"/>
      <c r="L33" s="263"/>
      <c r="M33" s="263"/>
      <c r="N33" s="264"/>
      <c r="O33" s="246"/>
      <c r="P33" s="246"/>
      <c r="Q33" s="246"/>
      <c r="R33" s="246"/>
      <c r="S33" s="246"/>
      <c r="T33" s="246"/>
      <c r="U33" s="246"/>
    </row>
    <row s="273" customFormat="1" customHeight="1" ht="14.25">
      <c r="A34" s="266"/>
      <c r="B34" s="272" t="s">
        <v>43</v>
      </c>
      <c r="C34" s="249" t="s">
        <v>15</v>
      </c>
      <c r="D34" s="243" t="str">
        <f>IF(SUM(取值!D34)=0,"",SUM(取值!D34))</f>
        <v/>
      </c>
      <c r="E34" s="244">
        <f>_xlfn.IFERROR(取值!E34+IF(调运月报!D34="",0,D34),"")</f>
        <v>1892.52</v>
      </c>
      <c r="F34" s="242" t="s">
        <v>16</v>
      </c>
      <c r="G34" s="245">
        <v>0</v>
      </c>
      <c r="H34" s="244">
        <f>_xlfn.IFERROR(取值!H34+IF(调运月报!G34="",0,G34),"")</f>
        <v>58</v>
      </c>
      <c r="I34" s="249"/>
      <c r="J34" s="263"/>
      <c r="K34" s="263"/>
      <c r="L34" s="263"/>
      <c r="M34" s="263"/>
      <c r="N34" s="264"/>
      <c r="O34" s="246"/>
      <c r="P34" s="246"/>
      <c r="Q34" s="246"/>
      <c r="R34" s="246"/>
      <c r="S34" s="246"/>
      <c r="T34" s="246"/>
      <c r="U34" s="246"/>
    </row>
    <row s="274" customFormat="1" customHeight="1" ht="14.25">
      <c r="A35" s="266"/>
      <c r="B35" s="272" t="s">
        <v>44</v>
      </c>
      <c r="C35" s="249" t="s">
        <v>15</v>
      </c>
      <c r="D35" s="243" t="str">
        <f>IF(SUM(取值!D35)=0,"",SUM(取值!D35))</f>
        <v/>
      </c>
      <c r="E35" s="244">
        <f>_xlfn.IFERROR(取值!E35+IF(调运月报!D35="",0,D35),"")</f>
        <v>3466.22</v>
      </c>
      <c r="F35" s="242" t="s">
        <v>16</v>
      </c>
      <c r="G35" s="245">
        <v>0</v>
      </c>
      <c r="H35" s="244">
        <f>_xlfn.IFERROR(取值!H35+IF(调运月报!G35="",0,G35),"")</f>
        <v>106</v>
      </c>
      <c r="I35" s="249"/>
      <c r="J35" s="263"/>
      <c r="K35" s="263"/>
      <c r="L35" s="263"/>
      <c r="M35" s="263"/>
      <c r="N35" s="264"/>
      <c r="O35" s="246"/>
      <c r="P35" s="246"/>
      <c r="Q35" s="246"/>
      <c r="R35" s="246"/>
      <c r="S35" s="246"/>
      <c r="T35" s="246"/>
      <c r="U35" s="246"/>
    </row>
    <row s="275" customFormat="1" customHeight="1" ht="14.25">
      <c r="A36" s="266"/>
      <c r="B36" s="272" t="s">
        <v>45</v>
      </c>
      <c r="C36" s="249" t="s">
        <v>15</v>
      </c>
      <c r="D36" s="243" t="str">
        <f>IF(SUM(取值!D36)=0,"",SUM(取值!D36))</f>
        <v/>
      </c>
      <c r="E36" s="244">
        <f>_xlfn.IFERROR(取值!E36+IF(调运月报!D36="",0,D36),"")</f>
        <v>553.36</v>
      </c>
      <c r="F36" s="242" t="s">
        <v>16</v>
      </c>
      <c r="G36" s="245">
        <v>0</v>
      </c>
      <c r="H36" s="244">
        <f>_xlfn.IFERROR(取值!H36+IF(调运月报!G36="",0,G36),"")</f>
        <v>17</v>
      </c>
      <c r="I36" s="249"/>
      <c r="J36" s="263"/>
      <c r="K36" s="263"/>
      <c r="L36" s="263"/>
      <c r="M36" s="263"/>
      <c r="N36" s="264"/>
      <c r="O36" s="246"/>
      <c r="P36" s="246"/>
      <c r="Q36" s="246"/>
      <c r="R36" s="246"/>
      <c r="S36" s="246"/>
      <c r="T36" s="246"/>
      <c r="U36" s="246"/>
    </row>
    <row customHeight="1" ht="14.25">
      <c r="A37" s="262"/>
      <c r="B37" s="272" t="s">
        <v>46</v>
      </c>
      <c r="C37" s="276" t="s">
        <v>15</v>
      </c>
      <c r="D37" s="243" t="str">
        <f>IF(SUM(取值!D37)=0,"",SUM(取值!D37))</f>
        <v/>
      </c>
      <c r="E37" s="244">
        <f>_xlfn.IFERROR(取值!E37+IF(调运月报!D37="",0,D37),"")</f>
        <v>2967.5</v>
      </c>
      <c r="F37" s="242" t="s">
        <v>16</v>
      </c>
      <c r="G37" s="245">
        <v>0</v>
      </c>
      <c r="H37" s="244">
        <f>_xlfn.IFERROR(取值!H37+IF(调运月报!G37="",0,G37),"")</f>
        <v>91</v>
      </c>
      <c r="I37" s="276"/>
      <c r="J37" s="263"/>
      <c r="K37" s="263"/>
      <c r="L37" s="263"/>
      <c r="M37" s="263"/>
      <c r="N37" s="264"/>
      <c r="O37" s="202"/>
      <c r="P37" s="202"/>
      <c r="Q37" s="202"/>
      <c r="R37" s="202"/>
      <c r="S37" s="202"/>
      <c r="T37" s="202"/>
      <c r="U37" s="202"/>
    </row>
    <row s="277" customFormat="1" customHeight="1" ht="14.25">
      <c r="A38" s="266"/>
      <c r="B38" s="272" t="s">
        <v>47</v>
      </c>
      <c r="C38" s="276" t="s">
        <v>15</v>
      </c>
      <c r="D38" s="243" t="str">
        <f>IF(SUM(取值!D38)=0,"",SUM(取值!D38))</f>
        <v/>
      </c>
      <c r="E38" s="244">
        <f>_xlfn.IFERROR(取值!E38+IF(调运月报!D38="",0,D38),"")</f>
        <v>1993.7</v>
      </c>
      <c r="F38" s="242" t="s">
        <v>16</v>
      </c>
      <c r="G38" s="245">
        <v>0</v>
      </c>
      <c r="H38" s="244">
        <f>_xlfn.IFERROR(取值!H38+IF(调运月报!G38="",0,G38),"")</f>
        <v>62</v>
      </c>
      <c r="I38" s="276"/>
      <c r="J38" s="263"/>
      <c r="K38" s="263"/>
      <c r="L38" s="263"/>
      <c r="M38" s="263"/>
      <c r="N38" s="264"/>
      <c r="O38" s="246"/>
      <c r="P38" s="246"/>
      <c r="Q38" s="246"/>
      <c r="R38" s="246"/>
      <c r="S38" s="246"/>
      <c r="T38" s="246"/>
      <c r="U38" s="246"/>
    </row>
    <row s="278" customFormat="1" customHeight="1" ht="14.25">
      <c r="A39" s="266"/>
      <c r="B39" s="272" t="str">
        <f>_xlfn.IFERROR(取值!B39,"")</f>
        <v>陕西长恒实业有限公司外购MTBE</v>
      </c>
      <c r="C39" s="279" t="s">
        <v>15</v>
      </c>
      <c r="D39" s="243" t="str">
        <f>IF(SUM(取值!D39)=0,"",SUM(取值!D39))</f>
        <v/>
      </c>
      <c r="E39" s="244">
        <f>_xlfn.IFERROR(取值!E39+IF(调运月报!D39="",0,D39),"")</f>
        <v>1489.5</v>
      </c>
      <c r="F39" s="242" t="s">
        <v>16</v>
      </c>
      <c r="G39" s="245">
        <v>0</v>
      </c>
      <c r="H39" s="244">
        <f>_xlfn.IFERROR(取值!H39+IF(调运月报!G39="",0,G39),"")</f>
        <v>45</v>
      </c>
      <c r="I39" s="279"/>
      <c r="J39" s="263"/>
      <c r="K39" s="263"/>
      <c r="L39" s="263"/>
      <c r="M39" s="263"/>
      <c r="N39" s="264"/>
      <c r="O39" s="246"/>
      <c r="P39" s="246"/>
      <c r="Q39" s="246"/>
      <c r="R39" s="246"/>
      <c r="S39" s="246"/>
      <c r="T39" s="246"/>
      <c r="U39" s="246"/>
    </row>
    <row s="280" customFormat="1" customHeight="1" ht="14.25">
      <c r="A40" s="266"/>
      <c r="B40" s="272" t="str">
        <f>_xlfn.IFERROR(取值!B40,"")</f>
        <v>江苏延长国际物流有限公司外购MTBE</v>
      </c>
      <c r="C40" s="279" t="s">
        <v>15</v>
      </c>
      <c r="D40" s="243" t="str">
        <f>IF(SUM(取值!D40)=0,"",SUM(取值!D40))</f>
        <v/>
      </c>
      <c r="E40" s="244">
        <f>_xlfn.IFERROR(取值!E40+IF(调运月报!D40="",0,D40),"")</f>
        <v>2558.42</v>
      </c>
      <c r="F40" s="242" t="s">
        <v>16</v>
      </c>
      <c r="G40" s="245">
        <v>0</v>
      </c>
      <c r="H40" s="244">
        <f>_xlfn.IFERROR(取值!H40+IF(调运月报!G40="",0,G40),"")</f>
        <v>79</v>
      </c>
      <c r="I40" s="279"/>
      <c r="J40" s="263"/>
      <c r="K40" s="263"/>
      <c r="L40" s="263"/>
      <c r="M40" s="263"/>
      <c r="N40" s="264"/>
      <c r="O40" s="246"/>
      <c r="P40" s="246"/>
      <c r="Q40" s="246"/>
      <c r="R40" s="246"/>
      <c r="S40" s="246"/>
      <c r="T40" s="246"/>
      <c r="U40" s="246"/>
    </row>
    <row s="281" customFormat="1" customHeight="1" ht="14.25">
      <c r="A41" s="266"/>
      <c r="B41" s="272" t="str">
        <f>_xlfn.IFERROR(取值!B41,"")</f>
        <v>榆林市新瑞能源化工有限公司外购MTBE</v>
      </c>
      <c r="C41" s="279" t="s">
        <v>15</v>
      </c>
      <c r="D41" s="243" t="str">
        <f>IF(SUM(取值!D41)=0,"",SUM(取值!D41))</f>
        <v/>
      </c>
      <c r="E41" s="244">
        <f>_xlfn.IFERROR(取值!E41+IF(调运月报!D41="",0,D41),"")</f>
        <v>1976.28</v>
      </c>
      <c r="F41" s="242" t="s">
        <v>16</v>
      </c>
      <c r="G41" s="245">
        <v>0</v>
      </c>
      <c r="H41" s="244">
        <f>_xlfn.IFERROR(取值!H41+IF(调运月报!G41="",0,G41),"")</f>
        <v>60</v>
      </c>
      <c r="I41" s="279"/>
      <c r="J41" s="263"/>
      <c r="K41" s="263"/>
      <c r="L41" s="263"/>
      <c r="M41" s="263"/>
      <c r="N41" s="264"/>
      <c r="O41" s="246"/>
      <c r="P41" s="246"/>
      <c r="Q41" s="246"/>
      <c r="R41" s="246"/>
      <c r="S41" s="246"/>
      <c r="T41" s="246"/>
      <c r="U41" s="246"/>
    </row>
    <row s="282" customFormat="1" customHeight="1" ht="14.25">
      <c r="A42" s="266"/>
      <c r="B42" s="272" t="str">
        <f>_xlfn.IFERROR(取值!B42,"")</f>
        <v>淄博瀚德化工有限公司外购MTBE</v>
      </c>
      <c r="C42" s="279" t="s">
        <v>15</v>
      </c>
      <c r="D42" s="243" t="str">
        <f>IF(SUM(取值!D42)=0,"",SUM(取值!D42))</f>
        <v/>
      </c>
      <c r="E42" s="244">
        <f>_xlfn.IFERROR(取值!E42+IF(调运月报!D42="",0,D42),"")</f>
        <v>994.56</v>
      </c>
      <c r="F42" s="242" t="s">
        <v>16</v>
      </c>
      <c r="G42" s="245">
        <v>0</v>
      </c>
      <c r="H42" s="244">
        <f>_xlfn.IFERROR(取值!H42+IF(调运月报!G42="",0,G42),"")</f>
        <v>30</v>
      </c>
      <c r="I42" s="279"/>
      <c r="J42" s="263"/>
      <c r="K42" s="263"/>
      <c r="L42" s="263"/>
      <c r="M42" s="263"/>
      <c r="N42" s="264"/>
      <c r="O42" s="246"/>
      <c r="P42" s="246"/>
      <c r="Q42" s="246"/>
      <c r="R42" s="246"/>
      <c r="S42" s="246"/>
      <c r="T42" s="246"/>
      <c r="U42" s="246"/>
    </row>
    <row s="283" customFormat="1" customHeight="1" ht="14.25">
      <c r="A43" s="284"/>
      <c r="B43" s="272" t="s">
        <v>48</v>
      </c>
      <c r="C43" s="249" t="s">
        <v>15</v>
      </c>
      <c r="D43" s="285">
        <f>SUM(D27:D42)</f>
        <v>454.46</v>
      </c>
      <c r="E43" s="244">
        <f>SUM(E27:E42)</f>
        <v>22838.88</v>
      </c>
      <c r="F43" s="242" t="s">
        <v>16</v>
      </c>
      <c r="G43" s="244">
        <f>SUM(G27:G42)</f>
        <v>14</v>
      </c>
      <c r="H43" s="244">
        <f>SUM(H27:H42)</f>
        <v>700</v>
      </c>
      <c r="I43" s="249"/>
      <c r="J43" s="263"/>
      <c r="K43" s="263"/>
      <c r="L43" s="263"/>
      <c r="M43" s="263"/>
      <c r="N43" s="264"/>
      <c r="O43" s="246"/>
      <c r="P43" s="246"/>
      <c r="Q43" s="246"/>
      <c r="R43" s="246"/>
      <c r="S43" s="246"/>
      <c r="T43" s="246"/>
      <c r="U43" s="246"/>
    </row>
    <row s="286" customFormat="1" customHeight="1" ht="14.25">
      <c r="A44" s="248" t="s">
        <v>49</v>
      </c>
      <c r="B44" s="235" t="s">
        <v>21</v>
      </c>
      <c r="C44" s="249" t="s">
        <v>15</v>
      </c>
      <c r="D44" s="243">
        <v>2215.68</v>
      </c>
      <c r="E44" s="244">
        <f>_xlfn.IFERROR(取值!E44+IF(调运月报!D44="",0,D44),"")</f>
        <v>30256.8</v>
      </c>
      <c r="F44" s="242" t="s">
        <v>16</v>
      </c>
      <c r="G44" s="245">
        <v>69</v>
      </c>
      <c r="H44" s="244">
        <f>_xlfn.IFERROR(取值!H44+IF(调运月报!G44="",0,G44),"")</f>
        <v>933</v>
      </c>
      <c r="I44" s="249"/>
      <c r="J44" s="263"/>
      <c r="K44" s="263"/>
      <c r="L44" s="263"/>
      <c r="M44" s="263"/>
      <c r="N44" s="264"/>
      <c r="O44" s="246"/>
      <c r="P44" s="246"/>
      <c r="Q44" s="246"/>
      <c r="R44" s="246"/>
      <c r="S44" s="246"/>
      <c r="T44" s="246"/>
      <c r="U44" s="246"/>
    </row>
    <row customHeight="1" ht="14.25">
      <c r="A45" s="287" t="s">
        <v>50</v>
      </c>
      <c r="B45" s="288" t="s">
        <v>30</v>
      </c>
      <c r="C45" s="289" t="s">
        <v>15</v>
      </c>
      <c r="D45" s="290" t="str">
        <f>IF(SUM(取值!D45)=0,"",SUM(取值!D45))</f>
        <v/>
      </c>
      <c r="E45" s="291">
        <f>_xlfn.IFERROR(取值!E45+IF(调运月报!D45="",0,D45),"")</f>
        <v>29220.94</v>
      </c>
      <c r="F45" s="292" t="s">
        <v>16</v>
      </c>
      <c r="G45" s="293">
        <v>0</v>
      </c>
      <c r="H45" s="291">
        <f>_xlfn.IFERROR(取值!H45+IF(调运月报!G45="",0,G45),"")</f>
        <v>893</v>
      </c>
      <c r="I45" s="289"/>
      <c r="J45" s="294"/>
      <c r="K45" s="294"/>
      <c r="L45" s="294"/>
      <c r="M45" s="294"/>
      <c r="N45" s="295"/>
      <c r="O45" s="202"/>
      <c r="P45" s="202"/>
      <c r="Q45" s="202"/>
      <c r="R45" s="202"/>
      <c r="S45" s="202"/>
      <c r="T45" s="202"/>
      <c r="U45" s="202"/>
    </row>
    <row customHeight="1" ht="14.25">
      <c r="A46" s="167" t="s">
        <v>51</v>
      </c>
      <c r="B46" s="167"/>
      <c r="C46" s="297" t="s">
        <v>52</v>
      </c>
      <c r="D46" s="165"/>
      <c r="E46" s="55"/>
      <c r="F46" s="300"/>
      <c r="G46" s="300"/>
      <c r="H46" s="57"/>
      <c r="I46" s="166" t="s">
        <v>53</v>
      </c>
      <c r="J46" s="166"/>
      <c r="K46" s="297" t="s">
        <v>54</v>
      </c>
      <c r="L46" s="165"/>
      <c r="M46" s="201"/>
      <c r="N46" s="201"/>
      <c r="O46" s="202"/>
      <c r="P46" s="202"/>
      <c r="Q46" s="202"/>
      <c r="R46" s="202"/>
      <c r="S46" s="202"/>
      <c r="T46" s="202"/>
      <c r="U46" s="202"/>
    </row>
    <row customHeight="1" ht="14.25">
      <c r="A47" s="200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2"/>
      <c r="P47" s="202"/>
      <c r="Q47" s="202"/>
      <c r="R47" s="202"/>
      <c r="S47" s="202"/>
      <c r="T47" s="202"/>
      <c r="U47" s="202"/>
    </row>
    <row customHeight="1" ht="14.25">
      <c r="A48" s="200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2"/>
      <c r="P48" s="202"/>
      <c r="Q48" s="202"/>
      <c r="R48" s="202"/>
      <c r="S48" s="202"/>
      <c r="T48" s="202"/>
      <c r="U48" s="202"/>
    </row>
    <row customHeight="1" ht="14.25">
      <c r="A49" s="200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2"/>
      <c r="P49" s="202"/>
      <c r="Q49" s="202"/>
      <c r="R49" s="202"/>
      <c r="S49" s="202"/>
      <c r="T49" s="202"/>
      <c r="U49" s="202"/>
    </row>
    <row customHeight="1" ht="14.25">
      <c r="A50" s="200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2"/>
      <c r="P50" s="202"/>
      <c r="Q50" s="202"/>
      <c r="R50" s="202"/>
      <c r="S50" s="202"/>
      <c r="T50" s="202"/>
      <c r="U50" s="202"/>
    </row>
    <row customHeight="1" ht="14.25">
      <c r="A51" s="200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2"/>
      <c r="P51" s="202"/>
      <c r="Q51" s="202"/>
      <c r="R51" s="202"/>
      <c r="S51" s="202"/>
      <c r="T51" s="202"/>
      <c r="U51" s="202"/>
    </row>
    <row customHeight="1" ht="14.25">
      <c r="A52" s="200"/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2"/>
      <c r="P52" s="202"/>
      <c r="Q52" s="202"/>
      <c r="R52" s="202"/>
      <c r="S52" s="202"/>
      <c r="T52" s="202"/>
      <c r="U52" s="202"/>
    </row>
    <row customHeight="1" ht="14.25">
      <c r="A53" s="200"/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2"/>
      <c r="P53" s="202"/>
      <c r="Q53" s="202"/>
      <c r="R53" s="202"/>
      <c r="S53" s="202"/>
      <c r="T53" s="202"/>
      <c r="U53" s="202"/>
    </row>
  </sheetData>
  <mergeCells count="22">
    <mergeCell ref="I4:N4"/>
    <mergeCell ref="A16:A18"/>
    <mergeCell ref="I46:J46"/>
    <mergeCell ref="K46:L46"/>
    <mergeCell ref="A46:B46"/>
    <mergeCell ref="A27:A43"/>
    <mergeCell ref="A2:N2"/>
    <mergeCell ref="I3:K3"/>
    <mergeCell ref="L3:N3"/>
    <mergeCell ref="C4:H4"/>
    <mergeCell ref="I5:K5"/>
    <mergeCell ref="L5:N5"/>
    <mergeCell ref="C5:E5"/>
    <mergeCell ref="F5:H5"/>
    <mergeCell ref="A3:B3"/>
    <mergeCell ref="A4:A6"/>
    <mergeCell ref="B4:B6"/>
    <mergeCell ref="C3:D3"/>
    <mergeCell ref="A19:A21"/>
    <mergeCell ref="A7:A9"/>
    <mergeCell ref="A10:A12"/>
    <mergeCell ref="C46:D46"/>
  </mergeCells>
  <printOptions horizontalCentered="1"/>
  <pageMargins left="0.31" right="0.31" top="0.55" bottom="0.55" header="0.31" footer="0.31"/>
  <pageSetup paperSize="9" scale="76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48F0EC3-1DE8-30B8-7999-AD5051BB9148}" mc:Ignorable="x14ac xr xr2 xr3">
  <dimension ref="A1:T85"/>
  <sheetViews>
    <sheetView topLeftCell="A1" workbookViewId="0">
      <selection activeCell="O18" sqref="O18"/>
    </sheetView>
  </sheetViews>
  <sheetFormatPr defaultColWidth="8.625" customHeight="1" defaultRowHeight="14.25"/>
  <cols>
    <col min="1" max="1" width="12.50390625" customWidth="1"/>
    <col min="2" max="2" width="24.75390625" customWidth="1"/>
  </cols>
  <sheetData>
    <row customHeight="1" ht="14.25">
      <c r="A1" s="303" t="s">
        <v>3</v>
      </c>
      <c r="B1" s="304" t="s">
        <v>55</v>
      </c>
      <c r="C1" s="305">
        <f>DATE(YEAR(A1),MONTH(A1)+1,1)-1</f>
        <v>46022</v>
      </c>
      <c r="D1" s="304" t="s">
        <v>56</v>
      </c>
      <c r="E1" s="202"/>
      <c r="F1" s="202"/>
      <c r="G1" s="202"/>
      <c r="H1" s="202"/>
      <c r="I1" s="202"/>
      <c r="J1" s="202"/>
      <c r="K1" s="202"/>
      <c r="L1" s="202"/>
      <c r="M1" s="202"/>
      <c r="N1" s="306" t="s">
        <v>55</v>
      </c>
      <c r="O1" s="306" t="s">
        <v>3</v>
      </c>
      <c r="P1" s="307" t="s">
        <v>56</v>
      </c>
      <c r="Q1" s="202"/>
      <c r="R1" s="202"/>
      <c r="S1" s="202"/>
      <c r="T1" s="202"/>
    </row>
    <row customHeight="1" ht="14.25">
      <c r="A2" s="203" t="s">
        <v>0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5"/>
      <c r="O2" s="202"/>
      <c r="P2" s="202"/>
      <c r="Q2" s="202"/>
      <c r="R2" s="202"/>
      <c r="S2" s="202"/>
      <c r="T2" s="202"/>
    </row>
    <row customHeight="1" ht="14.25">
      <c r="A3" s="206" t="s">
        <v>1</v>
      </c>
      <c r="B3" s="207"/>
      <c r="C3" s="208" t="s">
        <v>2</v>
      </c>
      <c r="D3" s="208"/>
      <c r="E3" s="308" t="s">
        <v>3</v>
      </c>
      <c r="F3" s="309"/>
      <c r="G3" s="310"/>
      <c r="H3" s="310"/>
      <c r="I3" s="311" t="str">
        <f>取值!B1</f>
        <v>报表生成时间：</v>
      </c>
      <c r="J3" s="311"/>
      <c r="K3" s="311"/>
      <c r="L3" s="312">
        <f>_xlfn.IFERROR(取值!C1,"")</f>
        <v>46022</v>
      </c>
      <c r="M3" s="312"/>
      <c r="N3" s="313"/>
      <c r="O3" s="202"/>
      <c r="P3" s="202"/>
      <c r="Q3" s="202"/>
      <c r="R3" s="202"/>
      <c r="S3" s="202"/>
      <c r="T3" s="202"/>
    </row>
    <row customHeight="1" ht="14.25">
      <c r="A4" s="314" t="s">
        <v>4</v>
      </c>
      <c r="B4" s="216" t="s">
        <v>5</v>
      </c>
      <c r="C4" s="217" t="s">
        <v>6</v>
      </c>
      <c r="D4" s="217"/>
      <c r="E4" s="217"/>
      <c r="F4" s="217"/>
      <c r="G4" s="217"/>
      <c r="H4" s="217"/>
      <c r="I4" s="217" t="s">
        <v>7</v>
      </c>
      <c r="J4" s="217"/>
      <c r="K4" s="217"/>
      <c r="L4" s="217"/>
      <c r="M4" s="217"/>
      <c r="N4" s="217"/>
      <c r="O4" s="202"/>
      <c r="P4" s="202"/>
      <c r="Q4" s="202"/>
      <c r="R4" s="202"/>
      <c r="S4" s="202"/>
      <c r="T4" s="202"/>
    </row>
    <row customHeight="1" ht="14.25">
      <c r="A5" s="314"/>
      <c r="B5" s="216"/>
      <c r="C5" s="216" t="s">
        <v>8</v>
      </c>
      <c r="D5" s="219"/>
      <c r="E5" s="219"/>
      <c r="F5" s="219" t="s">
        <v>9</v>
      </c>
      <c r="G5" s="219"/>
      <c r="H5" s="219"/>
      <c r="I5" s="216" t="s">
        <v>8</v>
      </c>
      <c r="J5" s="219"/>
      <c r="K5" s="219"/>
      <c r="L5" s="219" t="s">
        <v>9</v>
      </c>
      <c r="M5" s="219"/>
      <c r="N5" s="219"/>
      <c r="O5" s="202"/>
      <c r="P5" s="202"/>
      <c r="Q5" s="202"/>
      <c r="R5" s="202"/>
      <c r="S5" s="202"/>
      <c r="T5" s="202"/>
    </row>
    <row s="315" customFormat="1" customHeight="1" ht="14.25">
      <c r="A6" s="314"/>
      <c r="B6" s="216"/>
      <c r="C6" s="316" t="s">
        <v>10</v>
      </c>
      <c r="D6" s="316" t="s">
        <v>11</v>
      </c>
      <c r="E6" s="316" t="s">
        <v>12</v>
      </c>
      <c r="F6" s="222" t="s">
        <v>10</v>
      </c>
      <c r="G6" s="222" t="s">
        <v>11</v>
      </c>
      <c r="H6" s="222" t="s">
        <v>12</v>
      </c>
      <c r="I6" s="316" t="s">
        <v>10</v>
      </c>
      <c r="J6" s="316" t="s">
        <v>11</v>
      </c>
      <c r="K6" s="316" t="s">
        <v>12</v>
      </c>
      <c r="L6" s="222" t="s">
        <v>10</v>
      </c>
      <c r="M6" s="222" t="s">
        <v>11</v>
      </c>
      <c r="N6" s="222" t="s">
        <v>12</v>
      </c>
      <c r="O6" s="246"/>
      <c r="P6" s="246"/>
      <c r="Q6" s="246"/>
      <c r="R6" s="246"/>
      <c r="S6" s="246"/>
      <c r="T6" s="246"/>
    </row>
    <row customHeight="1" ht="14.25">
      <c r="A7" s="224" t="s">
        <v>13</v>
      </c>
      <c r="B7" s="225" t="s">
        <v>14</v>
      </c>
      <c r="C7" s="317" t="s">
        <v>15</v>
      </c>
      <c r="D7" s="318"/>
      <c r="E7" s="318"/>
      <c r="F7" s="318"/>
      <c r="G7" s="318"/>
      <c r="H7" s="318"/>
      <c r="I7" s="317" t="s">
        <v>15</v>
      </c>
      <c r="J7" s="319">
        <v>37838.24</v>
      </c>
      <c r="K7" s="320">
        <v>475772.86</v>
      </c>
      <c r="L7" s="321" t="s">
        <v>16</v>
      </c>
      <c r="M7" s="322">
        <v>1179</v>
      </c>
      <c r="N7" s="320">
        <v>14808</v>
      </c>
      <c r="O7" s="202"/>
      <c r="P7" s="202"/>
      <c r="Q7" s="202"/>
      <c r="R7" s="202"/>
      <c r="S7" s="202"/>
      <c r="T7" s="202"/>
    </row>
    <row customHeight="1" ht="14.25">
      <c r="A8" s="215"/>
      <c r="B8" s="323" t="s">
        <v>17</v>
      </c>
      <c r="C8" s="317" t="s">
        <v>15</v>
      </c>
      <c r="D8" s="318"/>
      <c r="E8" s="318"/>
      <c r="F8" s="318"/>
      <c r="G8" s="318"/>
      <c r="H8" s="318"/>
      <c r="I8" s="324" t="s">
        <v>15</v>
      </c>
      <c r="J8" s="319">
        <v>0</v>
      </c>
      <c r="K8" s="320">
        <v>113316.6</v>
      </c>
      <c r="L8" s="321" t="s">
        <v>16</v>
      </c>
      <c r="M8" s="322">
        <v>0</v>
      </c>
      <c r="N8" s="320">
        <v>3529</v>
      </c>
      <c r="O8" s="202"/>
      <c r="P8" s="202"/>
      <c r="Q8" s="202"/>
      <c r="R8" s="202"/>
      <c r="S8" s="202"/>
      <c r="T8" s="202"/>
    </row>
    <row customHeight="1" ht="14.25">
      <c r="A9" s="215"/>
      <c r="B9" s="325" t="s">
        <v>18</v>
      </c>
      <c r="C9" s="317" t="s">
        <v>15</v>
      </c>
      <c r="D9" s="318"/>
      <c r="E9" s="318"/>
      <c r="F9" s="318"/>
      <c r="G9" s="318"/>
      <c r="H9" s="318"/>
      <c r="I9" s="324" t="s">
        <v>15</v>
      </c>
      <c r="J9" s="319">
        <v>0</v>
      </c>
      <c r="K9" s="320">
        <v>25700.48</v>
      </c>
      <c r="L9" s="321" t="s">
        <v>16</v>
      </c>
      <c r="M9" s="322">
        <v>0</v>
      </c>
      <c r="N9" s="320">
        <v>801</v>
      </c>
      <c r="O9" s="202"/>
      <c r="P9" s="202"/>
      <c r="Q9" s="202"/>
      <c r="R9" s="202"/>
      <c r="S9" s="202"/>
      <c r="T9" s="202"/>
    </row>
    <row customHeight="1" ht="14.25">
      <c r="A10" s="215" t="s">
        <v>19</v>
      </c>
      <c r="B10" s="323" t="s">
        <v>20</v>
      </c>
      <c r="C10" s="317" t="s">
        <v>15</v>
      </c>
      <c r="D10" s="318"/>
      <c r="E10" s="318"/>
      <c r="F10" s="318"/>
      <c r="G10" s="318"/>
      <c r="H10" s="318"/>
      <c r="I10" s="324" t="s">
        <v>15</v>
      </c>
      <c r="J10" s="319">
        <v>15554.72</v>
      </c>
      <c r="K10" s="320">
        <v>280939.52</v>
      </c>
      <c r="L10" s="321" t="s">
        <v>16</v>
      </c>
      <c r="M10" s="322">
        <v>495</v>
      </c>
      <c r="N10" s="320">
        <v>8853</v>
      </c>
      <c r="O10" s="202"/>
      <c r="P10" s="202"/>
      <c r="Q10" s="202"/>
      <c r="R10" s="202"/>
      <c r="S10" s="202"/>
      <c r="T10" s="202"/>
    </row>
    <row customHeight="1" ht="14.25">
      <c r="A11" s="215"/>
      <c r="B11" s="325" t="s">
        <v>21</v>
      </c>
      <c r="C11" s="317" t="s">
        <v>15</v>
      </c>
      <c r="D11" s="318"/>
      <c r="E11" s="318"/>
      <c r="F11" s="318"/>
      <c r="G11" s="318"/>
      <c r="H11" s="318"/>
      <c r="I11" s="324" t="s">
        <v>15</v>
      </c>
      <c r="J11" s="319">
        <v>0</v>
      </c>
      <c r="K11" s="320"/>
      <c r="L11" s="321" t="s">
        <v>16</v>
      </c>
      <c r="M11" s="322">
        <v>0</v>
      </c>
      <c r="N11" s="320">
        <v>0</v>
      </c>
      <c r="O11" s="202"/>
      <c r="P11" s="202"/>
      <c r="Q11" s="202"/>
      <c r="R11" s="202"/>
      <c r="S11" s="202"/>
      <c r="T11" s="202"/>
    </row>
    <row customHeight="1" ht="14.25">
      <c r="A12" s="215"/>
      <c r="B12" s="325" t="s">
        <v>22</v>
      </c>
      <c r="C12" s="317" t="s">
        <v>15</v>
      </c>
      <c r="D12" s="318"/>
      <c r="E12" s="318"/>
      <c r="F12" s="318"/>
      <c r="G12" s="318"/>
      <c r="H12" s="318"/>
      <c r="I12" s="324" t="s">
        <v>15</v>
      </c>
      <c r="J12" s="319">
        <v>385.16</v>
      </c>
      <c r="K12" s="320">
        <v>12810.74</v>
      </c>
      <c r="L12" s="321" t="s">
        <v>16</v>
      </c>
      <c r="M12" s="322">
        <v>12</v>
      </c>
      <c r="N12" s="320">
        <v>402</v>
      </c>
      <c r="O12" s="202"/>
      <c r="P12" s="202"/>
      <c r="Q12" s="202"/>
      <c r="R12" s="202"/>
      <c r="S12" s="202"/>
      <c r="T12" s="202"/>
    </row>
    <row customHeight="1" ht="14.25">
      <c r="A13" s="326" t="s">
        <v>23</v>
      </c>
      <c r="B13" s="323"/>
      <c r="C13" s="317" t="s">
        <v>15</v>
      </c>
      <c r="D13" s="318"/>
      <c r="E13" s="318"/>
      <c r="F13" s="318"/>
      <c r="G13" s="318"/>
      <c r="H13" s="318"/>
      <c r="I13" s="324" t="s">
        <v>15</v>
      </c>
      <c r="J13" s="319">
        <v>0</v>
      </c>
      <c r="K13" s="320"/>
      <c r="L13" s="321" t="s">
        <v>16</v>
      </c>
      <c r="M13" s="322">
        <v>0</v>
      </c>
      <c r="N13" s="320">
        <v>0</v>
      </c>
      <c r="O13" s="202"/>
      <c r="P13" s="202"/>
      <c r="Q13" s="202"/>
      <c r="R13" s="202"/>
      <c r="S13" s="202"/>
      <c r="T13" s="202"/>
    </row>
    <row customHeight="1" ht="14.25">
      <c r="A14" s="326" t="s">
        <v>24</v>
      </c>
      <c r="B14" s="323" t="s">
        <v>20</v>
      </c>
      <c r="C14" s="317" t="s">
        <v>15</v>
      </c>
      <c r="D14" s="318"/>
      <c r="E14" s="318"/>
      <c r="F14" s="318"/>
      <c r="G14" s="318"/>
      <c r="H14" s="318"/>
      <c r="I14" s="324" t="s">
        <v>15</v>
      </c>
      <c r="J14" s="327">
        <f>SUM(J57:J59)</f>
        <v>18441</v>
      </c>
      <c r="K14" s="320">
        <v>210417</v>
      </c>
      <c r="L14" s="321" t="s">
        <v>16</v>
      </c>
      <c r="M14" s="322">
        <f>SUM(M57:M59)</f>
        <v>729</v>
      </c>
      <c r="N14" s="320">
        <v>8376</v>
      </c>
      <c r="O14" s="202"/>
      <c r="P14" s="202"/>
      <c r="Q14" s="202"/>
      <c r="R14" s="202"/>
      <c r="S14" s="202"/>
      <c r="T14" s="202"/>
    </row>
    <row customHeight="1" ht="14.25">
      <c r="A15" s="326" t="s">
        <v>25</v>
      </c>
      <c r="B15" s="325" t="s">
        <v>22</v>
      </c>
      <c r="C15" s="328" t="s">
        <v>15</v>
      </c>
      <c r="D15" s="318"/>
      <c r="E15" s="318"/>
      <c r="F15" s="318"/>
      <c r="G15" s="318"/>
      <c r="H15" s="318"/>
      <c r="I15" s="324" t="s">
        <v>15</v>
      </c>
      <c r="J15" s="327">
        <v>6836</v>
      </c>
      <c r="K15" s="320">
        <v>68866.94</v>
      </c>
      <c r="L15" s="321" t="s">
        <v>16</v>
      </c>
      <c r="M15" s="322">
        <v>274</v>
      </c>
      <c r="N15" s="320">
        <v>2690</v>
      </c>
      <c r="O15" s="202"/>
      <c r="P15" s="202"/>
      <c r="Q15" s="202"/>
      <c r="R15" s="202"/>
      <c r="S15" s="202"/>
      <c r="T15" s="202"/>
    </row>
    <row customHeight="1" ht="14.25">
      <c r="A16" s="234" t="s">
        <v>26</v>
      </c>
      <c r="B16" s="323" t="s">
        <v>21</v>
      </c>
      <c r="C16" s="317" t="s">
        <v>15</v>
      </c>
      <c r="D16" s="318"/>
      <c r="E16" s="318"/>
      <c r="F16" s="318"/>
      <c r="G16" s="318"/>
      <c r="H16" s="318"/>
      <c r="I16" s="324" t="s">
        <v>15</v>
      </c>
      <c r="J16" s="319">
        <v>0</v>
      </c>
      <c r="K16" s="320"/>
      <c r="L16" s="321" t="s">
        <v>16</v>
      </c>
      <c r="M16" s="322">
        <v>0</v>
      </c>
      <c r="N16" s="320">
        <v>0</v>
      </c>
      <c r="O16" s="202"/>
      <c r="P16" s="202"/>
      <c r="Q16" s="202"/>
      <c r="R16" s="202"/>
      <c r="S16" s="202"/>
      <c r="T16" s="202"/>
    </row>
    <row s="329" customFormat="1" customHeight="1" ht="14.25">
      <c r="A17" s="236"/>
      <c r="B17" s="325" t="s">
        <v>14</v>
      </c>
      <c r="C17" s="317"/>
      <c r="D17" s="318"/>
      <c r="E17" s="318"/>
      <c r="F17" s="318"/>
      <c r="G17" s="318"/>
      <c r="H17" s="318"/>
      <c r="I17" s="324" t="s">
        <v>15</v>
      </c>
      <c r="J17" s="319">
        <v>517.46</v>
      </c>
      <c r="K17" s="320">
        <v>6157.48</v>
      </c>
      <c r="L17" s="330" t="s">
        <v>16</v>
      </c>
      <c r="M17" s="322">
        <v>17</v>
      </c>
      <c r="N17" s="320">
        <v>200</v>
      </c>
      <c r="O17" s="246"/>
      <c r="P17" s="246"/>
      <c r="Q17" s="246"/>
      <c r="R17" s="246"/>
      <c r="S17" s="246"/>
      <c r="T17" s="246"/>
    </row>
    <row s="331" customFormat="1" customHeight="1" ht="14.25">
      <c r="A18" s="239"/>
      <c r="B18" s="237" t="s">
        <v>27</v>
      </c>
      <c r="C18" s="324"/>
      <c r="D18" s="318"/>
      <c r="E18" s="318"/>
      <c r="F18" s="318"/>
      <c r="G18" s="318"/>
      <c r="H18" s="318"/>
      <c r="I18" s="324" t="s">
        <v>15</v>
      </c>
      <c r="J18" s="332">
        <v>0</v>
      </c>
      <c r="K18" s="333">
        <v>306</v>
      </c>
      <c r="L18" s="330" t="s">
        <v>16</v>
      </c>
      <c r="M18" s="334">
        <v>0</v>
      </c>
      <c r="N18" s="333">
        <v>10</v>
      </c>
      <c r="O18" s="246"/>
      <c r="P18" s="246"/>
      <c r="Q18" s="246"/>
      <c r="R18" s="246"/>
      <c r="S18" s="246"/>
      <c r="T18" s="246"/>
    </row>
    <row customHeight="1" ht="14.25">
      <c r="A19" s="215" t="s">
        <v>28</v>
      </c>
      <c r="B19" s="325" t="s">
        <v>29</v>
      </c>
      <c r="C19" s="317" t="s">
        <v>15</v>
      </c>
      <c r="D19" s="318"/>
      <c r="E19" s="318"/>
      <c r="F19" s="318"/>
      <c r="G19" s="318"/>
      <c r="H19" s="318"/>
      <c r="I19" s="324" t="s">
        <v>15</v>
      </c>
      <c r="J19" s="327">
        <v>70.62</v>
      </c>
      <c r="K19" s="320">
        <v>2933.78</v>
      </c>
      <c r="L19" s="330" t="s">
        <v>16</v>
      </c>
      <c r="M19" s="322">
        <v>2</v>
      </c>
      <c r="N19" s="320">
        <v>86</v>
      </c>
      <c r="O19" s="202"/>
      <c r="P19" s="202"/>
      <c r="Q19" s="202"/>
      <c r="R19" s="202"/>
      <c r="S19" s="202"/>
      <c r="T19" s="202"/>
    </row>
    <row customHeight="1" ht="14.25">
      <c r="A20" s="215"/>
      <c r="B20" s="325" t="s">
        <v>22</v>
      </c>
      <c r="C20" s="317" t="s">
        <v>15</v>
      </c>
      <c r="D20" s="318"/>
      <c r="E20" s="318"/>
      <c r="F20" s="318"/>
      <c r="G20" s="318"/>
      <c r="H20" s="318"/>
      <c r="I20" s="324" t="s">
        <v>15</v>
      </c>
      <c r="J20" s="327">
        <v>194.24</v>
      </c>
      <c r="K20" s="320">
        <v>359.68</v>
      </c>
      <c r="L20" s="330" t="s">
        <v>16</v>
      </c>
      <c r="M20" s="322">
        <v>6</v>
      </c>
      <c r="N20" s="320">
        <v>11</v>
      </c>
      <c r="O20" s="202"/>
      <c r="P20" s="202"/>
      <c r="Q20" s="202"/>
      <c r="R20" s="202"/>
      <c r="S20" s="202"/>
      <c r="T20" s="202"/>
    </row>
    <row customHeight="1" ht="14.25">
      <c r="A21" s="215"/>
      <c r="B21" s="325" t="s">
        <v>30</v>
      </c>
      <c r="C21" s="317" t="s">
        <v>15</v>
      </c>
      <c r="D21" s="318"/>
      <c r="E21" s="318"/>
      <c r="F21" s="318"/>
      <c r="G21" s="318"/>
      <c r="H21" s="318"/>
      <c r="I21" s="324" t="s">
        <v>15</v>
      </c>
      <c r="J21" s="327">
        <v>0</v>
      </c>
      <c r="K21" s="320"/>
      <c r="L21" s="330" t="s">
        <v>16</v>
      </c>
      <c r="M21" s="322">
        <v>0</v>
      </c>
      <c r="N21" s="320">
        <v>0</v>
      </c>
      <c r="O21" s="202"/>
      <c r="P21" s="202"/>
      <c r="Q21" s="202"/>
      <c r="R21" s="202"/>
      <c r="S21" s="202"/>
      <c r="T21" s="202"/>
    </row>
    <row customHeight="1" ht="14.25">
      <c r="A22" s="326" t="s">
        <v>31</v>
      </c>
      <c r="B22" s="323" t="s">
        <v>20</v>
      </c>
      <c r="C22" s="317" t="s">
        <v>15</v>
      </c>
      <c r="D22" s="318"/>
      <c r="E22" s="318"/>
      <c r="F22" s="318"/>
      <c r="G22" s="318"/>
      <c r="H22" s="318"/>
      <c r="I22" s="324" t="s">
        <v>15</v>
      </c>
      <c r="J22" s="335">
        <f>SUM(D54:D55)</f>
        <v>0</v>
      </c>
      <c r="K22" s="320"/>
      <c r="L22" s="330" t="s">
        <v>16</v>
      </c>
      <c r="M22" s="336">
        <f>SUM(G54:G55)</f>
        <v>0</v>
      </c>
      <c r="N22" s="320">
        <v>0</v>
      </c>
      <c r="O22" s="202"/>
      <c r="P22" s="202"/>
      <c r="Q22" s="202"/>
      <c r="R22" s="202"/>
      <c r="S22" s="202"/>
      <c r="T22" s="202"/>
    </row>
    <row s="337" customFormat="1" customHeight="1" ht="14.25">
      <c r="A23" s="248" t="s">
        <v>32</v>
      </c>
      <c r="B23" s="235" t="s">
        <v>20</v>
      </c>
      <c r="C23" s="338" t="s">
        <v>15</v>
      </c>
      <c r="D23" s="318"/>
      <c r="E23" s="318"/>
      <c r="F23" s="318"/>
      <c r="G23" s="318"/>
      <c r="H23" s="318"/>
      <c r="I23" s="318"/>
      <c r="J23" s="339">
        <v>19.96</v>
      </c>
      <c r="K23" s="340">
        <v>29.86</v>
      </c>
      <c r="L23" s="341" t="s">
        <v>16</v>
      </c>
      <c r="M23" s="342">
        <v>1</v>
      </c>
      <c r="N23" s="340">
        <v>1</v>
      </c>
      <c r="O23" s="246"/>
      <c r="P23" s="246"/>
      <c r="Q23" s="246"/>
      <c r="R23" s="246"/>
      <c r="S23" s="246"/>
      <c r="T23" s="246"/>
    </row>
    <row customHeight="1" ht="14.25">
      <c r="A24" s="326" t="s">
        <v>33</v>
      </c>
      <c r="B24" s="323" t="s">
        <v>20</v>
      </c>
      <c r="C24" s="317" t="s">
        <v>15</v>
      </c>
      <c r="D24" s="319">
        <v>2286.72</v>
      </c>
      <c r="E24" s="320">
        <v>40923.88</v>
      </c>
      <c r="F24" s="321" t="s">
        <v>16</v>
      </c>
      <c r="G24" s="322">
        <v>73</v>
      </c>
      <c r="H24" s="320">
        <v>1310</v>
      </c>
      <c r="I24" s="318"/>
      <c r="J24" s="318"/>
      <c r="K24" s="318"/>
      <c r="L24" s="318"/>
      <c r="M24" s="318"/>
      <c r="N24" s="318"/>
      <c r="O24" s="202"/>
      <c r="P24" s="202"/>
      <c r="Q24" s="202"/>
      <c r="R24" s="202"/>
      <c r="S24" s="202"/>
      <c r="T24" s="202"/>
    </row>
    <row s="343" customFormat="1" customHeight="1" ht="14.25">
      <c r="A25" s="326"/>
      <c r="B25" s="323" t="s">
        <v>34</v>
      </c>
      <c r="C25" s="317" t="s">
        <v>15</v>
      </c>
      <c r="D25" s="319">
        <v>0</v>
      </c>
      <c r="E25" s="320"/>
      <c r="F25" s="321" t="s">
        <v>16</v>
      </c>
      <c r="G25" s="322">
        <v>0</v>
      </c>
      <c r="H25" s="320">
        <v>0</v>
      </c>
      <c r="I25" s="318"/>
      <c r="J25" s="318"/>
      <c r="K25" s="318"/>
      <c r="L25" s="318"/>
      <c r="M25" s="318"/>
      <c r="N25" s="318"/>
      <c r="O25" s="246"/>
      <c r="P25" s="246"/>
      <c r="Q25" s="246"/>
      <c r="R25" s="246"/>
      <c r="S25" s="246"/>
      <c r="T25" s="246"/>
    </row>
    <row customHeight="1" ht="14.25">
      <c r="A26" s="326" t="s">
        <v>35</v>
      </c>
      <c r="B26" s="231" t="s">
        <v>20</v>
      </c>
      <c r="C26" s="317" t="s">
        <v>15</v>
      </c>
      <c r="D26" s="319">
        <v>7872.78</v>
      </c>
      <c r="E26" s="320">
        <v>40661.42</v>
      </c>
      <c r="F26" s="321" t="s">
        <v>16</v>
      </c>
      <c r="G26" s="322">
        <v>251</v>
      </c>
      <c r="H26" s="320">
        <v>1295</v>
      </c>
      <c r="I26" s="318"/>
      <c r="J26" s="318"/>
      <c r="K26" s="318"/>
      <c r="L26" s="318"/>
      <c r="M26" s="318"/>
      <c r="N26" s="318"/>
      <c r="O26" s="202"/>
      <c r="P26" s="202"/>
      <c r="Q26" s="202"/>
      <c r="R26" s="202"/>
      <c r="S26" s="202"/>
      <c r="T26" s="202"/>
    </row>
    <row customHeight="1" ht="14.25">
      <c r="A27" s="262" t="s">
        <v>36</v>
      </c>
      <c r="B27" s="231" t="s">
        <v>30</v>
      </c>
      <c r="C27" s="317" t="s">
        <v>15</v>
      </c>
      <c r="D27" s="319">
        <v>0</v>
      </c>
      <c r="E27" s="320"/>
      <c r="F27" s="321" t="s">
        <v>16</v>
      </c>
      <c r="G27" s="322">
        <v>0</v>
      </c>
      <c r="H27" s="320">
        <v>0</v>
      </c>
      <c r="I27" s="318"/>
      <c r="J27" s="318"/>
      <c r="K27" s="318"/>
      <c r="L27" s="318"/>
      <c r="M27" s="318"/>
      <c r="N27" s="318"/>
      <c r="O27" s="202"/>
      <c r="P27" s="202"/>
      <c r="Q27" s="202"/>
      <c r="R27" s="202"/>
      <c r="S27" s="202"/>
      <c r="T27" s="202"/>
    </row>
    <row s="344" customFormat="1" customHeight="1" ht="14.25">
      <c r="A28" s="266"/>
      <c r="B28" s="345" t="s">
        <v>37</v>
      </c>
      <c r="C28" s="317" t="s">
        <v>15</v>
      </c>
      <c r="D28" s="319">
        <v>0</v>
      </c>
      <c r="E28" s="320"/>
      <c r="F28" s="321" t="s">
        <v>16</v>
      </c>
      <c r="G28" s="322">
        <v>0</v>
      </c>
      <c r="H28" s="320">
        <v>0</v>
      </c>
      <c r="I28" s="318"/>
      <c r="J28" s="318"/>
      <c r="K28" s="318"/>
      <c r="L28" s="318"/>
      <c r="M28" s="318"/>
      <c r="N28" s="318"/>
      <c r="O28" s="246"/>
      <c r="P28" s="246"/>
      <c r="Q28" s="246"/>
      <c r="R28" s="246"/>
      <c r="S28" s="246"/>
      <c r="T28" s="246"/>
    </row>
    <row s="346" customFormat="1" customHeight="1" ht="14.25">
      <c r="A29" s="266"/>
      <c r="B29" s="345" t="s">
        <v>38</v>
      </c>
      <c r="C29" s="317" t="s">
        <v>15</v>
      </c>
      <c r="D29" s="347">
        <v>0</v>
      </c>
      <c r="E29" s="348"/>
      <c r="F29" s="321" t="s">
        <v>16</v>
      </c>
      <c r="G29" s="349">
        <v>0</v>
      </c>
      <c r="H29" s="348">
        <v>0</v>
      </c>
      <c r="I29" s="318"/>
      <c r="J29" s="318"/>
      <c r="K29" s="318"/>
      <c r="L29" s="318"/>
      <c r="M29" s="318"/>
      <c r="N29" s="318"/>
      <c r="O29" s="246"/>
      <c r="P29" s="246"/>
      <c r="Q29" s="246"/>
      <c r="R29" s="246"/>
      <c r="S29" s="246"/>
      <c r="T29" s="246"/>
    </row>
    <row s="350" customFormat="1" customHeight="1" ht="14.25">
      <c r="A30" s="266"/>
      <c r="B30" s="345" t="s">
        <v>39</v>
      </c>
      <c r="C30" s="317" t="s">
        <v>15</v>
      </c>
      <c r="D30" s="347">
        <v>0</v>
      </c>
      <c r="E30" s="348"/>
      <c r="F30" s="321" t="s">
        <v>16</v>
      </c>
      <c r="G30" s="349">
        <v>0</v>
      </c>
      <c r="H30" s="348">
        <v>0</v>
      </c>
      <c r="I30" s="318"/>
      <c r="J30" s="318"/>
      <c r="K30" s="318"/>
      <c r="L30" s="318"/>
      <c r="M30" s="318"/>
      <c r="N30" s="318"/>
      <c r="O30" s="246"/>
      <c r="P30" s="246"/>
      <c r="Q30" s="246"/>
      <c r="R30" s="246"/>
      <c r="S30" s="246"/>
      <c r="T30" s="246"/>
    </row>
    <row s="351" customFormat="1" customHeight="1" ht="14.25">
      <c r="A31" s="266"/>
      <c r="B31" s="345" t="s">
        <v>40</v>
      </c>
      <c r="C31" s="317" t="s">
        <v>15</v>
      </c>
      <c r="D31" s="347"/>
      <c r="E31" s="348"/>
      <c r="F31" s="321" t="s">
        <v>16</v>
      </c>
      <c r="G31" s="349"/>
      <c r="H31" s="348">
        <v>0</v>
      </c>
      <c r="I31" s="318"/>
      <c r="J31" s="318"/>
      <c r="K31" s="318"/>
      <c r="L31" s="318"/>
      <c r="M31" s="318"/>
      <c r="N31" s="318"/>
      <c r="O31" s="246"/>
      <c r="P31" s="246"/>
      <c r="Q31" s="246"/>
      <c r="R31" s="246"/>
      <c r="S31" s="246"/>
      <c r="T31" s="246"/>
    </row>
    <row s="352" customFormat="1" customHeight="1" ht="14.25">
      <c r="A32" s="266"/>
      <c r="B32" s="345" t="s">
        <v>41</v>
      </c>
      <c r="C32" s="317" t="s">
        <v>15</v>
      </c>
      <c r="D32" s="347">
        <v>0</v>
      </c>
      <c r="E32" s="348"/>
      <c r="F32" s="321" t="s">
        <v>16</v>
      </c>
      <c r="G32" s="349">
        <v>0</v>
      </c>
      <c r="H32" s="348">
        <v>0</v>
      </c>
      <c r="I32" s="318"/>
      <c r="J32" s="318"/>
      <c r="K32" s="318"/>
      <c r="L32" s="318"/>
      <c r="M32" s="318"/>
      <c r="N32" s="318"/>
      <c r="O32" s="246"/>
      <c r="P32" s="246"/>
      <c r="Q32" s="246"/>
      <c r="R32" s="246"/>
      <c r="S32" s="246"/>
      <c r="T32" s="246"/>
    </row>
    <row s="353" customFormat="1" customHeight="1" ht="14.25">
      <c r="A33" s="266"/>
      <c r="B33" s="254" t="s">
        <v>42</v>
      </c>
      <c r="C33" s="354" t="s">
        <v>15</v>
      </c>
      <c r="D33" s="347">
        <v>454.46</v>
      </c>
      <c r="E33" s="355">
        <v>4492.36</v>
      </c>
      <c r="F33" s="356" t="s">
        <v>16</v>
      </c>
      <c r="G33" s="349">
        <v>14</v>
      </c>
      <c r="H33" s="355">
        <v>138</v>
      </c>
      <c r="I33" s="318"/>
      <c r="J33" s="318"/>
      <c r="K33" s="318"/>
      <c r="L33" s="318"/>
      <c r="M33" s="318"/>
      <c r="N33" s="318"/>
      <c r="O33" s="246"/>
      <c r="P33" s="246"/>
      <c r="Q33" s="246"/>
      <c r="R33" s="246"/>
      <c r="S33" s="246"/>
      <c r="T33" s="246"/>
    </row>
    <row s="357" customFormat="1" customHeight="1" ht="14.25">
      <c r="A34" s="266"/>
      <c r="B34" s="254" t="s">
        <v>43</v>
      </c>
      <c r="C34" s="354" t="s">
        <v>15</v>
      </c>
      <c r="D34" s="347">
        <v>0</v>
      </c>
      <c r="E34" s="355">
        <v>1892.52</v>
      </c>
      <c r="F34" s="356" t="s">
        <v>16</v>
      </c>
      <c r="G34" s="349">
        <v>0</v>
      </c>
      <c r="H34" s="355">
        <v>58</v>
      </c>
      <c r="I34" s="318"/>
      <c r="J34" s="318"/>
      <c r="K34" s="318"/>
      <c r="L34" s="318"/>
      <c r="M34" s="318"/>
      <c r="N34" s="318"/>
      <c r="O34" s="246"/>
      <c r="P34" s="246"/>
      <c r="Q34" s="246"/>
      <c r="R34" s="246"/>
      <c r="S34" s="246"/>
      <c r="T34" s="246"/>
    </row>
    <row s="358" customFormat="1" customHeight="1" ht="14.25">
      <c r="A35" s="266"/>
      <c r="B35" s="345" t="s">
        <v>44</v>
      </c>
      <c r="C35" s="354" t="s">
        <v>15</v>
      </c>
      <c r="D35" s="347">
        <v>0</v>
      </c>
      <c r="E35" s="355">
        <v>3466.22</v>
      </c>
      <c r="F35" s="356" t="s">
        <v>16</v>
      </c>
      <c r="G35" s="349">
        <v>0</v>
      </c>
      <c r="H35" s="355">
        <v>106</v>
      </c>
      <c r="I35" s="318"/>
      <c r="J35" s="318"/>
      <c r="K35" s="318"/>
      <c r="L35" s="318"/>
      <c r="M35" s="318"/>
      <c r="N35" s="318"/>
      <c r="O35" s="246"/>
      <c r="P35" s="246"/>
      <c r="Q35" s="246"/>
      <c r="R35" s="246"/>
      <c r="S35" s="246"/>
      <c r="T35" s="246"/>
    </row>
    <row s="359" customFormat="1" customHeight="1" ht="14.25">
      <c r="A36" s="266"/>
      <c r="B36" s="360" t="s">
        <v>45</v>
      </c>
      <c r="C36" s="361" t="s">
        <v>15</v>
      </c>
      <c r="D36" s="347">
        <v>0</v>
      </c>
      <c r="E36" s="362">
        <v>553.36</v>
      </c>
      <c r="F36" s="363" t="s">
        <v>16</v>
      </c>
      <c r="G36" s="349">
        <v>0</v>
      </c>
      <c r="H36" s="362">
        <v>17</v>
      </c>
      <c r="I36" s="318"/>
      <c r="J36" s="318"/>
      <c r="K36" s="318"/>
      <c r="L36" s="318"/>
      <c r="M36" s="318"/>
      <c r="N36" s="318"/>
      <c r="O36" s="246"/>
      <c r="P36" s="246"/>
      <c r="Q36" s="246"/>
      <c r="R36" s="246"/>
      <c r="S36" s="246"/>
      <c r="T36" s="364"/>
    </row>
    <row customHeight="1" ht="14.25">
      <c r="A37" s="262"/>
      <c r="B37" s="360" t="s">
        <v>46</v>
      </c>
      <c r="C37" s="365" t="s">
        <v>15</v>
      </c>
      <c r="D37" s="366">
        <v>0</v>
      </c>
      <c r="E37" s="340">
        <v>2967.5</v>
      </c>
      <c r="F37" s="367" t="s">
        <v>16</v>
      </c>
      <c r="G37" s="368">
        <v>0</v>
      </c>
      <c r="H37" s="340">
        <v>91</v>
      </c>
      <c r="I37" s="318"/>
      <c r="J37" s="318"/>
      <c r="K37" s="318"/>
      <c r="L37" s="318"/>
      <c r="M37" s="318"/>
      <c r="N37" s="318"/>
      <c r="O37" s="202"/>
      <c r="P37" s="202"/>
      <c r="Q37" s="202"/>
      <c r="R37" s="202"/>
      <c r="S37" s="202"/>
      <c r="T37" s="202"/>
    </row>
    <row s="369" customFormat="1" customHeight="1" ht="14.25">
      <c r="A38" s="266"/>
      <c r="B38" s="272" t="s">
        <v>47</v>
      </c>
      <c r="C38" s="365" t="s">
        <v>15</v>
      </c>
      <c r="D38" s="366">
        <v>0</v>
      </c>
      <c r="E38" s="340">
        <v>1993.7</v>
      </c>
      <c r="F38" s="367" t="s">
        <v>16</v>
      </c>
      <c r="G38" s="368">
        <v>0</v>
      </c>
      <c r="H38" s="340">
        <v>62</v>
      </c>
      <c r="I38" s="318"/>
      <c r="J38" s="318"/>
      <c r="K38" s="318"/>
      <c r="L38" s="318"/>
      <c r="M38" s="318"/>
      <c r="N38" s="318"/>
      <c r="O38" s="246"/>
      <c r="P38" s="246"/>
      <c r="Q38" s="246"/>
      <c r="R38" s="246"/>
      <c r="S38" s="246"/>
      <c r="T38" s="246"/>
    </row>
    <row s="370" customFormat="1" customHeight="1" ht="14.25">
      <c r="A39" s="266"/>
      <c r="B39" s="360" t="s">
        <v>57</v>
      </c>
      <c r="C39" s="371" t="s">
        <v>15</v>
      </c>
      <c r="D39" s="366">
        <v>0</v>
      </c>
      <c r="E39" s="340">
        <v>1489.5</v>
      </c>
      <c r="F39" s="372" t="s">
        <v>16</v>
      </c>
      <c r="G39" s="368">
        <v>0</v>
      </c>
      <c r="H39" s="340">
        <v>45</v>
      </c>
      <c r="I39" s="318"/>
      <c r="J39" s="318"/>
      <c r="K39" s="318"/>
      <c r="L39" s="318"/>
      <c r="M39" s="318"/>
      <c r="N39" s="318"/>
      <c r="O39" s="246"/>
      <c r="P39" s="246"/>
      <c r="Q39" s="246"/>
      <c r="R39" s="246"/>
      <c r="S39" s="246"/>
      <c r="T39" s="246"/>
    </row>
    <row s="373" customFormat="1" customHeight="1" ht="14.25">
      <c r="A40" s="266"/>
      <c r="B40" s="360" t="s">
        <v>58</v>
      </c>
      <c r="C40" s="371" t="s">
        <v>15</v>
      </c>
      <c r="D40" s="366">
        <v>0</v>
      </c>
      <c r="E40" s="340">
        <v>2558.42</v>
      </c>
      <c r="F40" s="372" t="s">
        <v>16</v>
      </c>
      <c r="G40" s="368">
        <v>0</v>
      </c>
      <c r="H40" s="340">
        <v>79</v>
      </c>
      <c r="I40" s="318"/>
      <c r="J40" s="318"/>
      <c r="K40" s="318"/>
      <c r="L40" s="318"/>
      <c r="M40" s="318"/>
      <c r="N40" s="318"/>
      <c r="O40" s="246"/>
      <c r="P40" s="246"/>
      <c r="Q40" s="246"/>
      <c r="R40" s="246"/>
      <c r="S40" s="246"/>
      <c r="T40" s="246"/>
    </row>
    <row s="374" customFormat="1" customHeight="1" ht="14.25">
      <c r="A41" s="266"/>
      <c r="B41" s="360" t="s">
        <v>59</v>
      </c>
      <c r="C41" s="371" t="s">
        <v>15</v>
      </c>
      <c r="D41" s="366">
        <v>0</v>
      </c>
      <c r="E41" s="340">
        <v>1976.28</v>
      </c>
      <c r="F41" s="372" t="s">
        <v>16</v>
      </c>
      <c r="G41" s="368">
        <v>0</v>
      </c>
      <c r="H41" s="340">
        <v>60</v>
      </c>
      <c r="I41" s="318"/>
      <c r="J41" s="318"/>
      <c r="K41" s="318"/>
      <c r="L41" s="318"/>
      <c r="M41" s="318"/>
      <c r="N41" s="318"/>
      <c r="O41" s="246"/>
      <c r="P41" s="246"/>
      <c r="Q41" s="246"/>
      <c r="R41" s="246"/>
      <c r="S41" s="246"/>
      <c r="T41" s="246"/>
    </row>
    <row s="375" customFormat="1" customHeight="1" ht="14.25">
      <c r="A42" s="266"/>
      <c r="B42" s="360" t="s">
        <v>60</v>
      </c>
      <c r="C42" s="371" t="s">
        <v>15</v>
      </c>
      <c r="D42" s="366">
        <v>0</v>
      </c>
      <c r="E42" s="340">
        <v>994.56</v>
      </c>
      <c r="F42" s="372" t="s">
        <v>16</v>
      </c>
      <c r="G42" s="368">
        <v>0</v>
      </c>
      <c r="H42" s="340">
        <v>30</v>
      </c>
      <c r="I42" s="318"/>
      <c r="J42" s="318"/>
      <c r="K42" s="318"/>
      <c r="L42" s="318"/>
      <c r="M42" s="318"/>
      <c r="N42" s="318"/>
      <c r="O42" s="246"/>
      <c r="P42" s="246"/>
      <c r="Q42" s="246"/>
      <c r="R42" s="246"/>
      <c r="S42" s="246"/>
      <c r="T42" s="246"/>
    </row>
    <row s="376" customFormat="1" customHeight="1" ht="14.25">
      <c r="A43" s="284"/>
      <c r="B43" s="360" t="s">
        <v>48</v>
      </c>
      <c r="C43" s="361"/>
      <c r="D43" s="347"/>
      <c r="E43" s="355"/>
      <c r="F43" s="363"/>
      <c r="G43" s="349"/>
      <c r="H43" s="355"/>
      <c r="I43" s="318"/>
      <c r="J43" s="318"/>
      <c r="K43" s="318"/>
      <c r="L43" s="318"/>
      <c r="M43" s="318"/>
      <c r="N43" s="318"/>
      <c r="O43" s="246"/>
      <c r="P43" s="246"/>
      <c r="Q43" s="246"/>
      <c r="R43" s="246"/>
      <c r="S43" s="246"/>
      <c r="T43" s="246"/>
    </row>
    <row s="377" customFormat="1" customHeight="1" ht="14.25">
      <c r="A44" s="378" t="s">
        <v>49</v>
      </c>
      <c r="B44" s="379" t="s">
        <v>21</v>
      </c>
      <c r="C44" s="380" t="s">
        <v>15</v>
      </c>
      <c r="D44" s="347">
        <v>2215.68</v>
      </c>
      <c r="E44" s="362">
        <v>28041.12</v>
      </c>
      <c r="F44" s="381" t="s">
        <v>16</v>
      </c>
      <c r="G44" s="368">
        <v>69</v>
      </c>
      <c r="H44" s="362">
        <v>864</v>
      </c>
      <c r="I44" s="318"/>
      <c r="J44" s="318"/>
      <c r="K44" s="318"/>
      <c r="L44" s="318"/>
      <c r="M44" s="318"/>
      <c r="N44" s="318"/>
      <c r="O44" s="246"/>
      <c r="P44" s="246"/>
      <c r="Q44" s="246"/>
      <c r="R44" s="246"/>
      <c r="S44" s="246"/>
      <c r="T44" s="246"/>
    </row>
    <row customHeight="1" ht="14.25">
      <c r="A45" s="382" t="s">
        <v>50</v>
      </c>
      <c r="B45" s="383" t="s">
        <v>30</v>
      </c>
      <c r="C45" s="317" t="s">
        <v>15</v>
      </c>
      <c r="D45" s="366">
        <v>0</v>
      </c>
      <c r="E45" s="340">
        <v>29220.94</v>
      </c>
      <c r="F45" s="321" t="s">
        <v>16</v>
      </c>
      <c r="G45" s="368">
        <v>0</v>
      </c>
      <c r="H45" s="340">
        <v>893</v>
      </c>
      <c r="I45" s="318"/>
      <c r="J45" s="318"/>
      <c r="K45" s="318"/>
      <c r="L45" s="318"/>
      <c r="M45" s="318"/>
      <c r="N45" s="318"/>
      <c r="O45" s="202"/>
      <c r="P45" s="202"/>
      <c r="Q45" s="202"/>
      <c r="R45" s="202"/>
      <c r="S45" s="202"/>
      <c r="T45" s="202"/>
    </row>
    <row customHeight="1" ht="14.25">
      <c r="A46" s="384" t="s">
        <v>61</v>
      </c>
      <c r="B46" s="384"/>
      <c r="C46" s="384"/>
      <c r="D46" s="384"/>
      <c r="E46" s="384"/>
      <c r="F46" s="385" t="s">
        <v>62</v>
      </c>
      <c r="G46" s="385"/>
      <c r="H46" s="385"/>
      <c r="I46" s="318"/>
      <c r="J46" s="318"/>
      <c r="K46" s="318"/>
      <c r="L46" s="318"/>
      <c r="M46" s="318"/>
      <c r="N46" s="318"/>
      <c r="O46" s="202"/>
      <c r="P46" s="202"/>
      <c r="Q46" s="202"/>
      <c r="R46" s="202"/>
      <c r="S46" s="202"/>
      <c r="T46" s="202"/>
    </row>
    <row customHeight="1" ht="14.25">
      <c r="A47" s="317" t="s">
        <v>63</v>
      </c>
      <c r="B47" s="384" t="s">
        <v>64</v>
      </c>
      <c r="C47" s="384"/>
      <c r="D47" s="317"/>
      <c r="E47" s="317" t="s">
        <v>65</v>
      </c>
      <c r="F47" s="187"/>
      <c r="G47" s="384"/>
      <c r="H47" s="384"/>
      <c r="I47" s="318"/>
      <c r="J47" s="318"/>
      <c r="K47" s="318"/>
      <c r="L47" s="318"/>
      <c r="M47" s="318"/>
      <c r="N47" s="318"/>
      <c r="O47" s="202"/>
      <c r="P47" s="202"/>
      <c r="Q47" s="202"/>
      <c r="R47" s="202"/>
      <c r="S47" s="202"/>
      <c r="T47" s="202"/>
    </row>
    <row customHeight="1" ht="14.25">
      <c r="A48" s="387"/>
      <c r="B48" s="388"/>
      <c r="C48" s="388"/>
      <c r="D48" s="317"/>
      <c r="E48" s="387"/>
      <c r="F48" s="384"/>
      <c r="G48" s="384"/>
      <c r="H48" s="384"/>
      <c r="I48" s="318"/>
      <c r="J48" s="318"/>
      <c r="K48" s="318"/>
      <c r="L48" s="318"/>
      <c r="M48" s="318"/>
      <c r="N48" s="318"/>
      <c r="O48" s="202"/>
      <c r="P48" s="202"/>
      <c r="Q48" s="202"/>
      <c r="R48" s="202"/>
      <c r="S48" s="202"/>
      <c r="T48" s="202"/>
    </row>
    <row customHeight="1" ht="14.25">
      <c r="A49" s="202"/>
      <c r="B49" s="389" t="s">
        <v>51</v>
      </c>
      <c r="C49" s="390" t="s">
        <v>52</v>
      </c>
      <c r="D49" s="391"/>
      <c r="E49" s="392"/>
      <c r="F49" s="393"/>
      <c r="G49" s="394" t="s">
        <v>66</v>
      </c>
      <c r="H49" s="390" t="s">
        <v>54</v>
      </c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</row>
    <row customHeight="1" ht="14.25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</row>
    <row customHeight="1" ht="14.25">
      <c r="A51" s="202"/>
      <c r="B51" s="202"/>
      <c r="C51" s="202"/>
      <c r="D51" s="202"/>
      <c r="E51" s="202"/>
      <c r="F51" s="202"/>
      <c r="G51" s="202"/>
      <c r="H51" s="202"/>
      <c r="I51" s="304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</row>
    <row customHeight="1" ht="14.25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</row>
    <row customHeight="1" ht="14.25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</row>
    <row s="395" customFormat="1" customHeight="1" ht="14.25">
      <c r="A54" s="246"/>
      <c r="B54" s="246"/>
      <c r="C54" s="246"/>
      <c r="D54" s="396">
        <v>0</v>
      </c>
      <c r="E54" s="246"/>
      <c r="F54" s="246"/>
      <c r="G54" s="396">
        <v>0</v>
      </c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</row>
    <row s="397" customFormat="1" customHeight="1" ht="14.25">
      <c r="A55" s="246"/>
      <c r="B55" s="246"/>
      <c r="C55" s="246"/>
      <c r="D55" s="396">
        <v>0</v>
      </c>
      <c r="E55" s="246"/>
      <c r="F55" s="246"/>
      <c r="G55" s="396">
        <v>0</v>
      </c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</row>
    <row s="398" customFormat="1" customHeight="1" ht="14.25">
      <c r="A56" s="246"/>
      <c r="B56" s="246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</row>
    <row s="399" customFormat="1" customHeight="1" ht="14.25">
      <c r="A57" s="246"/>
      <c r="B57" s="246"/>
      <c r="C57" s="246"/>
      <c r="D57" s="246"/>
      <c r="E57" s="246"/>
      <c r="F57" s="246"/>
      <c r="G57" s="246"/>
      <c r="H57" s="246"/>
      <c r="I57" s="364"/>
      <c r="J57" s="364">
        <v>18441</v>
      </c>
      <c r="K57" s="246"/>
      <c r="L57" s="246"/>
      <c r="M57" s="364">
        <v>729</v>
      </c>
      <c r="N57" s="246"/>
      <c r="O57" s="246"/>
      <c r="P57" s="246"/>
      <c r="Q57" s="246"/>
      <c r="R57" s="246"/>
      <c r="S57" s="246"/>
      <c r="T57" s="246"/>
    </row>
    <row s="400" customFormat="1" customHeight="1" ht="14.25">
      <c r="A58" s="246"/>
      <c r="B58" s="246"/>
      <c r="C58" s="246"/>
      <c r="D58" s="246"/>
      <c r="E58" s="246"/>
      <c r="F58" s="246"/>
      <c r="G58" s="246"/>
      <c r="H58" s="246"/>
      <c r="I58" s="364"/>
      <c r="J58" s="364">
        <v>0</v>
      </c>
      <c r="K58" s="246"/>
      <c r="L58" s="246"/>
      <c r="M58" s="364">
        <v>0</v>
      </c>
      <c r="N58" s="246"/>
      <c r="O58" s="246"/>
      <c r="P58" s="246"/>
      <c r="Q58" s="246"/>
      <c r="R58" s="246"/>
      <c r="S58" s="246"/>
      <c r="T58" s="246"/>
    </row>
    <row s="401" customFormat="1" customHeight="1" ht="14.25">
      <c r="A59" s="246"/>
      <c r="B59" s="246"/>
      <c r="C59" s="246"/>
      <c r="D59" s="246"/>
      <c r="E59" s="246"/>
      <c r="F59" s="246"/>
      <c r="G59" s="246"/>
      <c r="H59" s="246"/>
      <c r="I59" s="364"/>
      <c r="J59" s="364">
        <v>0</v>
      </c>
      <c r="K59" s="246"/>
      <c r="L59" s="246"/>
      <c r="M59" s="364">
        <v>0</v>
      </c>
      <c r="N59" s="246"/>
      <c r="O59" s="246"/>
      <c r="P59" s="246"/>
      <c r="Q59" s="246"/>
      <c r="R59" s="246"/>
      <c r="S59" s="246"/>
      <c r="T59" s="246"/>
    </row>
    <row s="402" customFormat="1" customHeight="1" ht="14.25">
      <c r="A60" s="246"/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</row>
    <row s="403" customFormat="1" customHeight="1" ht="14.25">
      <c r="A61" s="246"/>
      <c r="B61" s="246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</row>
    <row s="404" customFormat="1" customHeight="1" ht="14.25">
      <c r="A62" s="246"/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</row>
    <row s="405" customFormat="1" customHeight="1" ht="14.25">
      <c r="A63" s="246"/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</row>
    <row s="406" customFormat="1" customHeight="1" ht="14.25">
      <c r="A64" s="246"/>
      <c r="B64" s="246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</row>
    <row s="407" customFormat="1" customHeight="1" ht="14.25">
      <c r="A65" s="246"/>
      <c r="B65" s="246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</row>
    <row s="408" customFormat="1" customHeight="1" ht="14.25">
      <c r="A66" s="246"/>
      <c r="B66" s="246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</row>
    <row s="409" customFormat="1" customHeight="1" ht="14.25">
      <c r="A67" s="246"/>
      <c r="B67" s="246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</row>
    <row s="410" customFormat="1" customHeight="1" ht="14.25">
      <c r="A68" s="246"/>
      <c r="B68" s="246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</row>
    <row s="411" customFormat="1" customHeight="1" ht="14.25">
      <c r="A69" s="246"/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</row>
    <row s="412" customFormat="1" customHeight="1" ht="14.25">
      <c r="A70" s="246"/>
      <c r="B70" s="246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</row>
    <row customHeight="1" ht="14.25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</row>
    <row customHeight="1" ht="14.25">
      <c r="A72" s="202"/>
      <c r="B72" s="202" t="s">
        <v>67</v>
      </c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</row>
    <row customHeight="1" ht="14.25">
      <c r="A73" s="202"/>
      <c r="B73" s="413" t="s">
        <v>67</v>
      </c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</row>
    <row customHeight="1" ht="14.25">
      <c r="A74" s="202"/>
      <c r="B74" s="414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</row>
    <row customHeight="1" ht="14.25">
      <c r="A75" s="202"/>
      <c r="B75" s="414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</row>
    <row customHeight="1" ht="14.25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</row>
    <row customHeight="1" ht="14.25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</row>
    <row customHeight="1" ht="14.25">
      <c r="A78" s="202"/>
      <c r="B78" s="414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</row>
    <row customHeight="1" ht="14.25">
      <c r="A79" s="202"/>
      <c r="B79" s="414" t="s">
        <v>68</v>
      </c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</row>
    <row customHeight="1" ht="14.25">
      <c r="A80" s="202"/>
      <c r="B80" s="414">
        <v>801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</row>
    <row customHeight="1" ht="14.25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</row>
    <row customHeight="1" ht="14.25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</row>
    <row customHeight="1" ht="14.25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</row>
    <row customHeight="1" ht="14.25">
      <c r="A84" s="202"/>
      <c r="B84" s="202" t="s">
        <v>68</v>
      </c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</row>
    <row customHeight="1" ht="14.25">
      <c r="A85" s="202"/>
      <c r="B85" s="202" t="s">
        <v>69</v>
      </c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</row>
  </sheetData>
  <mergeCells count="23">
    <mergeCell ref="A27:A43"/>
    <mergeCell ref="L3:N3"/>
    <mergeCell ref="A4:A6"/>
    <mergeCell ref="B4:B6"/>
    <mergeCell ref="C4:H4"/>
    <mergeCell ref="I4:N4"/>
    <mergeCell ref="C5:E5"/>
    <mergeCell ref="F5:H5"/>
    <mergeCell ref="I5:K5"/>
    <mergeCell ref="L5:N5"/>
    <mergeCell ref="A16:A18"/>
    <mergeCell ref="B47:C47"/>
    <mergeCell ref="F47:H48"/>
    <mergeCell ref="B48:C48"/>
    <mergeCell ref="A46:E46"/>
    <mergeCell ref="F46:H46"/>
    <mergeCell ref="A2:N2"/>
    <mergeCell ref="A3:B3"/>
    <mergeCell ref="C3:D3"/>
    <mergeCell ref="I3:K3"/>
    <mergeCell ref="A19:A21"/>
    <mergeCell ref="A7:A9"/>
    <mergeCell ref="A10:A12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调运月报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dhc</cp:lastModifiedBy>
  <cp:revision>1</cp:revision>
  <cp:lastPrinted>2025-05-08T08:31:19Z</cp:lastPrinted>
  <dcterms:created xsi:type="dcterms:W3CDTF">2014-01-24T01:11:00Z</dcterms:created>
  <dcterms:modified xsi:type="dcterms:W3CDTF">2025-05-08T08:35:12Z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  <property fmtid="{D5CDD505-2E9C-101B-9397-08002B2CF9AE}" pid="3" name="ICV">
    <vt:lpwstr>E08C93E92D1E48758EF8474BCDF2843C</vt:lpwstr>
  </property>
</Properties>
</file>