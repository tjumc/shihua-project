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调运月报表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H7" authorId="0">
      <text>
        <r>
          <rPr>
            <sz val="9"/>
            <color indexed="81"/>
            <rFont val="Arial"/>
            <family val="2"/>
          </rPr>
          <t xml:space="preserve">#Input("延炼_油延安炼油厂调运月报表_车次_0#柴油石化",":key{{dw}}")
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#Input("延炼_油延安炼油厂调运月报表_调出_0#柴油石化",":key{{dw}}")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#Input("延炼_油延安炼油厂调运月报表_车次_1#渣油榆林",":key{{dw}}")
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#Input("延炼_油延安炼油厂调运月报表_调出_1#渣油榆林",":key{{dw}}")
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#Input("延炼_油延安炼油厂调运月报表_车次_1#渣油永坪",":key{{dw}}")
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#Input("延炼_油延安炼油厂调运月报表_调入_1#渣油永坪",":key{{dw}}")
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#Input("延炼_油延安炼油厂调运月报表_调出_常压石脑油石化",":key{{dw}}")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#Input("延炼_油延安炼油厂调运月报表_调出_催化汽油石化",":key{{dw}}")</t>
        </r>
      </text>
    </comment>
    <comment ref="F13" authorId="0">
      <text>
        <r>
          <rPr>
            <sz val="9"/>
            <color indexed="81"/>
            <rFont val="Arial"/>
            <family val="2"/>
          </rPr>
          <t xml:space="preserve">#Input("延炼_油延安炼油厂调运月报表_调入_重整汽油石化",":key{{dw}}")
</t>
        </r>
      </text>
    </comment>
    <comment ref="F14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#Input("延炼_油延安炼油厂调运月报表_调入_重整轻汽油石化",":key{{dw}}")
</t>
        </r>
      </text>
    </comment>
    <comment ref="F15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#Input("延炼_油延安炼油厂调运月报表_调入_精制汽油石化",":key{{dw}}")
</t>
        </r>
      </text>
    </comment>
    <comment ref="F16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#Input("延炼_油延安炼油厂调运月报表_调入_MTBE石化",":key{{dw}}")</t>
        </r>
      </text>
    </comment>
    <comment ref="F17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#Input("延炼_油延安炼油厂调运月报表_调入_烷基化油石化",":key{{dw}}")</t>
        </r>
      </text>
    </comment>
    <comment ref="D18" authorId="0">
      <text>
        <r>
          <rPr>
            <sz val="9"/>
            <color indexed="81"/>
            <rFont val="Arial"/>
            <family val="2"/>
          </rPr>
          <t xml:space="preserve">#Input("延炼_油延安炼油厂调运月报表_车次_二甲苯榆林",":key{{dw}}")
</t>
        </r>
      </text>
    </comment>
    <comment ref="F18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#Input("延炼_油延安炼油厂调运月报表_调入_二甲苯榆林",":key{{dw}}")
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#Input("延炼_油延安炼油厂调运月报表_调出_常压柴油石化",":key{{dw}}")</t>
        </r>
      </text>
    </comment>
    <comment ref="J20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#Input("延炼_油延安炼油厂调运月报表_调出_催化柴油石化",":key{{dw}}")</t>
        </r>
      </text>
    </comment>
    <comment ref="F21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#Input("延炼_油延安炼油厂调运月报表_调入_加氢柴油石化",":key{{dw}}")
</t>
        </r>
      </text>
    </comment>
    <comment ref="F22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#Input("延炼_油延安炼油厂调运月报表_调入_精制柴油石化",":key{{dw}}")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#Input("延炼_油延安炼油厂调运月报表_车次_催化液化气永坪",":key{{dw}}")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#Input("延炼_油延安炼油厂调运月报表_调入_催化液化气永坪",":key{{dw}}")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#Input("延炼_油延安炼油厂调运月报表_车次_催化液化气榆林",":key{{dw}}")</t>
        </r>
      </text>
    </comment>
    <comment ref="F24" authorId="0">
      <text>
        <r>
          <rPr>
            <sz val="9"/>
            <color indexed="81"/>
            <rFont val="Arial"/>
            <family val="2"/>
          </rPr>
          <t xml:space="preserve">#Input("延炼_油延安炼油厂调运月报表_调入_催化液化气榆林",":key{{dw}}")
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#Input("延炼_油延安炼油厂调运月报表_调出_催化液化气石化",":key{{dw}}")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#Input("延炼_油延安炼油厂调运月报表_调入_C4石化",":key{{dw}}")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#Input("延炼_油延安炼油厂调运月报表_调入_丙烷石化",":key{{dw}}")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#Input("延炼_油延安炼油厂调运月报表_调出_丙烷石化",":key{{dw}}")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#Input("延炼_油延安炼油厂调运月报表_调入_醚后C4石化",":key{{dw}}")</t>
        </r>
      </text>
    </comment>
    <comment ref="J30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#Input("延炼_油延安炼油厂调运月报表_调出_酯后C4石化",":key{{dw}}")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#Input("延炼_油延安炼油厂调运月报表_调出_饱和液化气石化",":key{{dw}}")</t>
        </r>
      </text>
    </comment>
    <comment ref="D32" authorId="0">
      <text>
        <r>
          <rPr>
            <sz val="9"/>
            <color indexed="81"/>
            <rFont val="Arial"/>
            <family val="2"/>
          </rPr>
          <t xml:space="preserve">#Input("延炼_油延安炼油厂调运月报表_车次_饱和液化气榆林",":key{{dw}}")
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#Input("延炼_油延安炼油厂调运月报表_调入_饱和液化气榆林",":key{{dw}}")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#Input("延炼_油延安炼油厂调运月报表_调入_民用液化气石化",":key{{dw}}")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#Input("延炼_油延安炼油厂调运月报表_调入_丙烯石化",":key{{dw}}")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#Input("延炼_油延安炼油厂调运月报表_调入_苯石化",":key{{dw}}")</t>
        </r>
      </text>
    </comment>
    <comment ref="H36" authorId="0">
      <text>
        <r>
          <rPr>
            <b/>
            <sz val="9"/>
            <color indexed="81"/>
            <rFont val="宋体"/>
            <family val="2"/>
          </rPr>
          <t xml:space="preserve">#Input("延炼_油延安炼油厂调运月报表_车次_硫磺延能化",":key{{dw}}")
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#Input("延炼_油延安炼油厂调运月报表_调出_硫磺石化",":key{{dw}}")</t>
        </r>
      </text>
    </comment>
    <comment ref="D37" authorId="0">
      <text>
        <r>
          <rPr>
            <b/>
            <sz val="9"/>
            <color indexed="81"/>
            <rFont val="宋体"/>
            <family val="2"/>
          </rPr>
          <t>#Input("延炼_延安炼油厂调运月报表_单位负责人",":key{{dw}}")</t>
        </r>
      </text>
    </comment>
    <comment ref="I37" authorId="0">
      <text>
        <r>
          <rPr>
            <sz val="9"/>
            <color indexed="81"/>
            <rFont val="Arial"/>
            <family val="2"/>
          </rPr>
          <t xml:space="preserve">#Input("延炼_延安炼油厂调运月报表_填报人",":key{{dw}}")
</t>
        </r>
      </text>
    </comment>
  </commentList>
</comments>
</file>

<file path=xl/sharedStrings.xml><?xml version="1.0" encoding="utf-8"?>
<sst xmlns="http://schemas.openxmlformats.org/spreadsheetml/2006/main" count="164" uniqueCount="49">
  <si>
    <t>延安炼油厂调运月报表</t>
  </si>
  <si>
    <t>填报单位：延安炼油厂</t>
  </si>
  <si>
    <t>日期：</t>
  </si>
  <si>
    <t>2025-12</t>
  </si>
  <si>
    <t>报出日期：</t>
  </si>
  <si>
    <t>物料名称</t>
  </si>
  <si>
    <t>调运单位</t>
  </si>
  <si>
    <t>调入</t>
  </si>
  <si>
    <t>调出</t>
  </si>
  <si>
    <t>车次</t>
  </si>
  <si>
    <t>调运量</t>
  </si>
  <si>
    <t>本月</t>
  </si>
  <si>
    <t>累计</t>
  </si>
  <si>
    <t xml:space="preserve"> 0#柴油</t>
  </si>
  <si>
    <t>延安石化厂</t>
  </si>
  <si>
    <t>-10#柴油</t>
  </si>
  <si>
    <t>1#渣油</t>
  </si>
  <si>
    <t>榆林炼油厂</t>
  </si>
  <si>
    <t>永坪炼油厂</t>
  </si>
  <si>
    <t>常压石脑油</t>
  </si>
  <si>
    <t>催化汽油</t>
  </si>
  <si>
    <t>重整汽油</t>
  </si>
  <si>
    <t>重整轻汽油</t>
  </si>
  <si>
    <t>精制汽油</t>
  </si>
  <si>
    <t>MTBE</t>
  </si>
  <si>
    <t>烷基化油</t>
  </si>
  <si>
    <t>二甲苯</t>
  </si>
  <si>
    <t>常压柴油</t>
  </si>
  <si>
    <t>催化柴油</t>
  </si>
  <si>
    <t>加氢柴油</t>
  </si>
  <si>
    <t>精制柴油</t>
  </si>
  <si>
    <t>催化液化气</t>
  </si>
  <si>
    <t>精制液化气</t>
  </si>
  <si>
    <t>C4</t>
  </si>
  <si>
    <t>丙烷</t>
  </si>
  <si>
    <t>醚后C4</t>
  </si>
  <si>
    <t>酯后C4</t>
  </si>
  <si>
    <t>饱和液化气</t>
  </si>
  <si>
    <t>民用液化气</t>
  </si>
  <si>
    <t>丙烯</t>
  </si>
  <si>
    <t>苯</t>
  </si>
  <si>
    <t>硫磺</t>
  </si>
  <si>
    <t>延能化</t>
  </si>
  <si>
    <t>单位负责人：</t>
  </si>
  <si>
    <t>王静</t>
  </si>
  <si>
    <t>填报人：</t>
  </si>
  <si>
    <t>黄宏飞</t>
  </si>
  <si>
    <t>报表生成时间：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</si>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</sst>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yyyy\-mm\-dd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1"/>
      <color theme="1"/>
      <name val="等线"/>
    </font>
    <font>
      <sz val="11"/>
      <color rgb="FF000000"/>
      <name val="等线"/>
    </font>
    <font>
      <sz val="11"/>
      <color rgb="FF000000"/>
      <name val="Calibri"/>
      <scheme val="minor"/>
    </font>
    <font>
      <sz val="18"/>
      <color theme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</fills>
  <borders count="3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259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10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2" fontId="20" fillId="0" borderId="12" xfId="0" applyFont="1" applyBorder="1" applyNumberFormat="1">
      <alignment horizontal="left" vertical="center"/>
    </xf>
    <xf numFmtId="0" fontId="19" fillId="0" borderId="10" xfId="0" applyFont="1" applyBorder="1">
      <alignment vertical="center"/>
    </xf>
    <xf numFmtId="1" fontId="19" fillId="0" borderId="10" xfId="0" applyFont="1" applyBorder="1" applyNumberFormat="1">
      <alignment vertical="center"/>
    </xf>
    <xf numFmtId="49" fontId="20" fillId="0" borderId="12" xfId="47" applyFont="1" applyBorder="1" applyNumberFormat="1">
      <alignment horizontal="left" vertical="center"/>
    </xf>
    <xf numFmtId="0" fontId="19" fillId="0" borderId="11" xfId="0" applyFont="1" applyBorder="1">
      <alignment vertical="center"/>
    </xf>
    <xf numFmtId="2" fontId="20" fillId="0" borderId="12" xfId="47" applyFont="1" applyBorder="1" applyNumberFormat="1">
      <alignment horizontal="left" vertical="center"/>
    </xf>
    <xf numFmtId="1" fontId="20" fillId="0" borderId="10" xfId="47" applyFont="1" applyBorder="1" applyNumberFormat="1">
      <alignment horizontal="right" vertical="center"/>
    </xf>
    <xf numFmtId="1" fontId="20" fillId="0" borderId="11" xfId="47" applyFont="1" applyBorder="1" applyNumberFormat="1">
      <alignment horizontal="right" vertical="center"/>
    </xf>
    <xf numFmtId="2" fontId="20" fillId="0" borderId="12" xfId="0" applyFont="1" applyBorder="1" applyNumberFormat="1">
      <alignment horizontal="left" vertical="center"/>
    </xf>
    <xf numFmtId="2" fontId="20" fillId="0" borderId="12" xfId="47" applyFont="1" applyBorder="1" applyNumberFormat="1">
      <alignment horizontal="left" vertical="center"/>
    </xf>
    <xf numFmtId="0" fontId="19" fillId="0" borderId="12" xfId="0" applyFont="1" applyBorder="1">
      <alignment horizontal="left" vertical="center"/>
    </xf>
    <xf numFmtId="2" fontId="20" fillId="0" borderId="10" xfId="47" applyFont="1" applyBorder="1" applyNumberFormat="1">
      <alignment horizontal="right" vertical="center"/>
    </xf>
    <xf numFmtId="1" fontId="20" fillId="0" borderId="10" xfId="0" applyFont="1" applyBorder="1" applyNumberFormat="1">
      <alignment horizontal="right" vertical="center"/>
    </xf>
    <xf numFmtId="0" fontId="19" fillId="7" borderId="10" xfId="0" applyFont="1" applyFill="1" applyBorder="1">
      <alignment vertical="center"/>
    </xf>
    <xf numFmtId="1" fontId="20" fillId="7" borderId="10" xfId="47" applyFont="1" applyFill="1" applyBorder="1" applyNumberFormat="1">
      <alignment horizontal="right" vertical="center"/>
    </xf>
    <xf numFmtId="2" fontId="20" fillId="7" borderId="10" xfId="47" applyFont="1" applyFill="1" applyBorder="1" applyNumberFormat="1">
      <alignment horizontal="right" vertical="center"/>
    </xf>
    <xf numFmtId="1" fontId="19" fillId="7" borderId="10" xfId="0" applyFont="1" applyFill="1" applyBorder="1" applyNumberFormat="1">
      <alignment vertical="center"/>
    </xf>
    <xf numFmtId="1" fontId="20" fillId="7" borderId="10" xfId="47" applyFont="1" applyFill="1" applyBorder="1" applyNumberFormat="1">
      <alignment horizontal="right" vertical="center"/>
    </xf>
    <xf numFmtId="0" fontId="19" fillId="0" borderId="13" xfId="0" applyFont="1" applyBorder="1">
      <alignment horizontal="center" vertical="center"/>
    </xf>
    <xf numFmtId="2" fontId="20" fillId="0" borderId="14" xfId="0" applyFont="1" applyBorder="1" applyNumberFormat="1">
      <alignment horizontal="left" vertical="center"/>
    </xf>
    <xf numFmtId="49" fontId="20" fillId="0" borderId="14" xfId="47" applyFont="1" applyBorder="1" applyNumberFormat="1">
      <alignment horizontal="left" vertical="center"/>
    </xf>
    <xf numFmtId="0" fontId="19" fillId="0" borderId="13" xfId="0" applyFont="1" applyBorder="1">
      <alignment vertical="center"/>
    </xf>
    <xf numFmtId="2" fontId="20" fillId="0" borderId="14" xfId="47" applyFont="1" applyBorder="1" applyNumberFormat="1">
      <alignment horizontal="left" vertical="center"/>
    </xf>
    <xf numFmtId="2" fontId="20" fillId="0" borderId="14" xfId="0" applyFont="1" applyBorder="1" applyNumberFormat="1">
      <alignment horizontal="left" vertical="center"/>
    </xf>
    <xf numFmtId="2" fontId="20" fillId="0" borderId="14" xfId="47" applyFont="1" applyBorder="1" applyNumberFormat="1">
      <alignment horizontal="left" vertical="center"/>
    </xf>
    <xf numFmtId="0" fontId="19" fillId="0" borderId="14" xfId="0" applyFont="1" applyBorder="1">
      <alignment horizontal="left" vertical="center"/>
    </xf>
    <xf numFmtId="2" fontId="20" fillId="0" borderId="15" xfId="0" applyFont="1" applyBorder="1" applyNumberFormat="1">
      <alignment horizontal="left" vertical="center"/>
    </xf>
    <xf numFmtId="0" fontId="19" fillId="0" borderId="16" xfId="0" applyFont="1" applyBorder="1">
      <alignment vertical="center"/>
    </xf>
    <xf numFmtId="0" fontId="19" fillId="0" borderId="17" xfId="0" applyFont="1" applyBorder="1">
      <alignment vertical="center"/>
    </xf>
    <xf numFmtId="0" fontId="19" fillId="7" borderId="10" xfId="0" applyFont="1" applyFill="1" applyBorder="1">
      <alignment vertical="center"/>
    </xf>
    <xf numFmtId="1" fontId="20" fillId="7" borderId="10" xfId="47" applyFont="1" applyFill="1" applyBorder="1" applyNumberFormat="1">
      <alignment vertical="center"/>
    </xf>
    <xf numFmtId="1" fontId="20" fillId="0" borderId="10" xfId="47" applyFont="1" applyBorder="1" applyNumberFormat="1">
      <alignment vertical="center"/>
    </xf>
    <xf numFmtId="1" fontId="20" fillId="0" borderId="13" xfId="47" applyFont="1" applyBorder="1" applyNumberFormat="1">
      <alignment vertical="center"/>
    </xf>
    <xf numFmtId="1" fontId="20" fillId="0" borderId="13" xfId="47" applyFont="1" applyBorder="1" applyNumberFormat="1">
      <alignment vertical="center"/>
    </xf>
    <xf numFmtId="1" fontId="20" fillId="7" borderId="10" xfId="47" applyFont="1" applyFill="1" applyBorder="1" applyNumberFormat="1">
      <alignment vertical="center"/>
    </xf>
    <xf numFmtId="2" fontId="20" fillId="7" borderId="10" xfId="47" applyFont="1" applyFill="1" applyBorder="1" applyNumberFormat="1">
      <alignment vertical="center"/>
    </xf>
    <xf numFmtId="2" fontId="20" fillId="0" borderId="10" xfId="47" applyFont="1" applyBorder="1" applyNumberFormat="1">
      <alignment vertical="center"/>
    </xf>
    <xf numFmtId="1" fontId="20" fillId="0" borderId="10" xfId="0" applyFont="1" applyBorder="1" applyNumberFormat="1">
      <alignment vertical="center"/>
    </xf>
    <xf numFmtId="1" fontId="20" fillId="7" borderId="16" xfId="47" applyFont="1" applyFill="1" applyBorder="1" applyNumberFormat="1">
      <alignment vertical="center"/>
    </xf>
    <xf numFmtId="0" fontId="19" fillId="7" borderId="10" xfId="0" applyFont="1" applyFill="1" applyBorder="1">
      <alignment vertical="center"/>
    </xf>
    <xf numFmtId="0" fontId="19" fillId="7" borderId="10" xfId="0" applyFont="1" applyFill="1" applyBorder="1">
      <alignment vertical="center"/>
    </xf>
    <xf numFmtId="0" fontId="19" fillId="0" borderId="10" xfId="0" applyFont="1" applyBorder="1">
      <alignment vertical="center"/>
    </xf>
    <xf numFmtId="1" fontId="19" fillId="0" borderId="10" xfId="0" applyFont="1" applyBorder="1" applyNumberFormat="1">
      <alignment vertical="center"/>
    </xf>
    <xf numFmtId="1" fontId="20" fillId="0" borderId="10" xfId="47" applyFont="1" applyBorder="1" applyNumberFormat="1">
      <alignment horizontal="right" vertical="center"/>
    </xf>
    <xf numFmtId="2" fontId="20" fillId="0" borderId="10" xfId="47" applyFont="1" applyBorder="1" applyNumberFormat="1">
      <alignment horizontal="right" vertical="center"/>
    </xf>
    <xf numFmtId="1" fontId="19" fillId="0" borderId="11" xfId="0" applyFont="1" applyBorder="1" applyNumberFormat="1">
      <alignment vertical="center"/>
    </xf>
    <xf numFmtId="0" fontId="19" fillId="0" borderId="11" xfId="0" applyFont="1" applyBorder="1">
      <alignment vertical="center"/>
    </xf>
    <xf numFmtId="1" fontId="20" fillId="0" borderId="11" xfId="47" applyFont="1" applyBorder="1" applyNumberFormat="1">
      <alignment horizontal="right" vertical="center"/>
    </xf>
    <xf numFmtId="0" fontId="19" fillId="0" borderId="10" xfId="0" applyFont="1" applyBorder="1">
      <alignment vertical="center"/>
    </xf>
    <xf numFmtId="0" fontId="19" fillId="0" borderId="12" xfId="0" applyFont="1" applyBorder="1">
      <alignment horizontal="left" vertical="center"/>
    </xf>
    <xf numFmtId="2" fontId="20" fillId="0" borderId="12" xfId="0" applyFont="1" applyBorder="1" applyNumberFormat="1">
      <alignment horizontal="left" vertical="center"/>
    </xf>
    <xf numFmtId="2" fontId="20" fillId="0" borderId="12" xfId="47" applyFont="1" applyBorder="1" applyNumberFormat="1">
      <alignment horizontal="left" vertical="center"/>
    </xf>
    <xf numFmtId="1" fontId="19" fillId="7" borderId="13" xfId="0" applyFont="1" applyFill="1" applyBorder="1" applyNumberFormat="1">
      <alignment vertical="center"/>
    </xf>
    <xf numFmtId="0" fontId="19" fillId="7" borderId="10" xfId="0" applyFont="1" applyFill="1" applyBorder="1">
      <alignment vertical="center"/>
    </xf>
    <xf numFmtId="1" fontId="19" fillId="7" borderId="10" xfId="0" applyFont="1" applyFill="1" applyBorder="1" applyNumberFormat="1">
      <alignment vertical="center"/>
    </xf>
    <xf numFmtId="2" fontId="19" fillId="0" borderId="10" xfId="0" applyFont="1" applyBorder="1" applyNumberFormat="1">
      <alignment vertical="center"/>
    </xf>
    <xf numFmtId="0" fontId="19" fillId="0" borderId="18" xfId="0" applyFont="1" applyBorder="1">
      <alignment horizontal="right" vertical="center"/>
    </xf>
    <xf numFmtId="0" fontId="0" fillId="0" borderId="0" xfId="0" applyFont="1">
      <alignment vertical="center"/>
    </xf>
    <xf numFmtId="0" fontId="19" fillId="0" borderId="16" xfId="0" applyFont="1" applyBorder="1">
      <alignment vertical="center"/>
    </xf>
    <xf numFmtId="2" fontId="20" fillId="0" borderId="19" xfId="0" applyFont="1" applyBorder="1" applyNumberFormat="1">
      <alignment horizontal="left" vertical="center"/>
    </xf>
    <xf numFmtId="1" fontId="20" fillId="7" borderId="16" xfId="47" applyFont="1" applyFill="1" applyBorder="1" applyNumberFormat="1">
      <alignment horizontal="right" vertical="center"/>
    </xf>
    <xf numFmtId="1" fontId="19" fillId="0" borderId="16" xfId="0" applyFont="1" applyBorder="1" applyNumberFormat="1">
      <alignment vertical="center"/>
    </xf>
    <xf numFmtId="0" fontId="19" fillId="0" borderId="18" xfId="0" applyFont="1" applyBorder="1">
      <alignment vertical="center"/>
    </xf>
    <xf numFmtId="0" fontId="21" fillId="0" borderId="0" xfId="0" applyFont="1">
      <alignment vertical="top"/>
    </xf>
    <xf numFmtId="171" fontId="21" fillId="0" borderId="0" xfId="0" applyFont="1" applyNumberFormat="1">
      <alignment vertical="top"/>
    </xf>
    <xf numFmtId="171" fontId="0" fillId="0" borderId="0" xfId="0" applyFont="1" applyNumberFormat="1"/>
    <xf numFmtId="171" fontId="19" fillId="0" borderId="20" xfId="0" applyFont="1" applyBorder="1" applyNumberFormat="1">
      <alignment horizontal="left" vertical="center"/>
    </xf>
    <xf numFmtId="0" fontId="19" fillId="0" borderId="0" xfId="0" applyFont="1">
      <alignment vertical="center"/>
    </xf>
    <xf numFmtId="1" fontId="20" fillId="0" borderId="21" xfId="47" applyFont="1" applyBorder="1" applyNumberFormat="1">
      <alignment horizontal="right" vertical="center"/>
    </xf>
    <xf numFmtId="0" fontId="19" fillId="0" borderId="0" xfId="0" applyFont="1">
      <alignment horizontal="right" vertical="center"/>
    </xf>
    <xf numFmtId="0" fontId="19" fillId="7" borderId="0" xfId="0" applyFont="1" applyFill="1">
      <alignment horizontal="left" vertical="center"/>
    </xf>
    <xf numFmtId="0" fontId="19" fillId="7" borderId="0" xfId="0" applyFont="1" applyFill="1">
      <alignment vertical="center"/>
    </xf>
    <xf numFmtId="0" fontId="19" fillId="0" borderId="10" xfId="0" applyFont="1" applyBorder="1">
      <alignment vertical="center"/>
    </xf>
    <xf numFmtId="1" fontId="20" fillId="7" borderId="10" xfId="47" applyFont="1" applyFill="1" applyBorder="1" applyNumberFormat="1">
      <alignment horizontal="right" vertical="center"/>
    </xf>
    <xf numFmtId="1" fontId="19" fillId="0" borderId="10" xfId="0" applyFont="1" applyBorder="1" applyNumberFormat="1">
      <alignment vertical="center"/>
    </xf>
    <xf numFmtId="2" fontId="20" fillId="0" borderId="22" xfId="0" applyFont="1" applyBorder="1" applyNumberFormat="1">
      <alignment horizontal="left" vertical="center"/>
    </xf>
    <xf numFmtId="0" fontId="19" fillId="0" borderId="23" xfId="0" applyFont="1" applyBorder="1">
      <alignment vertical="center"/>
    </xf>
    <xf numFmtId="1" fontId="19" fillId="0" borderId="23" xfId="0" applyFont="1" applyBorder="1" applyNumberFormat="1">
      <alignment vertical="center"/>
    </xf>
    <xf numFmtId="2" fontId="20" fillId="0" borderId="12" xfId="0" applyFont="1" applyBorder="1" applyNumberFormat="1">
      <alignment horizontal="left" vertical="center"/>
    </xf>
    <xf numFmtId="0" fontId="19" fillId="0" borderId="11" xfId="0" applyFont="1" applyBorder="1">
      <alignment vertical="center"/>
    </xf>
    <xf numFmtId="2" fontId="20" fillId="0" borderId="24" xfId="0" applyFont="1" applyBorder="1" applyNumberFormat="1">
      <alignment horizontal="left" vertical="center"/>
    </xf>
    <xf numFmtId="0" fontId="19" fillId="0" borderId="25" xfId="0" applyFont="1" applyBorder="1">
      <alignment vertical="center"/>
    </xf>
    <xf numFmtId="1" fontId="19" fillId="7" borderId="23" xfId="0" applyFont="1" applyFill="1" applyBorder="1" applyNumberFormat="1">
      <alignment vertical="center"/>
    </xf>
    <xf numFmtId="1" fontId="20" fillId="33" borderId="23" xfId="47" applyFont="1" applyFill="1" applyBorder="1" applyNumberFormat="1">
      <alignment horizontal="right" vertical="center"/>
    </xf>
    <xf numFmtId="0" fontId="19" fillId="0" borderId="26" xfId="0" applyFont="1" applyBorder="1">
      <alignment horizontal="left" vertical="center"/>
    </xf>
    <xf numFmtId="0" fontId="19" fillId="0" borderId="18" xfId="0" applyFont="1" applyBorder="1">
      <alignment horizontal="left" vertical="center"/>
    </xf>
    <xf numFmtId="0" fontId="19" fillId="0" borderId="18" xfId="0" applyFont="1" applyBorder="1">
      <alignment horizontal="right" vertical="center"/>
    </xf>
    <xf numFmtId="0" fontId="22" fillId="0" borderId="27" xfId="0" applyFont="1" applyBorder="1">
      <alignment horizontal="center" vertical="center"/>
    </xf>
    <xf numFmtId="0" fontId="22" fillId="0" borderId="28" xfId="0" applyFont="1" applyBorder="1">
      <alignment horizontal="center" vertical="center"/>
    </xf>
    <xf numFmtId="0" fontId="22" fillId="0" borderId="29" xfId="0" applyFont="1" applyBorder="1">
      <alignment horizontal="center" vertical="center"/>
    </xf>
    <xf numFmtId="0" fontId="19" fillId="0" borderId="12" xfId="0" applyFont="1" applyBorder="1">
      <alignment horizontal="center" vertical="center"/>
    </xf>
    <xf numFmtId="0" fontId="19" fillId="0" borderId="10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0" fontId="19" fillId="0" borderId="30" xfId="0" applyFont="1" applyBorder="1">
      <alignment horizontal="center" vertical="center"/>
    </xf>
    <xf numFmtId="0" fontId="19" fillId="0" borderId="14" xfId="0" applyFont="1" applyBorder="1">
      <alignment horizontal="center" vertical="center"/>
    </xf>
    <xf numFmtId="0" fontId="19" fillId="0" borderId="31" xfId="0" applyFont="1" applyBorder="1">
      <alignment horizontal="center" vertical="center"/>
    </xf>
    <xf numFmtId="0" fontId="19" fillId="0" borderId="32" xfId="0" applyFont="1" applyBorder="1">
      <alignment horizontal="center" vertical="center"/>
    </xf>
    <xf numFmtId="0" fontId="19" fillId="0" borderId="13" xfId="0" applyFont="1" applyBorder="1">
      <alignment horizontal="center" vertical="center"/>
    </xf>
    <xf numFmtId="0" fontId="0" fillId="0" borderId="0" xfId="0" applyFont="1">
      <alignment wrapText="1"/>
    </xf>
    <xf numFmtId="0" fontId="0" fillId="0" borderId="0" xfId="0" applyFont="1">
      <alignment vertical="center" wrapText="1"/>
    </xf>
    <xf numFmtId="0" fontId="22" fillId="0" borderId="27" xfId="0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29" xfId="0" applyFont="1" applyBorder="1">
      <alignment horizontal="center" vertical="center" wrapText="1"/>
    </xf>
    <xf numFmtId="0" fontId="19" fillId="0" borderId="26" xfId="0" applyFont="1" applyBorder="1">
      <alignment horizontal="left" vertical="center" wrapText="1"/>
    </xf>
    <xf numFmtId="0" fontId="19" fillId="0" borderId="18" xfId="0" applyFont="1" applyBorder="1">
      <alignment horizontal="left" vertical="center" wrapText="1"/>
    </xf>
    <xf numFmtId="0" fontId="19" fillId="0" borderId="18" xfId="0" applyFont="1" applyBorder="1">
      <alignment horizontal="right" vertical="center" wrapText="1"/>
    </xf>
    <xf numFmtId="0" fontId="19" fillId="0" borderId="18" xfId="0" applyFont="1" applyBorder="1">
      <alignment vertical="center" wrapText="1"/>
    </xf>
    <xf numFmtId="0" fontId="19" fillId="0" borderId="18" xfId="0" applyFont="1" applyBorder="1">
      <alignment horizontal="right" vertical="center" wrapText="1"/>
    </xf>
    <xf numFmtId="171" fontId="19" fillId="0" borderId="20" xfId="0" applyFont="1" applyBorder="1" applyNumberFormat="1">
      <alignment horizontal="left" vertical="center" wrapText="1"/>
    </xf>
    <xf numFmtId="0" fontId="19" fillId="0" borderId="12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2" fontId="20" fillId="0" borderId="12" xfId="0" applyFont="1" applyBorder="1" applyNumberFormat="1">
      <alignment horizontal="left" vertical="center" wrapText="1"/>
    </xf>
    <xf numFmtId="0" fontId="19" fillId="0" borderId="10" xfId="0" applyFont="1" applyBorder="1">
      <alignment vertical="center" wrapText="1"/>
    </xf>
    <xf numFmtId="0" fontId="19" fillId="7" borderId="10" xfId="0" applyFont="1" applyFill="1" applyBorder="1">
      <alignment vertical="center" wrapText="1"/>
      <protection locked="0"/>
    </xf>
    <xf numFmtId="0" fontId="19" fillId="0" borderId="10" xfId="0" applyFont="1" applyBorder="1">
      <alignment vertical="center" wrapText="1"/>
    </xf>
    <xf numFmtId="1" fontId="19" fillId="7" borderId="10" xfId="0" applyFont="1" applyFill="1" applyBorder="1" applyNumberFormat="1">
      <alignment vertical="center" wrapText="1"/>
      <protection locked="0"/>
    </xf>
    <xf numFmtId="1" fontId="19" fillId="0" borderId="11" xfId="0" applyFont="1" applyBorder="1" applyNumberFormat="1">
      <alignment vertical="center" wrapText="1"/>
    </xf>
    <xf numFmtId="49" fontId="20" fillId="0" borderId="12" xfId="0" applyFont="1" applyBorder="1" applyNumberFormat="1">
      <alignment horizontal="left" vertical="center" wrapText="1"/>
    </xf>
    <xf numFmtId="0" fontId="19" fillId="0" borderId="11" xfId="0" applyFont="1" applyBorder="1">
      <alignment vertical="center" wrapText="1"/>
    </xf>
    <xf numFmtId="2" fontId="20" fillId="0" borderId="12" xfId="0" applyFont="1" applyBorder="1" applyNumberFormat="1">
      <alignment horizontal="left" vertical="center" wrapText="1"/>
    </xf>
    <xf numFmtId="1" fontId="20" fillId="7" borderId="10" xfId="0" applyFont="1" applyFill="1" applyBorder="1" applyNumberFormat="1">
      <alignment horizontal="right" vertical="center" wrapText="1"/>
      <protection locked="0"/>
    </xf>
    <xf numFmtId="0" fontId="19" fillId="0" borderId="10" xfId="0" applyFont="1" applyBorder="1">
      <alignment vertical="center" wrapText="1"/>
    </xf>
    <xf numFmtId="1" fontId="20" fillId="0" borderId="10" xfId="0" applyFont="1" applyBorder="1" applyNumberFormat="1">
      <alignment horizontal="right" vertical="center" wrapText="1"/>
    </xf>
    <xf numFmtId="1" fontId="20" fillId="0" borderId="11" xfId="0" applyFont="1" applyBorder="1" applyNumberFormat="1">
      <alignment horizontal="right" vertical="center" wrapText="1"/>
    </xf>
    <xf numFmtId="2" fontId="20" fillId="0" borderId="12" xfId="0" applyFont="1" applyBorder="1" applyNumberFormat="1">
      <alignment horizontal="left" vertical="center" wrapText="1"/>
    </xf>
    <xf numFmtId="1" fontId="20" fillId="0" borderId="10" xfId="0" applyFont="1" applyBorder="1" applyNumberFormat="1">
      <alignment horizontal="right" vertical="center" wrapText="1"/>
    </xf>
    <xf numFmtId="2" fontId="20" fillId="0" borderId="12" xfId="0" applyFont="1" applyBorder="1" applyNumberFormat="1">
      <alignment horizontal="left" vertical="center" wrapText="1"/>
    </xf>
    <xf numFmtId="2" fontId="20" fillId="0" borderId="12" xfId="0" applyFont="1" applyBorder="1" applyNumberFormat="1">
      <alignment horizontal="left" vertical="center" wrapText="1"/>
    </xf>
    <xf numFmtId="0" fontId="19" fillId="7" borderId="10" xfId="0" applyFont="1" applyFill="1" applyBorder="1">
      <alignment vertical="center" wrapText="1"/>
      <protection locked="0"/>
    </xf>
    <xf numFmtId="2" fontId="20" fillId="0" borderId="12" xfId="0" applyFont="1" applyBorder="1" applyNumberFormat="1">
      <alignment horizontal="left" vertical="center" wrapText="1"/>
    </xf>
    <xf numFmtId="1" fontId="20" fillId="7" borderId="10" xfId="0" applyFont="1" applyFill="1" applyBorder="1" applyNumberFormat="1">
      <alignment horizontal="right" vertical="center" wrapText="1"/>
      <protection locked="0"/>
    </xf>
    <xf numFmtId="0" fontId="19" fillId="0" borderId="12" xfId="0" applyFont="1" applyBorder="1">
      <alignment horizontal="left" vertical="center" wrapText="1"/>
    </xf>
    <xf numFmtId="2" fontId="20" fillId="7" borderId="10" xfId="0" applyFont="1" applyFill="1" applyBorder="1" applyNumberFormat="1">
      <alignment horizontal="right" vertical="center" wrapText="1"/>
      <protection locked="0"/>
    </xf>
    <xf numFmtId="2" fontId="19" fillId="0" borderId="10" xfId="0" applyFont="1" applyBorder="1" applyNumberFormat="1">
      <alignment vertical="center" wrapText="1"/>
    </xf>
    <xf numFmtId="0" fontId="19" fillId="0" borderId="12" xfId="0" applyFont="1" applyBorder="1">
      <alignment horizontal="left" vertical="center" wrapText="1"/>
    </xf>
    <xf numFmtId="2" fontId="20" fillId="0" borderId="10" xfId="0" applyFont="1" applyBorder="1" applyNumberFormat="1">
      <alignment horizontal="right" vertical="center" wrapText="1"/>
    </xf>
    <xf numFmtId="2" fontId="20" fillId="0" borderId="10" xfId="0" applyFont="1" applyBorder="1" applyNumberFormat="1">
      <alignment horizontal="right" vertical="center" wrapText="1"/>
    </xf>
    <xf numFmtId="1" fontId="20" fillId="0" borderId="10" xfId="0" applyFont="1" applyBorder="1" applyNumberFormat="1">
      <alignment horizontal="right" vertical="center" wrapText="1"/>
    </xf>
    <xf numFmtId="1" fontId="19" fillId="0" borderId="10" xfId="0" applyFont="1" applyBorder="1" applyNumberFormat="1">
      <alignment vertical="center" wrapText="1"/>
    </xf>
    <xf numFmtId="0" fontId="19" fillId="7" borderId="10" xfId="0" applyFont="1" applyFill="1" applyBorder="1">
      <alignment vertical="center" wrapText="1"/>
      <protection locked="0"/>
    </xf>
    <xf numFmtId="0" fontId="19" fillId="0" borderId="11" xfId="0" applyFont="1" applyBorder="1">
      <alignment vertical="center" wrapText="1"/>
    </xf>
    <xf numFmtId="1" fontId="20" fillId="0" borderId="11" xfId="0" applyFont="1" applyBorder="1" applyNumberFormat="1">
      <alignment horizontal="right" vertical="center" wrapText="1"/>
    </xf>
    <xf numFmtId="2" fontId="20" fillId="0" borderId="19" xfId="0" applyFont="1" applyBorder="1" applyNumberFormat="1">
      <alignment horizontal="left" vertical="center" wrapText="1"/>
    </xf>
    <xf numFmtId="0" fontId="19" fillId="0" borderId="16" xfId="0" applyFont="1" applyBorder="1">
      <alignment vertical="center" wrapText="1"/>
    </xf>
    <xf numFmtId="1" fontId="20" fillId="7" borderId="16" xfId="0" applyFont="1" applyFill="1" applyBorder="1" applyNumberFormat="1">
      <alignment horizontal="right" vertical="center" wrapText="1"/>
      <protection locked="0"/>
    </xf>
    <xf numFmtId="1" fontId="19" fillId="0" borderId="16" xfId="0" applyFont="1" applyBorder="1" applyNumberFormat="1">
      <alignment vertical="center" wrapText="1"/>
    </xf>
    <xf numFmtId="1" fontId="20" fillId="0" borderId="21" xfId="0" applyFont="1" applyBorder="1" applyNumberFormat="1">
      <alignment horizontal="right" vertical="center" wrapText="1"/>
    </xf>
    <xf numFmtId="2" fontId="20" fillId="0" borderId="12" xfId="0" applyFont="1" applyBorder="1" applyNumberFormat="1">
      <alignment horizontal="left" vertical="center" wrapText="1"/>
    </xf>
    <xf numFmtId="0" fontId="19" fillId="0" borderId="10" xfId="0" applyFont="1" applyBorder="1">
      <alignment vertical="center" wrapText="1"/>
    </xf>
    <xf numFmtId="1" fontId="20" fillId="7" borderId="10" xfId="0" applyFont="1" applyFill="1" applyBorder="1" applyNumberFormat="1">
      <alignment horizontal="right" vertical="center" wrapText="1"/>
      <protection locked="0"/>
    </xf>
    <xf numFmtId="1" fontId="19" fillId="0" borderId="10" xfId="0" applyFont="1" applyBorder="1" applyNumberFormat="1">
      <alignment vertical="center" wrapText="1"/>
    </xf>
    <xf numFmtId="0" fontId="19" fillId="0" borderId="11" xfId="0" applyFont="1" applyBorder="1">
      <alignment vertical="center" wrapText="1"/>
    </xf>
    <xf numFmtId="0" fontId="0" fillId="0" borderId="0" xfId="0" applyFont="1"/>
    <xf numFmtId="2" fontId="20" fillId="0" borderId="22" xfId="0" applyFont="1" applyBorder="1" applyNumberFormat="1">
      <alignment horizontal="left" vertical="center" wrapText="1"/>
    </xf>
    <xf numFmtId="0" fontId="19" fillId="0" borderId="23" xfId="0" applyFont="1" applyBorder="1">
      <alignment vertical="center" wrapText="1"/>
    </xf>
    <xf numFmtId="1" fontId="20" fillId="33" borderId="23" xfId="0" applyFont="1" applyFill="1" applyBorder="1" applyNumberFormat="1">
      <alignment horizontal="right" vertical="center" wrapText="1"/>
    </xf>
    <xf numFmtId="1" fontId="19" fillId="0" borderId="23" xfId="0" applyFont="1" applyBorder="1" applyNumberFormat="1">
      <alignment vertical="center" wrapText="1"/>
    </xf>
    <xf numFmtId="0" fontId="19" fillId="7" borderId="10" xfId="0" applyFont="1" applyFill="1" applyBorder="1">
      <alignment vertical="center" wrapText="1"/>
      <protection locked="0"/>
    </xf>
    <xf numFmtId="1" fontId="19" fillId="7" borderId="23" xfId="0" applyFont="1" applyFill="1" applyBorder="1" applyNumberFormat="1">
      <alignment vertical="center" wrapText="1"/>
      <protection locked="0"/>
    </xf>
    <xf numFmtId="0" fontId="19" fillId="0" borderId="0" xfId="0" applyFont="1">
      <alignment vertical="center" wrapText="1"/>
    </xf>
    <xf numFmtId="0" fontId="19" fillId="0" borderId="0" xfId="0" applyFont="1">
      <alignment horizontal="right" vertical="center" wrapText="1"/>
    </xf>
    <xf numFmtId="0" fontId="19" fillId="7" borderId="0" xfId="0" applyFont="1" applyFill="1">
      <alignment horizontal="left" vertical="center" wrapText="1"/>
      <protection locked="0"/>
    </xf>
    <xf numFmtId="0" fontId="19" fillId="7" borderId="0" xfId="0" applyFont="1" applyFill="1">
      <alignment vertical="center" wrapText="1"/>
      <protection locked="0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0" xfId="0" applyFont="1">
      <alignment vertical="top" wrapText="1"/>
    </xf>
    <xf numFmtId="171" fontId="21" fillId="0" borderId="0" xfId="0" applyFont="1" applyNumberFormat="1">
      <alignment vertical="top" wrapText="1"/>
    </xf>
    <xf numFmtId="0" fontId="0" fillId="0" borderId="0" xfId="0" applyFont="1">
      <alignment wrapText="1"/>
    </xf>
    <xf numFmtId="171" fontId="0" fillId="0" borderId="0" xfId="0" applyFont="1" applyNumberFormat="1">
      <alignment wrapText="1"/>
    </xf>
    <xf numFmtId="0" fontId="19" fillId="0" borderId="30" xfId="0" applyFont="1" applyBorder="1">
      <alignment horizontal="center" vertical="center" wrapText="1"/>
    </xf>
    <xf numFmtId="0" fontId="19" fillId="0" borderId="31" xfId="0" applyFont="1" applyBorder="1">
      <alignment horizontal="center" vertical="center" wrapText="1"/>
    </xf>
    <xf numFmtId="0" fontId="19" fillId="0" borderId="32" xfId="0" applyFont="1" applyBorder="1">
      <alignment horizontal="center" vertical="center" wrapText="1"/>
    </xf>
    <xf numFmtId="0" fontId="19" fillId="0" borderId="14" xfId="0" applyFont="1" applyBorder="1">
      <alignment horizontal="center" vertical="center" wrapText="1"/>
    </xf>
    <xf numFmtId="0" fontId="19" fillId="0" borderId="13" xfId="0" applyFont="1" applyBorder="1">
      <alignment horizontal="center" vertical="center" wrapText="1"/>
    </xf>
    <xf numFmtId="0" fontId="19" fillId="0" borderId="13" xfId="0" applyFont="1" applyBorder="1">
      <alignment horizontal="center" vertical="center" wrapText="1"/>
    </xf>
    <xf numFmtId="2" fontId="20" fillId="0" borderId="14" xfId="0" applyFont="1" applyBorder="1" applyNumberFormat="1">
      <alignment horizontal="left" vertical="center" wrapText="1"/>
    </xf>
    <xf numFmtId="0" fontId="19" fillId="7" borderId="10" xfId="0" applyFont="1" applyFill="1" applyBorder="1">
      <alignment vertical="center" wrapText="1"/>
    </xf>
    <xf numFmtId="1" fontId="19" fillId="7" borderId="13" xfId="0" applyFont="1" applyFill="1" applyBorder="1" applyNumberFormat="1">
      <alignment vertical="center" wrapText="1"/>
    </xf>
    <xf numFmtId="1" fontId="19" fillId="7" borderId="10" xfId="0" applyFont="1" applyFill="1" applyBorder="1" applyNumberFormat="1">
      <alignment vertical="center" wrapText="1"/>
    </xf>
    <xf numFmtId="1" fontId="19" fillId="7" borderId="10" xfId="0" applyFont="1" applyFill="1" applyBorder="1" applyNumberFormat="1">
      <alignment vertical="center" wrapText="1"/>
    </xf>
    <xf numFmtId="49" fontId="20" fillId="0" borderId="14" xfId="0" applyFont="1" applyBorder="1" applyNumberFormat="1">
      <alignment horizontal="left" vertical="center" wrapText="1"/>
    </xf>
    <xf numFmtId="0" fontId="19" fillId="0" borderId="13" xfId="0" applyFont="1" applyBorder="1">
      <alignment vertical="center" wrapText="1"/>
    </xf>
    <xf numFmtId="2" fontId="20" fillId="0" borderId="14" xfId="0" applyFont="1" applyBorder="1" applyNumberFormat="1">
      <alignment horizontal="left" vertical="center" wrapText="1"/>
    </xf>
    <xf numFmtId="1" fontId="20" fillId="7" borderId="10" xfId="0" applyFont="1" applyFill="1" applyBorder="1" applyNumberFormat="1">
      <alignment vertical="center" wrapText="1"/>
    </xf>
    <xf numFmtId="0" fontId="19" fillId="7" borderId="10" xfId="0" applyFont="1" applyFill="1" applyBorder="1">
      <alignment vertical="center" wrapText="1"/>
    </xf>
    <xf numFmtId="1" fontId="20" fillId="0" borderId="10" xfId="0" applyFont="1" applyBorder="1" applyNumberFormat="1">
      <alignment vertical="center" wrapText="1"/>
    </xf>
    <xf numFmtId="1" fontId="20" fillId="0" borderId="13" xfId="0" applyFont="1" applyBorder="1" applyNumberFormat="1">
      <alignment vertical="center" wrapText="1"/>
    </xf>
    <xf numFmtId="2" fontId="20" fillId="0" borderId="14" xfId="0" applyFont="1" applyBorder="1" applyNumberFormat="1">
      <alignment horizontal="left" vertical="center" wrapText="1"/>
    </xf>
    <xf numFmtId="1" fontId="20" fillId="0" borderId="13" xfId="0" applyFont="1" applyBorder="1" applyNumberFormat="1">
      <alignment vertical="center" wrapText="1"/>
    </xf>
    <xf numFmtId="2" fontId="20" fillId="0" borderId="14" xfId="0" applyFont="1" applyBorder="1" applyNumberFormat="1">
      <alignment horizontal="left" vertical="center" wrapText="1"/>
    </xf>
    <xf numFmtId="0" fontId="19" fillId="7" borderId="10" xfId="0" applyFont="1" applyFill="1" applyBorder="1">
      <alignment vertical="center" wrapText="1"/>
    </xf>
    <xf numFmtId="1" fontId="20" fillId="7" borderId="10" xfId="0" applyFont="1" applyFill="1" applyBorder="1" applyNumberFormat="1">
      <alignment vertical="center" wrapText="1"/>
    </xf>
    <xf numFmtId="0" fontId="19" fillId="0" borderId="14" xfId="0" applyFont="1" applyBorder="1">
      <alignment horizontal="left" vertical="center" wrapText="1"/>
    </xf>
    <xf numFmtId="2" fontId="20" fillId="7" borderId="10" xfId="0" applyFont="1" applyFill="1" applyBorder="1" applyNumberFormat="1">
      <alignment vertical="center" wrapText="1"/>
    </xf>
    <xf numFmtId="2" fontId="20" fillId="0" borderId="10" xfId="0" applyFont="1" applyBorder="1" applyNumberFormat="1">
      <alignment vertical="center" wrapText="1"/>
    </xf>
    <xf numFmtId="1" fontId="20" fillId="0" borderId="10" xfId="0" applyFont="1" applyBorder="1" applyNumberFormat="1">
      <alignment vertical="center" wrapText="1"/>
    </xf>
    <xf numFmtId="1" fontId="19" fillId="0" borderId="10" xfId="0" applyFont="1" applyBorder="1" applyNumberFormat="1">
      <alignment vertical="center" wrapText="1"/>
    </xf>
    <xf numFmtId="2" fontId="20" fillId="0" borderId="15" xfId="0" applyFont="1" applyBorder="1" applyNumberFormat="1">
      <alignment horizontal="left" vertical="center" wrapText="1"/>
    </xf>
    <xf numFmtId="0" fontId="19" fillId="0" borderId="16" xfId="0" applyFont="1" applyBorder="1">
      <alignment vertical="center" wrapText="1"/>
    </xf>
    <xf numFmtId="1" fontId="20" fillId="7" borderId="16" xfId="0" applyFont="1" applyFill="1" applyBorder="1" applyNumberFormat="1">
      <alignment vertical="center" wrapText="1"/>
    </xf>
    <xf numFmtId="0" fontId="19" fillId="0" borderId="17" xfId="0" applyFont="1" applyBorder="1">
      <alignment vertical="center" wrapText="1"/>
    </xf>
    <xf numFmtId="2" fontId="20" fillId="0" borderId="24" xfId="0" applyFont="1" applyBorder="1" applyNumberFormat="1">
      <alignment horizontal="left" vertical="center" wrapText="1"/>
    </xf>
    <xf numFmtId="0" fontId="19" fillId="0" borderId="25" xfId="0" applyFont="1" applyBorder="1">
      <alignment vertical="center" wrapText="1"/>
    </xf>
    <xf numFmtId="0" fontId="0" fillId="0" borderId="0" xfId="0" applyFont="1"/>
    <xf numFmtId="0" fontId="0" fillId="0" borderId="0" xfId="0" applyFont="1"/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 2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59598D8-A39C-6438-67AE-6E4A4428C2D8}" mc:Ignorable="x14ac xr xr2 xr3">
  <sheetPr>
    <pageSetUpPr fitToPage="1"/>
  </sheetPr>
  <dimension ref="A1:K37"/>
  <sheetViews>
    <sheetView topLeftCell="A1" showGridLines="0" zoomScale="140" workbookViewId="0" tabSelected="1">
      <pane ySplit="6" topLeftCell="A7" activePane="bottomLeft" state="frozen"/>
      <selection pane="bottomLeft" activeCell="A1" sqref="A1"/>
    </sheetView>
  </sheetViews>
  <sheetFormatPr customHeight="1" defaultRowHeight="14.25"/>
  <cols>
    <col min="1" max="1" style="216" width="2.8515625" customWidth="1"/>
    <col min="2" max="3" style="107" width="16.57421875" customWidth="1"/>
    <col min="4" max="5" style="107" width="10.57421875" customWidth="1"/>
    <col min="6" max="7" style="107" width="14.57421875" customWidth="1"/>
    <col min="8" max="9" style="107" width="10.57421875" customWidth="1"/>
    <col min="10" max="11" style="107" width="14.57421875" customWidth="1"/>
  </cols>
  <sheetData>
    <row customHeight="1" ht="3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customHeight="1" ht="23.25">
      <c r="A2" s="148"/>
      <c r="B2" s="150" t="s">
        <v>0</v>
      </c>
      <c r="C2" s="151"/>
      <c r="D2" s="151"/>
      <c r="E2" s="151"/>
      <c r="F2" s="151"/>
      <c r="G2" s="151"/>
      <c r="H2" s="151"/>
      <c r="I2" s="151"/>
      <c r="J2" s="151"/>
      <c r="K2" s="152"/>
    </row>
    <row customHeight="1" ht="15">
      <c r="A3" s="148"/>
      <c r="B3" s="153" t="s">
        <v>1</v>
      </c>
      <c r="C3" s="154"/>
      <c r="D3" s="155" t="s">
        <v>2</v>
      </c>
      <c r="E3" s="155"/>
      <c r="F3" s="154" t="s">
        <v>3</v>
      </c>
      <c r="G3" s="154"/>
      <c r="H3" s="156"/>
      <c r="I3" s="156"/>
      <c r="J3" s="157" t="s">
        <v>4</v>
      </c>
      <c r="K3" s="158">
        <f>_xlfn.IFERROR(取值!G3,"")</f>
        <v>46022</v>
      </c>
    </row>
    <row customHeight="1" ht="15">
      <c r="A4" s="148"/>
      <c r="B4" s="159" t="s">
        <v>5</v>
      </c>
      <c r="C4" s="160" t="s">
        <v>6</v>
      </c>
      <c r="D4" s="160" t="s">
        <v>7</v>
      </c>
      <c r="E4" s="160"/>
      <c r="F4" s="160"/>
      <c r="G4" s="160"/>
      <c r="H4" s="160" t="s">
        <v>8</v>
      </c>
      <c r="I4" s="160"/>
      <c r="J4" s="160"/>
      <c r="K4" s="161"/>
    </row>
    <row customHeight="1" ht="15">
      <c r="A5" s="148"/>
      <c r="B5" s="159"/>
      <c r="C5" s="160"/>
      <c r="D5" s="160" t="s">
        <v>9</v>
      </c>
      <c r="E5" s="160"/>
      <c r="F5" s="160" t="s">
        <v>10</v>
      </c>
      <c r="G5" s="160"/>
      <c r="H5" s="160" t="s">
        <v>9</v>
      </c>
      <c r="I5" s="160"/>
      <c r="J5" s="160" t="s">
        <v>10</v>
      </c>
      <c r="K5" s="161"/>
    </row>
    <row customHeight="1" ht="15">
      <c r="A6" s="148"/>
      <c r="B6" s="159"/>
      <c r="C6" s="160"/>
      <c r="D6" s="162" t="s">
        <v>11</v>
      </c>
      <c r="E6" s="162" t="s">
        <v>12</v>
      </c>
      <c r="F6" s="162" t="s">
        <v>11</v>
      </c>
      <c r="G6" s="162" t="s">
        <v>12</v>
      </c>
      <c r="H6" s="162" t="s">
        <v>11</v>
      </c>
      <c r="I6" s="162" t="s">
        <v>12</v>
      </c>
      <c r="J6" s="162" t="s">
        <v>11</v>
      </c>
      <c r="K6" s="163" t="s">
        <v>12</v>
      </c>
    </row>
    <row customHeight="1" ht="15">
      <c r="A7" s="148"/>
      <c r="B7" s="164" t="s">
        <v>13</v>
      </c>
      <c r="C7" s="165" t="s">
        <v>14</v>
      </c>
      <c r="D7" s="165"/>
      <c r="E7" s="165"/>
      <c r="F7" s="165"/>
      <c r="G7" s="165"/>
      <c r="H7" s="166"/>
      <c r="I7" s="167">
        <f>_xlfn.IFERROR(SUM(H7,取值!I7),0)</f>
        <v>42</v>
      </c>
      <c r="J7" s="168">
        <v>94.78</v>
      </c>
      <c r="K7" s="169">
        <f>_xlfn.IFERROR(SUM(J7,取值!K7),0)</f>
        <v>831.02</v>
      </c>
    </row>
    <row customHeight="1" ht="15">
      <c r="A8" s="148"/>
      <c r="B8" s="170" t="s">
        <v>15</v>
      </c>
      <c r="C8" s="165" t="s">
        <v>14</v>
      </c>
      <c r="D8" s="165"/>
      <c r="E8" s="165"/>
      <c r="F8" s="165"/>
      <c r="G8" s="165"/>
      <c r="H8" s="165"/>
      <c r="I8" s="167"/>
      <c r="J8" s="165"/>
      <c r="K8" s="171"/>
    </row>
    <row customHeight="1" ht="15">
      <c r="A9" s="148"/>
      <c r="B9" s="172" t="s">
        <v>16</v>
      </c>
      <c r="C9" s="165" t="s">
        <v>17</v>
      </c>
      <c r="D9" s="165"/>
      <c r="E9" s="165"/>
      <c r="F9" s="165"/>
      <c r="G9" s="165"/>
      <c r="H9" s="166">
        <v>0</v>
      </c>
      <c r="I9" s="167">
        <f>_xlfn.IFERROR(SUM(H9,取值!I9),0)</f>
        <v>0</v>
      </c>
      <c r="J9" s="173">
        <v>0</v>
      </c>
      <c r="K9" s="169">
        <f>_xlfn.IFERROR(SUM(J9,取值!K9),0)</f>
        <v>0</v>
      </c>
    </row>
    <row customHeight="1" ht="15">
      <c r="A10" s="148"/>
      <c r="B10" s="172" t="s">
        <v>16</v>
      </c>
      <c r="C10" s="174" t="s">
        <v>18</v>
      </c>
      <c r="D10" s="166">
        <v>0</v>
      </c>
      <c r="E10" s="167">
        <f>_xlfn.IFERROR(SUM(D10,取值!E10),0)</f>
        <v>801</v>
      </c>
      <c r="F10" s="168">
        <v>0</v>
      </c>
      <c r="G10" s="167">
        <f>_xlfn.IFERROR(SUM(F10,取值!G10),0)</f>
        <v>25725.322</v>
      </c>
      <c r="H10" s="165"/>
      <c r="I10" s="175"/>
      <c r="J10" s="175"/>
      <c r="K10" s="176"/>
    </row>
    <row customHeight="1" ht="15">
      <c r="A11" s="148"/>
      <c r="B11" s="177" t="s">
        <v>19</v>
      </c>
      <c r="C11" s="165" t="s">
        <v>14</v>
      </c>
      <c r="D11" s="165"/>
      <c r="E11" s="167"/>
      <c r="F11" s="165"/>
      <c r="G11" s="178"/>
      <c r="H11" s="175"/>
      <c r="I11" s="175"/>
      <c r="J11" s="173">
        <v>80567</v>
      </c>
      <c r="K11" s="169">
        <f>_xlfn.IFERROR(SUM(J11,取值!K11),0)</f>
        <v>953346</v>
      </c>
    </row>
    <row customHeight="1" ht="15">
      <c r="A12" s="148"/>
      <c r="B12" s="177" t="s">
        <v>20</v>
      </c>
      <c r="C12" s="165" t="s">
        <v>14</v>
      </c>
      <c r="D12" s="165"/>
      <c r="E12" s="167"/>
      <c r="F12" s="165"/>
      <c r="G12" s="167"/>
      <c r="H12" s="165"/>
      <c r="I12" s="165"/>
      <c r="J12" s="173">
        <v>126153</v>
      </c>
      <c r="K12" s="169">
        <f>_xlfn.IFERROR(SUM(J12,取值!K12),0)</f>
        <v>1532231</v>
      </c>
    </row>
    <row customHeight="1" ht="15">
      <c r="A13" s="148"/>
      <c r="B13" s="177" t="s">
        <v>21</v>
      </c>
      <c r="C13" s="165" t="s">
        <v>14</v>
      </c>
      <c r="D13" s="165"/>
      <c r="E13" s="167"/>
      <c r="F13" s="173">
        <v>84515</v>
      </c>
      <c r="G13" s="167">
        <f>_xlfn.IFERROR(SUM(F13,取值!G13),0)</f>
        <v>992065</v>
      </c>
      <c r="H13" s="165"/>
      <c r="I13" s="165"/>
      <c r="J13" s="165"/>
      <c r="K13" s="171"/>
    </row>
    <row customHeight="1" ht="15">
      <c r="A14" s="148"/>
      <c r="B14" s="179" t="s">
        <v>22</v>
      </c>
      <c r="C14" s="165" t="s">
        <v>14</v>
      </c>
      <c r="D14" s="165"/>
      <c r="E14" s="167"/>
      <c r="F14" s="173">
        <v>23079</v>
      </c>
      <c r="G14" s="167">
        <f>_xlfn.IFERROR(SUM(F14,取值!G14),0)</f>
        <v>259307</v>
      </c>
      <c r="H14" s="165"/>
      <c r="I14" s="165"/>
      <c r="J14" s="165"/>
      <c r="K14" s="171"/>
    </row>
    <row customHeight="1" ht="15">
      <c r="A15" s="148"/>
      <c r="B15" s="179" t="s">
        <v>23</v>
      </c>
      <c r="C15" s="165" t="s">
        <v>14</v>
      </c>
      <c r="D15" s="165"/>
      <c r="E15" s="167"/>
      <c r="F15" s="173">
        <v>128543</v>
      </c>
      <c r="G15" s="167">
        <f>_xlfn.IFERROR(SUM(F15,取值!G15),0)</f>
        <v>1517049</v>
      </c>
      <c r="H15" s="165"/>
      <c r="I15" s="165"/>
      <c r="J15" s="165"/>
      <c r="K15" s="176"/>
    </row>
    <row customHeight="1" ht="15">
      <c r="A16" s="148"/>
      <c r="B16" s="180" t="s">
        <v>24</v>
      </c>
      <c r="C16" s="165" t="s">
        <v>14</v>
      </c>
      <c r="D16" s="165"/>
      <c r="E16" s="167"/>
      <c r="F16" s="173">
        <v>22528</v>
      </c>
      <c r="G16" s="167">
        <f>_xlfn.IFERROR(SUM(F16,取值!G16),0)</f>
        <v>214664.6</v>
      </c>
      <c r="H16" s="165"/>
      <c r="I16" s="165"/>
      <c r="J16" s="165"/>
      <c r="K16" s="176"/>
    </row>
    <row customHeight="1" ht="15">
      <c r="A17" s="148"/>
      <c r="B17" s="179" t="s">
        <v>25</v>
      </c>
      <c r="C17" s="165" t="s">
        <v>14</v>
      </c>
      <c r="D17" s="165"/>
      <c r="E17" s="167"/>
      <c r="F17" s="173">
        <v>12756</v>
      </c>
      <c r="G17" s="167">
        <f>_xlfn.IFERROR(SUM(F17,取值!G17),0)</f>
        <v>135148</v>
      </c>
      <c r="H17" s="165"/>
      <c r="I17" s="165"/>
      <c r="J17" s="165"/>
      <c r="K17" s="171"/>
    </row>
    <row customHeight="1" ht="15">
      <c r="A18" s="148"/>
      <c r="B18" s="179" t="s">
        <v>26</v>
      </c>
      <c r="C18" s="174" t="s">
        <v>17</v>
      </c>
      <c r="D18" s="181">
        <v>18</v>
      </c>
      <c r="E18" s="167">
        <f>_xlfn.IFERROR(SUM(D18,取值!E18),0)</f>
        <v>452</v>
      </c>
      <c r="F18" s="173">
        <v>574.48</v>
      </c>
      <c r="G18" s="167">
        <f>_xlfn.IFERROR(SUM(F18,取值!G18),0)</f>
        <v>14644.32</v>
      </c>
      <c r="H18" s="165"/>
      <c r="I18" s="165"/>
      <c r="J18" s="165"/>
      <c r="K18" s="171"/>
    </row>
    <row customHeight="1" ht="15">
      <c r="A19" s="148"/>
      <c r="B19" s="182" t="s">
        <v>27</v>
      </c>
      <c r="C19" s="165" t="s">
        <v>14</v>
      </c>
      <c r="D19" s="165"/>
      <c r="E19" s="167"/>
      <c r="F19" s="165"/>
      <c r="G19" s="167"/>
      <c r="H19" s="165"/>
      <c r="I19" s="165"/>
      <c r="J19" s="173">
        <v>143430</v>
      </c>
      <c r="K19" s="169">
        <f>_xlfn.IFERROR(SUM(J19,取值!K19),0)</f>
        <v>1866906</v>
      </c>
    </row>
    <row customHeight="1" ht="15">
      <c r="A20" s="148"/>
      <c r="B20" s="182" t="s">
        <v>28</v>
      </c>
      <c r="C20" s="165" t="s">
        <v>14</v>
      </c>
      <c r="D20" s="165"/>
      <c r="E20" s="167"/>
      <c r="F20" s="165"/>
      <c r="G20" s="167"/>
      <c r="H20" s="165"/>
      <c r="I20" s="165"/>
      <c r="J20" s="183">
        <v>57239</v>
      </c>
      <c r="K20" s="169">
        <f>_xlfn.IFERROR(SUM(J20,取值!K20),0)</f>
        <v>964305</v>
      </c>
    </row>
    <row customHeight="1" ht="15">
      <c r="A21" s="148"/>
      <c r="B21" s="180" t="s">
        <v>29</v>
      </c>
      <c r="C21" s="165" t="s">
        <v>14</v>
      </c>
      <c r="D21" s="165"/>
      <c r="E21" s="167"/>
      <c r="F21" s="173">
        <v>64655</v>
      </c>
      <c r="G21" s="167">
        <f>_xlfn.IFERROR(SUM(F21,取值!G21),0)</f>
        <v>890659</v>
      </c>
      <c r="H21" s="165"/>
      <c r="I21" s="165"/>
      <c r="J21" s="165"/>
      <c r="K21" s="171"/>
    </row>
    <row customHeight="1" ht="15">
      <c r="A22" s="148"/>
      <c r="B22" s="180" t="s">
        <v>30</v>
      </c>
      <c r="C22" s="165" t="s">
        <v>14</v>
      </c>
      <c r="D22" s="165"/>
      <c r="E22" s="167"/>
      <c r="F22" s="173">
        <v>133093</v>
      </c>
      <c r="G22" s="167">
        <f>_xlfn.IFERROR(SUM(F22,取值!G22),0)</f>
        <v>1738605</v>
      </c>
      <c r="H22" s="165"/>
      <c r="I22" s="165"/>
      <c r="J22" s="165"/>
      <c r="K22" s="171"/>
    </row>
    <row customHeight="1" ht="15">
      <c r="A23" s="148"/>
      <c r="B23" s="184" t="s">
        <v>31</v>
      </c>
      <c r="C23" s="174" t="s">
        <v>18</v>
      </c>
      <c r="D23" s="166">
        <v>721</v>
      </c>
      <c r="E23" s="167">
        <f>_xlfn.IFERROR(SUM(D23,取值!E23),0)</f>
        <v>9094</v>
      </c>
      <c r="F23" s="185">
        <v>18241.12</v>
      </c>
      <c r="G23" s="186">
        <f>_xlfn.IFERROR(SUM(F23,取值!G23),0)</f>
        <v>228479.76</v>
      </c>
      <c r="H23" s="165"/>
      <c r="I23" s="165"/>
      <c r="J23" s="165"/>
      <c r="K23" s="171"/>
    </row>
    <row customHeight="1" ht="15">
      <c r="A24" s="148"/>
      <c r="B24" s="187" t="s">
        <v>31</v>
      </c>
      <c r="C24" s="174" t="s">
        <v>17</v>
      </c>
      <c r="D24" s="166">
        <v>702</v>
      </c>
      <c r="E24" s="167">
        <f>_xlfn.IFERROR(SUM(D24,取值!E24),0)</f>
        <v>7582</v>
      </c>
      <c r="F24" s="185">
        <v>17157.6</v>
      </c>
      <c r="G24" s="186">
        <f>_xlfn.IFERROR(SUM(F24,取值!G24),0)</f>
        <v>184465.06</v>
      </c>
      <c r="H24" s="165"/>
      <c r="I24" s="165"/>
      <c r="J24" s="165"/>
      <c r="K24" s="171"/>
    </row>
    <row customHeight="1" ht="15">
      <c r="A25" s="148"/>
      <c r="B25" s="184" t="s">
        <v>31</v>
      </c>
      <c r="C25" s="165" t="s">
        <v>14</v>
      </c>
      <c r="D25" s="165"/>
      <c r="E25" s="167"/>
      <c r="F25" s="188"/>
      <c r="G25" s="189"/>
      <c r="H25" s="165"/>
      <c r="I25" s="165"/>
      <c r="J25" s="183">
        <v>53893</v>
      </c>
      <c r="K25" s="169">
        <f>_xlfn.IFERROR(SUM(J25,取值!K25),0)</f>
        <v>621089</v>
      </c>
    </row>
    <row customHeight="1" ht="15">
      <c r="A26" s="148"/>
      <c r="B26" s="180" t="s">
        <v>32</v>
      </c>
      <c r="C26" s="165" t="s">
        <v>14</v>
      </c>
      <c r="D26" s="165"/>
      <c r="E26" s="167"/>
      <c r="F26" s="188"/>
      <c r="G26" s="178"/>
      <c r="H26" s="165"/>
      <c r="I26" s="165"/>
      <c r="J26" s="165"/>
      <c r="K26" s="171"/>
    </row>
    <row customHeight="1" ht="15">
      <c r="A27" s="148"/>
      <c r="B27" s="180" t="s">
        <v>33</v>
      </c>
      <c r="C27" s="165" t="s">
        <v>14</v>
      </c>
      <c r="D27" s="165"/>
      <c r="E27" s="167"/>
      <c r="F27" s="173">
        <v>1157</v>
      </c>
      <c r="G27" s="167">
        <f>_xlfn.IFERROR(SUM(F27,取值!G27),0)</f>
        <v>14213</v>
      </c>
      <c r="H27" s="165"/>
      <c r="I27" s="165"/>
      <c r="J27" s="165"/>
      <c r="K27" s="171"/>
    </row>
    <row customHeight="1" ht="15">
      <c r="A28" s="148"/>
      <c r="B28" s="177" t="s">
        <v>34</v>
      </c>
      <c r="C28" s="165" t="s">
        <v>14</v>
      </c>
      <c r="D28" s="165"/>
      <c r="E28" s="167"/>
      <c r="F28" s="173">
        <v>913</v>
      </c>
      <c r="G28" s="167">
        <f>_xlfn.IFERROR(SUM(F28,取值!G28),0)</f>
        <v>20852</v>
      </c>
      <c r="H28" s="165"/>
      <c r="I28" s="165"/>
      <c r="J28" s="173">
        <v>2595</v>
      </c>
      <c r="K28" s="169">
        <f>_xlfn.IFERROR(SUM(J28,取值!K28),0)</f>
        <v>30403</v>
      </c>
    </row>
    <row customHeight="1" ht="15">
      <c r="A29" s="148"/>
      <c r="B29" s="179" t="s">
        <v>35</v>
      </c>
      <c r="C29" s="165" t="s">
        <v>14</v>
      </c>
      <c r="D29" s="165"/>
      <c r="E29" s="167"/>
      <c r="F29" s="173">
        <v>5316</v>
      </c>
      <c r="G29" s="167">
        <f>_xlfn.IFERROR(SUM(F29,取值!G29),0)</f>
        <v>74310</v>
      </c>
      <c r="H29" s="165"/>
      <c r="I29" s="165"/>
      <c r="J29" s="190"/>
      <c r="K29" s="171"/>
    </row>
    <row customHeight="1" ht="15">
      <c r="A30" s="148"/>
      <c r="B30" s="177" t="s">
        <v>36</v>
      </c>
      <c r="C30" s="165" t="s">
        <v>14</v>
      </c>
      <c r="D30" s="165"/>
      <c r="E30" s="167"/>
      <c r="F30" s="175"/>
      <c r="G30" s="178"/>
      <c r="H30" s="165"/>
      <c r="I30" s="165"/>
      <c r="J30" s="173">
        <v>6636</v>
      </c>
      <c r="K30" s="169">
        <f>_xlfn.IFERROR(SUM(J30,取值!K30),0)</f>
        <v>74611</v>
      </c>
    </row>
    <row customHeight="1" ht="15">
      <c r="A31" s="148"/>
      <c r="B31" s="182" t="s">
        <v>37</v>
      </c>
      <c r="C31" s="165" t="s">
        <v>14</v>
      </c>
      <c r="D31" s="165"/>
      <c r="E31" s="167"/>
      <c r="F31" s="175"/>
      <c r="G31" s="191"/>
      <c r="H31" s="165"/>
      <c r="I31" s="165"/>
      <c r="J31" s="173">
        <v>7864</v>
      </c>
      <c r="K31" s="169">
        <f>_xlfn.IFERROR(SUM(J31,取值!K31),0)</f>
        <v>54059</v>
      </c>
    </row>
    <row customHeight="1" ht="15">
      <c r="A32" s="148"/>
      <c r="B32" s="180" t="s">
        <v>37</v>
      </c>
      <c r="C32" s="174" t="s">
        <v>17</v>
      </c>
      <c r="D32" s="192">
        <v>271</v>
      </c>
      <c r="E32" s="167">
        <f>_xlfn.IFERROR(SUM(D32,取值!E32),0)</f>
        <v>2138</v>
      </c>
      <c r="F32" s="173">
        <v>6776.78</v>
      </c>
      <c r="G32" s="191">
        <f>_xlfn.IFERROR(SUM(F32,取值!G32),0)</f>
        <v>52806.5</v>
      </c>
      <c r="H32" s="165"/>
      <c r="I32" s="165"/>
      <c r="J32" s="190"/>
      <c r="K32" s="193"/>
    </row>
    <row customHeight="1" ht="15">
      <c r="A33" s="148"/>
      <c r="B33" s="179" t="s">
        <v>38</v>
      </c>
      <c r="C33" s="165" t="s">
        <v>14</v>
      </c>
      <c r="D33" s="165"/>
      <c r="E33" s="167"/>
      <c r="F33" s="173">
        <v>0</v>
      </c>
      <c r="G33" s="191">
        <f>_xlfn.IFERROR(SUM(F33,取值!G33),0)</f>
        <v>0</v>
      </c>
      <c r="H33" s="165"/>
      <c r="I33" s="165"/>
      <c r="J33" s="165"/>
      <c r="K33" s="194"/>
    </row>
    <row customHeight="1" ht="15">
      <c r="A34" s="148"/>
      <c r="B34" s="195" t="s">
        <v>39</v>
      </c>
      <c r="C34" s="196" t="s">
        <v>14</v>
      </c>
      <c r="D34" s="196"/>
      <c r="E34" s="196"/>
      <c r="F34" s="197">
        <v>7431</v>
      </c>
      <c r="G34" s="198">
        <f>_xlfn.IFERROR(SUM(F34,取值!G34),0)</f>
        <v>53588</v>
      </c>
      <c r="H34" s="196"/>
      <c r="I34" s="196"/>
      <c r="J34" s="196"/>
      <c r="K34" s="199"/>
    </row>
    <row customHeight="1" ht="15">
      <c r="A35" s="148"/>
      <c r="B35" s="200" t="s">
        <v>40</v>
      </c>
      <c r="C35" s="201"/>
      <c r="D35" s="201"/>
      <c r="E35" s="201"/>
      <c r="F35" s="202">
        <v>5515</v>
      </c>
      <c r="G35" s="203">
        <f>_xlfn.IFERROR(SUM(F35,取值!G35),0)</f>
        <v>59327</v>
      </c>
      <c r="H35" s="201"/>
      <c r="I35" s="201"/>
      <c r="J35" s="201"/>
      <c r="K35" s="204"/>
    </row>
    <row s="205" customFormat="1" customHeight="1" ht="15">
      <c r="A36" s="148"/>
      <c r="B36" s="206" t="s">
        <v>41</v>
      </c>
      <c r="C36" s="207" t="s">
        <v>42</v>
      </c>
      <c r="D36" s="207"/>
      <c r="E36" s="207"/>
      <c r="F36" s="208"/>
      <c r="G36" s="209"/>
      <c r="H36" s="210">
        <v>0</v>
      </c>
      <c r="I36" s="174">
        <f>_xlfn.IFERROR(SUM(H36,取值!I36),0)</f>
        <v>8</v>
      </c>
      <c r="J36" s="211">
        <v>0</v>
      </c>
      <c r="K36" s="169">
        <f>_xlfn.IFERROR(SUM(J36,取值!K36),0)</f>
        <v>261</v>
      </c>
    </row>
    <row customHeight="1" ht="15">
      <c r="A37" s="148"/>
      <c r="B37" s="212"/>
      <c r="C37" s="213" t="s">
        <v>43</v>
      </c>
      <c r="D37" s="214" t="s">
        <v>44</v>
      </c>
      <c r="E37" s="212"/>
      <c r="F37" s="212"/>
      <c r="G37" s="212"/>
      <c r="H37" s="213" t="s">
        <v>45</v>
      </c>
      <c r="I37" s="215" t="s">
        <v>46</v>
      </c>
      <c r="J37" s="212"/>
      <c r="K37" s="212"/>
    </row>
  </sheetData>
  <mergeCells count="12">
    <mergeCell ref="B3:C3"/>
    <mergeCell ref="D3:E3"/>
    <mergeCell ref="F3:G3"/>
    <mergeCell ref="B2:K2"/>
    <mergeCell ref="B4:B6"/>
    <mergeCell ref="C4:C6"/>
    <mergeCell ref="D4:G4"/>
    <mergeCell ref="H4:K4"/>
    <mergeCell ref="D5:E5"/>
    <mergeCell ref="F5:G5"/>
    <mergeCell ref="H5:I5"/>
    <mergeCell ref="J5:K5"/>
  </mergeCells>
  <pageMargins left="0.98" right="0.71" top="0.95" bottom="0.75" header="0.31" footer="0.31"/>
  <pageSetup paperSize="9" scale="71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5C13B28-4EFA-4308-90C8-F7FA1038359C}" mc:Ignorable="x14ac xr xr2 xr3">
  <dimension ref="A1:K36"/>
  <sheetViews>
    <sheetView topLeftCell="A25" workbookViewId="0">
      <selection activeCell="I36" sqref="I36"/>
    </sheetView>
  </sheetViews>
  <sheetFormatPr customHeight="1" defaultRowHeight="14.25"/>
  <cols>
    <col min="2" max="2" style="257" width="11.00390625" customWidth="1"/>
    <col min="3" max="3" style="258" width="11.00390625" customWidth="1"/>
  </cols>
  <sheetData>
    <row customHeight="1" ht="14.25">
      <c r="A1" s="217"/>
      <c r="B1" s="217"/>
      <c r="C1" s="217"/>
      <c r="D1" s="218"/>
      <c r="E1" s="218"/>
      <c r="F1" s="217" t="s">
        <v>47</v>
      </c>
      <c r="G1" s="219" t="s">
        <v>3</v>
      </c>
      <c r="H1" s="217" t="s">
        <v>48</v>
      </c>
      <c r="I1" s="218"/>
      <c r="J1" s="218"/>
      <c r="K1" s="218"/>
    </row>
    <row customHeight="1" ht="14.25">
      <c r="A2" s="218"/>
      <c r="B2" s="148"/>
      <c r="C2" s="148"/>
      <c r="D2" s="218"/>
      <c r="E2" s="218"/>
      <c r="F2" s="218"/>
      <c r="G2" s="220" t="str">
        <f>EDATE(G1,1)</f>
        <v>46023</v>
      </c>
      <c r="H2" s="218"/>
      <c r="I2" s="218"/>
      <c r="J2" s="221" t="s">
        <v>44</v>
      </c>
      <c r="K2" s="218"/>
    </row>
    <row customHeight="1" ht="14.25">
      <c r="A3" s="218"/>
      <c r="B3" s="148"/>
      <c r="C3" s="148"/>
      <c r="D3" s="218"/>
      <c r="E3" s="218"/>
      <c r="F3" s="218"/>
      <c r="G3" s="222">
        <f>G2-1</f>
        <v>46022</v>
      </c>
      <c r="H3" s="218"/>
      <c r="I3" s="218"/>
      <c r="J3" s="221" t="s">
        <v>46</v>
      </c>
      <c r="K3" s="218"/>
    </row>
    <row customHeight="1" ht="14.25">
      <c r="A4" s="218"/>
      <c r="B4" s="223" t="s">
        <v>5</v>
      </c>
      <c r="C4" s="224" t="s">
        <v>6</v>
      </c>
      <c r="D4" s="224" t="s">
        <v>7</v>
      </c>
      <c r="E4" s="224"/>
      <c r="F4" s="224"/>
      <c r="G4" s="224"/>
      <c r="H4" s="224" t="s">
        <v>8</v>
      </c>
      <c r="I4" s="224"/>
      <c r="J4" s="224"/>
      <c r="K4" s="225"/>
    </row>
    <row customHeight="1" ht="14.25">
      <c r="A5" s="218"/>
      <c r="B5" s="226"/>
      <c r="C5" s="160"/>
      <c r="D5" s="160" t="s">
        <v>9</v>
      </c>
      <c r="E5" s="160"/>
      <c r="F5" s="160" t="s">
        <v>10</v>
      </c>
      <c r="G5" s="160"/>
      <c r="H5" s="160" t="s">
        <v>9</v>
      </c>
      <c r="I5" s="160"/>
      <c r="J5" s="160" t="s">
        <v>10</v>
      </c>
      <c r="K5" s="227"/>
    </row>
    <row customHeight="1" ht="14.25">
      <c r="A6" s="218"/>
      <c r="B6" s="226"/>
      <c r="C6" s="160"/>
      <c r="D6" s="162" t="s">
        <v>11</v>
      </c>
      <c r="E6" s="162" t="s">
        <v>12</v>
      </c>
      <c r="F6" s="162" t="s">
        <v>11</v>
      </c>
      <c r="G6" s="162" t="s">
        <v>12</v>
      </c>
      <c r="H6" s="162" t="s">
        <v>11</v>
      </c>
      <c r="I6" s="162" t="s">
        <v>12</v>
      </c>
      <c r="J6" s="162" t="s">
        <v>11</v>
      </c>
      <c r="K6" s="228" t="s">
        <v>12</v>
      </c>
    </row>
    <row customHeight="1" ht="14.25">
      <c r="A7" s="218"/>
      <c r="B7" s="229" t="s">
        <v>13</v>
      </c>
      <c r="C7" s="165" t="s">
        <v>14</v>
      </c>
      <c r="D7" s="165"/>
      <c r="E7" s="165"/>
      <c r="F7" s="165"/>
      <c r="G7" s="165"/>
      <c r="H7" s="230"/>
      <c r="I7" s="231">
        <v>42</v>
      </c>
      <c r="J7" s="232">
        <v>94.78</v>
      </c>
      <c r="K7" s="233">
        <v>736.24</v>
      </c>
    </row>
    <row customHeight="1" ht="14.25">
      <c r="A8" s="218"/>
      <c r="B8" s="234" t="s">
        <v>15</v>
      </c>
      <c r="C8" s="165" t="s">
        <v>14</v>
      </c>
      <c r="D8" s="165"/>
      <c r="E8" s="165"/>
      <c r="F8" s="165"/>
      <c r="G8" s="165"/>
      <c r="H8" s="165"/>
      <c r="I8" s="165"/>
      <c r="J8" s="165"/>
      <c r="K8" s="235"/>
    </row>
    <row customHeight="1" ht="14.25">
      <c r="A9" s="218"/>
      <c r="B9" s="236" t="s">
        <v>16</v>
      </c>
      <c r="C9" s="165" t="s">
        <v>17</v>
      </c>
      <c r="D9" s="165"/>
      <c r="E9" s="165"/>
      <c r="F9" s="165"/>
      <c r="G9" s="165"/>
      <c r="H9" s="230">
        <v>0</v>
      </c>
      <c r="I9" s="231">
        <v>0</v>
      </c>
      <c r="J9" s="237">
        <v>0</v>
      </c>
      <c r="K9" s="233">
        <v>0</v>
      </c>
    </row>
    <row customHeight="1" ht="14.25">
      <c r="A10" s="218"/>
      <c r="B10" s="236" t="s">
        <v>16</v>
      </c>
      <c r="C10" s="165" t="s">
        <v>18</v>
      </c>
      <c r="D10" s="238">
        <v>0</v>
      </c>
      <c r="E10" s="231">
        <v>801</v>
      </c>
      <c r="F10" s="232">
        <v>0</v>
      </c>
      <c r="G10" s="231">
        <v>25725.322</v>
      </c>
      <c r="H10" s="165"/>
      <c r="I10" s="239"/>
      <c r="J10" s="239"/>
      <c r="K10" s="240"/>
    </row>
    <row customHeight="1" ht="14.25">
      <c r="A11" s="218"/>
      <c r="B11" s="241" t="s">
        <v>19</v>
      </c>
      <c r="C11" s="165" t="s">
        <v>14</v>
      </c>
      <c r="D11" s="165"/>
      <c r="E11" s="165"/>
      <c r="F11" s="165"/>
      <c r="G11" s="239"/>
      <c r="H11" s="239"/>
      <c r="I11" s="239"/>
      <c r="J11" s="237">
        <v>80567</v>
      </c>
      <c r="K11" s="233">
        <v>872779</v>
      </c>
    </row>
    <row customHeight="1" ht="14.25">
      <c r="A12" s="218"/>
      <c r="B12" s="241" t="s">
        <v>20</v>
      </c>
      <c r="C12" s="165" t="s">
        <v>14</v>
      </c>
      <c r="D12" s="165"/>
      <c r="E12" s="165"/>
      <c r="F12" s="165"/>
      <c r="G12" s="165"/>
      <c r="H12" s="165"/>
      <c r="I12" s="165"/>
      <c r="J12" s="237">
        <v>126153</v>
      </c>
      <c r="K12" s="233">
        <v>1406078</v>
      </c>
    </row>
    <row customHeight="1" ht="14.25">
      <c r="A13" s="218"/>
      <c r="B13" s="241" t="s">
        <v>21</v>
      </c>
      <c r="C13" s="165" t="s">
        <v>14</v>
      </c>
      <c r="D13" s="165"/>
      <c r="E13" s="165"/>
      <c r="F13" s="237">
        <v>84515</v>
      </c>
      <c r="G13" s="231">
        <v>907550</v>
      </c>
      <c r="H13" s="165"/>
      <c r="I13" s="165"/>
      <c r="J13" s="165"/>
      <c r="K13" s="235"/>
    </row>
    <row customHeight="1" ht="14.25">
      <c r="A14" s="218"/>
      <c r="B14" s="241" t="s">
        <v>22</v>
      </c>
      <c r="C14" s="165" t="s">
        <v>14</v>
      </c>
      <c r="D14" s="165"/>
      <c r="E14" s="165"/>
      <c r="F14" s="237">
        <v>23079</v>
      </c>
      <c r="G14" s="231">
        <v>236228</v>
      </c>
      <c r="H14" s="165"/>
      <c r="I14" s="165"/>
      <c r="J14" s="165"/>
      <c r="K14" s="235"/>
    </row>
    <row customHeight="1" ht="14.25">
      <c r="A15" s="218"/>
      <c r="B15" s="241" t="s">
        <v>23</v>
      </c>
      <c r="C15" s="165" t="s">
        <v>14</v>
      </c>
      <c r="D15" s="165"/>
      <c r="E15" s="165"/>
      <c r="F15" s="237">
        <v>128543</v>
      </c>
      <c r="G15" s="231">
        <v>1388506</v>
      </c>
      <c r="H15" s="165"/>
      <c r="I15" s="165"/>
      <c r="J15" s="165"/>
      <c r="K15" s="242"/>
    </row>
    <row customHeight="1" ht="14.25">
      <c r="A16" s="218"/>
      <c r="B16" s="243" t="s">
        <v>24</v>
      </c>
      <c r="C16" s="165" t="s">
        <v>14</v>
      </c>
      <c r="D16" s="165"/>
      <c r="E16" s="165"/>
      <c r="F16" s="237">
        <v>22528</v>
      </c>
      <c r="G16" s="231">
        <v>192136.6</v>
      </c>
      <c r="H16" s="165"/>
      <c r="I16" s="165"/>
      <c r="J16" s="165"/>
      <c r="K16" s="242"/>
    </row>
    <row customHeight="1" ht="14.25">
      <c r="A17" s="218"/>
      <c r="B17" s="241" t="s">
        <v>25</v>
      </c>
      <c r="C17" s="165" t="s">
        <v>14</v>
      </c>
      <c r="D17" s="165"/>
      <c r="E17" s="165"/>
      <c r="F17" s="237">
        <v>12756</v>
      </c>
      <c r="G17" s="231">
        <v>122392</v>
      </c>
      <c r="H17" s="165"/>
      <c r="I17" s="165"/>
      <c r="J17" s="165"/>
      <c r="K17" s="235"/>
    </row>
    <row customHeight="1" ht="14.25">
      <c r="A18" s="218"/>
      <c r="B18" s="241" t="s">
        <v>26</v>
      </c>
      <c r="C18" s="165" t="s">
        <v>17</v>
      </c>
      <c r="D18" s="244">
        <v>18</v>
      </c>
      <c r="E18" s="231">
        <v>434</v>
      </c>
      <c r="F18" s="237">
        <v>574.48</v>
      </c>
      <c r="G18" s="231">
        <v>14069.84</v>
      </c>
      <c r="H18" s="165"/>
      <c r="I18" s="165"/>
      <c r="J18" s="165"/>
      <c r="K18" s="235"/>
    </row>
    <row customHeight="1" ht="14.25">
      <c r="A19" s="218"/>
      <c r="B19" s="243" t="s">
        <v>27</v>
      </c>
      <c r="C19" s="165" t="s">
        <v>14</v>
      </c>
      <c r="D19" s="165"/>
      <c r="E19" s="165"/>
      <c r="F19" s="165"/>
      <c r="G19" s="165"/>
      <c r="H19" s="165"/>
      <c r="I19" s="165"/>
      <c r="J19" s="237">
        <v>143430</v>
      </c>
      <c r="K19" s="233">
        <v>1723476</v>
      </c>
    </row>
    <row customHeight="1" ht="14.25">
      <c r="A20" s="218"/>
      <c r="B20" s="243" t="s">
        <v>28</v>
      </c>
      <c r="C20" s="165" t="s">
        <v>14</v>
      </c>
      <c r="D20" s="165"/>
      <c r="E20" s="165"/>
      <c r="F20" s="165"/>
      <c r="G20" s="165"/>
      <c r="H20" s="165"/>
      <c r="I20" s="165"/>
      <c r="J20" s="245">
        <v>57239</v>
      </c>
      <c r="K20" s="233">
        <v>907066</v>
      </c>
    </row>
    <row customHeight="1" ht="14.25">
      <c r="A21" s="218"/>
      <c r="B21" s="243" t="s">
        <v>29</v>
      </c>
      <c r="C21" s="165" t="s">
        <v>14</v>
      </c>
      <c r="D21" s="165"/>
      <c r="E21" s="165"/>
      <c r="F21" s="237">
        <v>64655</v>
      </c>
      <c r="G21" s="231">
        <v>826004</v>
      </c>
      <c r="H21" s="165"/>
      <c r="I21" s="165"/>
      <c r="J21" s="165"/>
      <c r="K21" s="235"/>
    </row>
    <row customHeight="1" ht="14.25">
      <c r="A22" s="218"/>
      <c r="B22" s="243" t="s">
        <v>30</v>
      </c>
      <c r="C22" s="165" t="s">
        <v>14</v>
      </c>
      <c r="D22" s="165"/>
      <c r="E22" s="165"/>
      <c r="F22" s="237">
        <v>133093</v>
      </c>
      <c r="G22" s="231">
        <v>1605512</v>
      </c>
      <c r="H22" s="165"/>
      <c r="I22" s="165"/>
      <c r="J22" s="165"/>
      <c r="K22" s="235"/>
    </row>
    <row customHeight="1" ht="14.25">
      <c r="A23" s="218"/>
      <c r="B23" s="246" t="s">
        <v>31</v>
      </c>
      <c r="C23" s="165" t="s">
        <v>18</v>
      </c>
      <c r="D23" s="230">
        <v>721</v>
      </c>
      <c r="E23" s="231">
        <v>8373</v>
      </c>
      <c r="F23" s="247">
        <v>18241.12</v>
      </c>
      <c r="G23" s="231">
        <v>210238.64</v>
      </c>
      <c r="H23" s="165"/>
      <c r="I23" s="165"/>
      <c r="J23" s="165"/>
      <c r="K23" s="235"/>
    </row>
    <row customHeight="1" ht="14.25">
      <c r="A24" s="218"/>
      <c r="B24" s="246" t="s">
        <v>31</v>
      </c>
      <c r="C24" s="165" t="s">
        <v>17</v>
      </c>
      <c r="D24" s="230">
        <v>702</v>
      </c>
      <c r="E24" s="231">
        <v>6880</v>
      </c>
      <c r="F24" s="247">
        <v>17157.6</v>
      </c>
      <c r="G24" s="231">
        <v>167307.46</v>
      </c>
      <c r="H24" s="165"/>
      <c r="I24" s="165"/>
      <c r="J24" s="165"/>
      <c r="K24" s="235"/>
    </row>
    <row customHeight="1" ht="14.25">
      <c r="A25" s="218"/>
      <c r="B25" s="246" t="s">
        <v>31</v>
      </c>
      <c r="C25" s="165" t="s">
        <v>14</v>
      </c>
      <c r="D25" s="165"/>
      <c r="E25" s="165"/>
      <c r="F25" s="248"/>
      <c r="G25" s="248"/>
      <c r="H25" s="165"/>
      <c r="I25" s="165"/>
      <c r="J25" s="245">
        <v>53893</v>
      </c>
      <c r="K25" s="233">
        <v>567196</v>
      </c>
    </row>
    <row customHeight="1" ht="14.25">
      <c r="A26" s="218"/>
      <c r="B26" s="243" t="s">
        <v>32</v>
      </c>
      <c r="C26" s="165" t="s">
        <v>14</v>
      </c>
      <c r="D26" s="165"/>
      <c r="E26" s="165"/>
      <c r="F26" s="248"/>
      <c r="G26" s="239"/>
      <c r="H26" s="165"/>
      <c r="I26" s="165"/>
      <c r="J26" s="165"/>
      <c r="K26" s="235"/>
    </row>
    <row customHeight="1" ht="14.25">
      <c r="A27" s="218"/>
      <c r="B27" s="243" t="s">
        <v>33</v>
      </c>
      <c r="C27" s="165" t="s">
        <v>14</v>
      </c>
      <c r="D27" s="165"/>
      <c r="E27" s="165"/>
      <c r="F27" s="237">
        <v>1157</v>
      </c>
      <c r="G27" s="231">
        <v>13056</v>
      </c>
      <c r="H27" s="165"/>
      <c r="I27" s="165"/>
      <c r="J27" s="165"/>
      <c r="K27" s="235"/>
    </row>
    <row customHeight="1" ht="14.25">
      <c r="A28" s="218"/>
      <c r="B28" s="241" t="s">
        <v>34</v>
      </c>
      <c r="C28" s="165" t="s">
        <v>14</v>
      </c>
      <c r="D28" s="165"/>
      <c r="E28" s="165"/>
      <c r="F28" s="237">
        <v>913</v>
      </c>
      <c r="G28" s="231">
        <v>19939</v>
      </c>
      <c r="H28" s="165"/>
      <c r="I28" s="165"/>
      <c r="J28" s="237">
        <v>2595</v>
      </c>
      <c r="K28" s="233">
        <v>27808</v>
      </c>
    </row>
    <row customHeight="1" ht="14.25">
      <c r="A29" s="218"/>
      <c r="B29" s="241" t="s">
        <v>35</v>
      </c>
      <c r="C29" s="165" t="s">
        <v>14</v>
      </c>
      <c r="D29" s="165"/>
      <c r="E29" s="165"/>
      <c r="F29" s="237">
        <v>5316</v>
      </c>
      <c r="G29" s="231">
        <v>68994</v>
      </c>
      <c r="H29" s="165"/>
      <c r="I29" s="165"/>
      <c r="J29" s="249"/>
      <c r="K29" s="235"/>
    </row>
    <row customHeight="1" ht="14.25">
      <c r="A30" s="218"/>
      <c r="B30" s="241" t="s">
        <v>36</v>
      </c>
      <c r="C30" s="165" t="s">
        <v>14</v>
      </c>
      <c r="D30" s="165"/>
      <c r="E30" s="165"/>
      <c r="F30" s="239"/>
      <c r="G30" s="239"/>
      <c r="H30" s="165"/>
      <c r="I30" s="165"/>
      <c r="J30" s="237">
        <v>6636</v>
      </c>
      <c r="K30" s="233">
        <v>67975</v>
      </c>
    </row>
    <row customHeight="1" ht="14.25">
      <c r="A31" s="218"/>
      <c r="B31" s="243" t="s">
        <v>37</v>
      </c>
      <c r="C31" s="165" t="s">
        <v>14</v>
      </c>
      <c r="D31" s="165"/>
      <c r="E31" s="165"/>
      <c r="F31" s="239"/>
      <c r="G31" s="250"/>
      <c r="H31" s="165"/>
      <c r="I31" s="165"/>
      <c r="J31" s="237">
        <v>7864</v>
      </c>
      <c r="K31" s="233">
        <v>46195</v>
      </c>
    </row>
    <row customHeight="1" ht="14.25">
      <c r="A32" s="218"/>
      <c r="B32" s="243" t="s">
        <v>37</v>
      </c>
      <c r="C32" s="165" t="s">
        <v>17</v>
      </c>
      <c r="D32" s="244">
        <v>271</v>
      </c>
      <c r="E32" s="231">
        <v>1867</v>
      </c>
      <c r="F32" s="237">
        <v>6776.78</v>
      </c>
      <c r="G32" s="231">
        <v>46029.72</v>
      </c>
      <c r="H32" s="165"/>
      <c r="I32" s="165"/>
      <c r="J32" s="249"/>
      <c r="K32" s="235"/>
    </row>
    <row customHeight="1" ht="14.25">
      <c r="A33" s="218"/>
      <c r="B33" s="241" t="s">
        <v>38</v>
      </c>
      <c r="C33" s="165" t="s">
        <v>14</v>
      </c>
      <c r="D33" s="165"/>
      <c r="E33" s="165"/>
      <c r="F33" s="237"/>
      <c r="G33" s="231">
        <v>0</v>
      </c>
      <c r="H33" s="165"/>
      <c r="I33" s="165"/>
      <c r="J33" s="165"/>
      <c r="K33" s="240"/>
    </row>
    <row customHeight="1" ht="14.25">
      <c r="A34" s="218"/>
      <c r="B34" s="241" t="s">
        <v>39</v>
      </c>
      <c r="C34" s="165" t="s">
        <v>14</v>
      </c>
      <c r="D34" s="165"/>
      <c r="E34" s="165"/>
      <c r="F34" s="237">
        <v>7431</v>
      </c>
      <c r="G34" s="231">
        <v>46157</v>
      </c>
      <c r="H34" s="165"/>
      <c r="I34" s="165"/>
      <c r="J34" s="165"/>
      <c r="K34" s="240"/>
    </row>
    <row customHeight="1" ht="14.25">
      <c r="A35" s="218"/>
      <c r="B35" s="251" t="s">
        <v>40</v>
      </c>
      <c r="C35" s="252"/>
      <c r="D35" s="252"/>
      <c r="E35" s="252"/>
      <c r="F35" s="253">
        <v>5515</v>
      </c>
      <c r="G35" s="231">
        <v>53812</v>
      </c>
      <c r="H35" s="252"/>
      <c r="I35" s="252"/>
      <c r="J35" s="252"/>
      <c r="K35" s="254"/>
    </row>
    <row customHeight="1" ht="14.25">
      <c r="A36" s="218"/>
      <c r="B36" s="255" t="s">
        <v>41</v>
      </c>
      <c r="C36" s="256" t="s">
        <v>42</v>
      </c>
      <c r="D36" s="218"/>
      <c r="E36" s="218"/>
      <c r="F36" s="218"/>
      <c r="G36" s="218"/>
      <c r="H36" s="244"/>
      <c r="I36" s="231">
        <v>8</v>
      </c>
      <c r="J36" s="245"/>
      <c r="K36" s="221">
        <v>261</v>
      </c>
    </row>
  </sheetData>
  <mergeCells count="8">
    <mergeCell ref="B4:B6"/>
    <mergeCell ref="C4:C6"/>
    <mergeCell ref="D4:G4"/>
    <mergeCell ref="H4:K4"/>
    <mergeCell ref="D5:E5"/>
    <mergeCell ref="F5:G5"/>
    <mergeCell ref="H5:I5"/>
    <mergeCell ref="J5:K5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延安炼油厂调运月报表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dhc</cp:lastModifiedBy>
  <cp:lastPrinted>2022-05-28T03:49:45Z</cp:lastPrinted>
  <dcterms:created xsi:type="dcterms:W3CDTF">2015-06-05T18:19:34Z</dcterms:created>
  <dcterms:modified xsi:type="dcterms:W3CDTF">2022-09-01T07:28:36Z</dcterms:modified>
</cp:coreProperties>
</file>