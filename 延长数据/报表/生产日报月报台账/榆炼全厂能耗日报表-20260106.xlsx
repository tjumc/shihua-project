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榆炼全厂能耗日报表" sheetId="1" r:id="rId2"/>
    <sheet name="取值" sheetId="2" state="hidden" r:id="rId3"/>
    <sheet name="Sheet1" sheetId="3" state="hidden" r:id="rId4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D7" authorId="0">
      <text>
        <r>
          <rPr>
            <b/>
            <sz val="9"/>
            <color indexed="81"/>
            <rFont val="宋体"/>
            <family val="2"/>
          </rPr>
          <t>#Input("榆炼_能源_能耗日报表_新鲜水_外购量",":key{{dw}}")</t>
        </r>
      </text>
    </comment>
    <comment ref="E7" authorId="0">
      <text>
        <r>
          <rPr>
            <b/>
            <sz val="9"/>
            <color indexed="81"/>
            <rFont val="宋体"/>
            <family val="2"/>
          </rPr>
          <t>#Input("榆炼_能源_能耗日报表_循环水_外购量",":key{{dw}}")</t>
        </r>
      </text>
    </comment>
    <comment ref="F7" authorId="0">
      <text>
        <r>
          <rPr>
            <b/>
            <sz val="9"/>
            <color indexed="81"/>
            <rFont val="宋体"/>
            <family val="2"/>
          </rPr>
          <t>#Input("榆炼_能源_能耗日报表_软化水_外购量",":key{{dw}}")</t>
        </r>
      </text>
    </comment>
    <comment ref="G7" authorId="0">
      <text>
        <r>
          <rPr>
            <b/>
            <sz val="9"/>
            <color indexed="81"/>
            <rFont val="宋体"/>
            <family val="2"/>
          </rPr>
          <t>#Input("榆炼_能源_能耗日报表_除盐水_外购量",":key{{dw}}")</t>
        </r>
      </text>
    </comment>
    <comment ref="H7" authorId="0">
      <text>
        <r>
          <rPr>
            <b/>
            <sz val="9"/>
            <color indexed="81"/>
            <rFont val="宋体"/>
            <family val="2"/>
          </rPr>
          <t>#Input("榆炼_能源_能耗日报表_除氧水_外购量",":key{{dw}}")</t>
        </r>
      </text>
    </comment>
    <comment ref="I7" authorId="0">
      <text>
        <r>
          <rPr>
            <b/>
            <sz val="9"/>
            <color indexed="81"/>
            <rFont val="宋体"/>
            <family val="2"/>
          </rPr>
          <t>#Input("榆炼_能源_能耗日报表_中水_外购量",":key{{dw}}")</t>
        </r>
      </text>
    </comment>
    <comment ref="J7" authorId="0">
      <text>
        <r>
          <rPr>
            <b/>
            <sz val="9"/>
            <color indexed="81"/>
            <rFont val="宋体"/>
            <family val="2"/>
          </rPr>
          <t>#Input("榆炼_能源_能耗日报表_电_外购量",":key{{dw}}")</t>
        </r>
      </text>
    </comment>
    <comment ref="K7" authorId="0">
      <text>
        <r>
          <rPr>
            <b/>
            <sz val="9"/>
            <color indexed="81"/>
            <rFont val="宋体"/>
            <family val="2"/>
          </rPr>
          <t>#Input("榆炼_能源_能耗日报表_3.5MPa蒸汽_外购量",":key{{dw}}")</t>
        </r>
      </text>
    </comment>
    <comment ref="L7" authorId="0">
      <text>
        <r>
          <rPr>
            <b/>
            <sz val="9"/>
            <color indexed="81"/>
            <rFont val="宋体"/>
            <family val="2"/>
          </rPr>
          <t>#Input("榆炼_能源_能耗日报表_1.0MPa蒸汽_外购量",":key{{dw}}")</t>
        </r>
      </text>
    </comment>
    <comment ref="M7" authorId="0">
      <text>
        <r>
          <rPr>
            <b/>
            <sz val="9"/>
            <color indexed="81"/>
            <rFont val="宋体"/>
            <family val="2"/>
          </rPr>
          <t>#Input("榆炼_能源_能耗日报表_燃料油_外购量",":key{{dw}}")</t>
        </r>
      </text>
    </comment>
    <comment ref="N7" authorId="0">
      <text>
        <r>
          <rPr>
            <b/>
            <sz val="9"/>
            <color indexed="81"/>
            <rFont val="宋体"/>
            <family val="2"/>
          </rPr>
          <t>#Input("榆炼_能源_能耗日报表_燃料气_外购量",":key{{dw}}")</t>
        </r>
      </text>
    </comment>
    <comment ref="O7" authorId="0">
      <text>
        <r>
          <rPr>
            <b/>
            <sz val="9"/>
            <color indexed="81"/>
            <rFont val="宋体"/>
            <family val="2"/>
          </rPr>
          <t>#Input("榆炼_能源_能耗日报表_制氢燃料_外购量",":key{{dw}}")</t>
        </r>
      </text>
    </comment>
    <comment ref="P7" authorId="0">
      <text>
        <r>
          <rPr>
            <b/>
            <sz val="9"/>
            <color indexed="81"/>
            <rFont val="宋体"/>
            <family val="2"/>
          </rPr>
          <t>#Input("榆炼_能源_能耗日报表_煤_外购量",":key{{dw}}")</t>
        </r>
      </text>
    </comment>
    <comment ref="Q7" authorId="0">
      <text>
        <r>
          <rPr>
            <b/>
            <sz val="9"/>
            <color indexed="81"/>
            <rFont val="宋体"/>
            <family val="2"/>
          </rPr>
          <t>#Input("榆炼_能源_能耗日报表_干馏瓦斯_外购量",":key{{dw}}")</t>
        </r>
      </text>
    </comment>
    <comment ref="R7" authorId="0">
      <text>
        <r>
          <rPr>
            <b/>
            <sz val="9"/>
            <color indexed="81"/>
            <rFont val="宋体"/>
            <family val="2"/>
          </rPr>
          <t>#Input("榆炼_能源_能耗日报表_天然气_外购量",":key{{dw}}")</t>
        </r>
      </text>
    </comment>
    <comment ref="S7" authorId="0">
      <text>
        <r>
          <rPr>
            <b/>
            <sz val="9"/>
            <color indexed="81"/>
            <rFont val="宋体"/>
            <family val="2"/>
          </rPr>
          <t>#Input("榆炼_能源_能耗日报表_催化烧焦_外购量",":key{{dw}}")</t>
        </r>
      </text>
    </comment>
    <comment ref="T7" authorId="0">
      <text>
        <r>
          <rPr>
            <b/>
            <sz val="9"/>
            <color indexed="81"/>
            <rFont val="宋体"/>
            <family val="2"/>
          </rPr>
          <t>#Input("榆炼_能源_能耗日报表_热进热出_外购量",":key{{dw}}")</t>
        </r>
      </text>
    </comment>
    <comment ref="U7" authorId="0">
      <text>
        <r>
          <rPr>
            <b/>
            <sz val="9"/>
            <color indexed="81"/>
            <rFont val="宋体"/>
            <family val="2"/>
          </rPr>
          <t>#Input("榆炼_能源_能耗日报表_加工量_外购量",":key{{dw}}")</t>
        </r>
      </text>
    </comment>
    <comment ref="D8" authorId="0">
      <text>
        <r>
          <rPr>
            <b/>
            <sz val="9"/>
            <color indexed="81"/>
            <rFont val="宋体"/>
            <family val="2"/>
          </rPr>
          <t>#Input("榆炼_能源_能耗日报表_新鲜水_自产",":key{{dw}}")</t>
        </r>
      </text>
    </comment>
    <comment ref="E8" authorId="0">
      <text>
        <r>
          <rPr>
            <b/>
            <sz val="9"/>
            <color indexed="81"/>
            <rFont val="宋体"/>
            <family val="2"/>
          </rPr>
          <t>#Input("榆炼_能源_能耗日报表_循环水_自产",":key{{dw}}")</t>
        </r>
      </text>
    </comment>
    <comment ref="F8" authorId="0">
      <text>
        <r>
          <rPr>
            <b/>
            <sz val="9"/>
            <color indexed="81"/>
            <rFont val="宋体"/>
            <family val="2"/>
          </rPr>
          <t>#Input("榆炼_能源_能耗日报表_软化水_自产",":key{{dw}}")</t>
        </r>
      </text>
    </comment>
    <comment ref="G8" authorId="0">
      <text>
        <r>
          <rPr>
            <b/>
            <sz val="9"/>
            <color indexed="81"/>
            <rFont val="宋体"/>
            <family val="2"/>
          </rPr>
          <t>#Input("榆炼_能源_能耗日报表_除盐水_自产",":key{{dw}}")</t>
        </r>
      </text>
    </comment>
    <comment ref="H8" authorId="0">
      <text>
        <r>
          <rPr>
            <b/>
            <sz val="9"/>
            <color indexed="81"/>
            <rFont val="宋体"/>
            <family val="2"/>
          </rPr>
          <t>#Input("榆炼_能源_能耗日报表_除氧水_自产",":key{{dw}}")</t>
        </r>
      </text>
    </comment>
    <comment ref="I8" authorId="0">
      <text>
        <r>
          <rPr>
            <b/>
            <sz val="9"/>
            <color indexed="81"/>
            <rFont val="宋体"/>
            <family val="2"/>
          </rPr>
          <t>#Input("榆炼_能源_能耗日报表_中水_自产",":key{{dw}}")</t>
        </r>
      </text>
    </comment>
    <comment ref="J8" authorId="0">
      <text>
        <r>
          <rPr>
            <b/>
            <sz val="9"/>
            <color indexed="81"/>
            <rFont val="宋体"/>
            <family val="2"/>
          </rPr>
          <t>#Input("榆炼_能源_能耗日报表_电_自产",":key{{dw}}")</t>
        </r>
      </text>
    </comment>
    <comment ref="K8" authorId="0">
      <text>
        <r>
          <rPr>
            <b/>
            <sz val="9"/>
            <color indexed="81"/>
            <rFont val="宋体"/>
            <family val="2"/>
          </rPr>
          <t>#Input("榆炼_能源_能耗日报表_3.5MPa蒸汽_自产",":key{{dw}}")</t>
        </r>
      </text>
    </comment>
    <comment ref="L8" authorId="0">
      <text>
        <r>
          <rPr>
            <b/>
            <sz val="9"/>
            <color indexed="81"/>
            <rFont val="宋体"/>
            <family val="2"/>
          </rPr>
          <t>#Input("榆炼_能源_能耗日报表_1.0MPa蒸汽_自产",":key{{dw}}")</t>
        </r>
      </text>
    </comment>
    <comment ref="M8" authorId="0">
      <text>
        <r>
          <rPr>
            <b/>
            <sz val="9"/>
            <color indexed="81"/>
            <rFont val="宋体"/>
            <family val="2"/>
          </rPr>
          <t>#Input("榆炼_能源_能耗日报表_燃料油_自产",":key{{dw}}")</t>
        </r>
      </text>
    </comment>
    <comment ref="N8" authorId="0">
      <text>
        <r>
          <rPr>
            <b/>
            <sz val="9"/>
            <color indexed="81"/>
            <rFont val="宋体"/>
            <family val="2"/>
          </rPr>
          <t>#Input("榆炼_能源_能耗日报表_燃料气_自产",":key{{dw}}")</t>
        </r>
      </text>
    </comment>
    <comment ref="O8" authorId="0">
      <text>
        <r>
          <rPr>
            <b/>
            <sz val="9"/>
            <color indexed="81"/>
            <rFont val="宋体"/>
            <family val="2"/>
          </rPr>
          <t>#Input("榆炼_能源_能耗日报表_制氢燃料_自产",":key{{dw}}")</t>
        </r>
      </text>
    </comment>
    <comment ref="P8" authorId="0">
      <text>
        <r>
          <rPr>
            <b/>
            <sz val="9"/>
            <color indexed="81"/>
            <rFont val="宋体"/>
            <family val="2"/>
          </rPr>
          <t>#Input("榆炼_能源_能耗日报表_煤_自产",":key{{dw}}")</t>
        </r>
      </text>
    </comment>
    <comment ref="Q8" authorId="0">
      <text>
        <r>
          <rPr>
            <b/>
            <sz val="9"/>
            <color indexed="81"/>
            <rFont val="宋体"/>
            <family val="2"/>
          </rPr>
          <t>#Input("榆炼_能源_能耗日报表_干馏瓦斯_自产",":key{{dw}}")</t>
        </r>
      </text>
    </comment>
    <comment ref="R8" authorId="0">
      <text>
        <r>
          <rPr>
            <b/>
            <sz val="9"/>
            <color indexed="81"/>
            <rFont val="宋体"/>
            <family val="2"/>
          </rPr>
          <t>#Input("榆炼_能源_能耗日报表_天然气_自产",":key{{dw}}")</t>
        </r>
      </text>
    </comment>
    <comment ref="S8" authorId="0">
      <text>
        <r>
          <rPr>
            <b/>
            <sz val="9"/>
            <color indexed="81"/>
            <rFont val="宋体"/>
            <family val="2"/>
          </rPr>
          <t>#Input("榆炼_能源_能耗日报表_催化烧焦_自产",":key{{dw}}")</t>
        </r>
      </text>
    </comment>
    <comment ref="T8" authorId="0">
      <text>
        <r>
          <rPr>
            <b/>
            <sz val="9"/>
            <color indexed="81"/>
            <rFont val="宋体"/>
            <family val="2"/>
          </rPr>
          <t>#Input("榆炼_能源_能耗日报表_热进热出_自产",":key{{dw}}")</t>
        </r>
      </text>
    </comment>
    <comment ref="U8" authorId="0">
      <text>
        <r>
          <rPr>
            <b/>
            <sz val="9"/>
            <color indexed="81"/>
            <rFont val="宋体"/>
            <family val="2"/>
          </rPr>
          <t>#Input("榆炼_能源_能耗日报表_加工量_自产",":key{{dw}}")</t>
        </r>
      </text>
    </comment>
    <comment ref="D9" authorId="0">
      <text>
        <r>
          <rPr>
            <b/>
            <sz val="9"/>
            <color indexed="81"/>
            <rFont val="宋体"/>
            <family val="2"/>
          </rPr>
          <t>#Input("榆炼_能源_能耗日报表_新鲜水_锅炉产蒸汽",":key{{dw}}")</t>
        </r>
      </text>
    </comment>
    <comment ref="K9" authorId="0">
      <text>
        <r>
          <rPr>
            <b/>
            <sz val="9"/>
            <color indexed="81"/>
            <rFont val="宋体"/>
            <family val="2"/>
          </rPr>
          <t>#Input("榆炼_能源_能耗日报表_3.5MPa蒸汽_锅炉产蒸汽",":key{{dw}}")</t>
        </r>
      </text>
    </comment>
    <comment ref="K11" authorId="0">
      <text>
        <r>
          <rPr>
            <b/>
            <sz val="9"/>
            <color indexed="81"/>
            <rFont val="宋体"/>
            <family val="2"/>
          </rPr>
          <t>#Input("榆炼_能源_能耗日报表_3.5MPa蒸汽_减温减压蒸汽并网量",":key{{dw}}")</t>
        </r>
      </text>
    </comment>
    <comment ref="L11" authorId="0">
      <text>
        <r>
          <rPr>
            <b/>
            <sz val="9"/>
            <color indexed="81"/>
            <rFont val="宋体"/>
            <family val="2"/>
          </rPr>
          <t>#Input("榆炼_能源_能耗日报表_1.0MPa蒸汽_减温减压蒸汽并网量",":key{{dw}}")</t>
        </r>
      </text>
    </comment>
    <comment ref="D18" authorId="0">
      <text>
        <r>
          <rPr>
            <b/>
            <sz val="9"/>
            <color indexed="81"/>
            <rFont val="宋体"/>
            <family val="2"/>
          </rPr>
          <t>#Input("榆炼_能源_能耗日报表_新鲜水_新鲜水厂",":key{{dw}}")</t>
        </r>
      </text>
    </comment>
    <comment ref="E18" authorId="0">
      <text>
        <r>
          <rPr>
            <b/>
            <sz val="9"/>
            <color indexed="81"/>
            <rFont val="宋体"/>
            <family val="2"/>
          </rPr>
          <t>#Input("榆炼_能源_能耗日报表_循环水_新鲜水厂",":key{{dw}}")</t>
        </r>
      </text>
    </comment>
    <comment ref="F18" authorId="0">
      <text>
        <r>
          <rPr>
            <b/>
            <sz val="9"/>
            <color indexed="81"/>
            <rFont val="宋体"/>
            <family val="2"/>
          </rPr>
          <t>#Input("榆炼_能源_能耗日报表_软化水_新鲜水厂",":key{{dw}}")</t>
        </r>
      </text>
    </comment>
    <comment ref="G18" authorId="0">
      <text>
        <r>
          <rPr>
            <b/>
            <sz val="9"/>
            <color indexed="81"/>
            <rFont val="宋体"/>
            <family val="2"/>
          </rPr>
          <t>#Input("榆炼_能源_能耗日报表_除盐水_新鲜水厂",":key{{dw}}")</t>
        </r>
      </text>
    </comment>
    <comment ref="H18" authorId="0">
      <text>
        <r>
          <rPr>
            <b/>
            <sz val="9"/>
            <color indexed="81"/>
            <rFont val="宋体"/>
            <family val="2"/>
          </rPr>
          <t>#Input("榆炼_能源_能耗日报表_除氧水_新鲜水厂",":key{{dw}}")</t>
        </r>
      </text>
    </comment>
    <comment ref="I18" authorId="0">
      <text>
        <r>
          <rPr>
            <b/>
            <sz val="9"/>
            <color indexed="81"/>
            <rFont val="宋体"/>
            <family val="2"/>
          </rPr>
          <t>#Input("榆炼_能源_能耗日报表_中水_新鲜水厂",":key{{dw}}")</t>
        </r>
      </text>
    </comment>
    <comment ref="J18" authorId="0">
      <text>
        <r>
          <rPr>
            <b/>
            <sz val="9"/>
            <color indexed="81"/>
            <rFont val="宋体"/>
            <family val="2"/>
          </rPr>
          <t>#Input("榆炼_能源_能耗日报表_电_新鲜水厂",":key{{dw}}")</t>
        </r>
      </text>
    </comment>
    <comment ref="K18" authorId="0">
      <text>
        <r>
          <rPr>
            <b/>
            <sz val="9"/>
            <color indexed="81"/>
            <rFont val="宋体"/>
            <family val="2"/>
          </rPr>
          <t>#Input("榆炼_能源_能耗日报表_3.5MPa蒸汽_新鲜水厂",":key{{dw}}")</t>
        </r>
      </text>
    </comment>
    <comment ref="L18" authorId="0">
      <text>
        <r>
          <rPr>
            <b/>
            <sz val="9"/>
            <color indexed="81"/>
            <rFont val="宋体"/>
            <family val="2"/>
          </rPr>
          <t>#Input("榆炼_能源_能耗日报表_1.0MPa蒸汽_新鲜水厂",":key{{dw}}")</t>
        </r>
      </text>
    </comment>
    <comment ref="M18" authorId="0">
      <text>
        <r>
          <rPr>
            <b/>
            <sz val="9"/>
            <color indexed="81"/>
            <rFont val="宋体"/>
            <family val="2"/>
          </rPr>
          <t>#Input("榆炼_能源_能耗日报表_燃料油_新鲜水厂",":key{{dw}}")</t>
        </r>
      </text>
    </comment>
    <comment ref="N18" authorId="0">
      <text>
        <r>
          <rPr>
            <b/>
            <sz val="9"/>
            <color indexed="81"/>
            <rFont val="宋体"/>
            <family val="2"/>
          </rPr>
          <t>#Input("榆炼_能源_能耗日报表_燃料气_新鲜水厂",":key{{dw}}")</t>
        </r>
      </text>
    </comment>
    <comment ref="O18" authorId="0">
      <text>
        <r>
          <rPr>
            <b/>
            <sz val="9"/>
            <color indexed="81"/>
            <rFont val="宋体"/>
            <family val="2"/>
          </rPr>
          <t>#Input("榆炼_能源_能耗日报表_制氢燃料_新鲜水厂",":key{{dw}}")</t>
        </r>
      </text>
    </comment>
    <comment ref="P18" authorId="0">
      <text>
        <r>
          <rPr>
            <b/>
            <sz val="9"/>
            <color indexed="81"/>
            <rFont val="宋体"/>
            <family val="2"/>
          </rPr>
          <t>#Input("榆炼_能源_能耗日报表_煤_新鲜水厂",":key{{dw}}")</t>
        </r>
      </text>
    </comment>
    <comment ref="Q18" authorId="0">
      <text>
        <r>
          <rPr>
            <b/>
            <sz val="9"/>
            <color indexed="81"/>
            <rFont val="宋体"/>
            <family val="2"/>
          </rPr>
          <t>#Input("榆炼_能源_能耗日报表_干馏瓦斯_新鲜水厂",":key{{dw}}")</t>
        </r>
      </text>
    </comment>
    <comment ref="R18" authorId="0">
      <text>
        <r>
          <rPr>
            <b/>
            <sz val="9"/>
            <color indexed="81"/>
            <rFont val="宋体"/>
            <family val="2"/>
          </rPr>
          <t>#Input("榆炼_能源_能耗日报表_天然气_新鲜水厂",":key{{dw}}")</t>
        </r>
      </text>
    </comment>
    <comment ref="S18" authorId="0">
      <text>
        <r>
          <rPr>
            <b/>
            <sz val="9"/>
            <color indexed="81"/>
            <rFont val="宋体"/>
            <family val="2"/>
          </rPr>
          <t>#Input("榆炼_能源_能耗日报表_催化烧焦_新鲜水厂",":key{{dw}}")</t>
        </r>
      </text>
    </comment>
    <comment ref="T18" authorId="0">
      <text>
        <r>
          <rPr>
            <b/>
            <sz val="9"/>
            <color indexed="81"/>
            <rFont val="宋体"/>
            <family val="2"/>
          </rPr>
          <t>#Input("榆炼_能源_能耗日报表_热进热出_新鲜水厂",":key{{dw}}")</t>
        </r>
      </text>
    </comment>
    <comment ref="U18" authorId="0">
      <text>
        <r>
          <rPr>
            <b/>
            <sz val="9"/>
            <color indexed="81"/>
            <rFont val="宋体"/>
            <family val="2"/>
          </rPr>
          <t>#Input("榆炼_能源_能耗日报表_加工量_新鲜水厂",":key{{dw}}")</t>
        </r>
      </text>
    </comment>
    <comment ref="D19" authorId="0">
      <text>
        <r>
          <rPr>
            <b/>
            <sz val="9"/>
            <color indexed="81"/>
            <rFont val="宋体"/>
            <family val="2"/>
          </rPr>
          <t>#Input("榆炼_能源_能耗日报表_新鲜水_循环水厂",":key{{dw}}")</t>
        </r>
      </text>
    </comment>
    <comment ref="E19" authorId="0">
      <text>
        <r>
          <rPr>
            <b/>
            <sz val="9"/>
            <color indexed="81"/>
            <rFont val="宋体"/>
            <family val="2"/>
          </rPr>
          <t>#Input("榆炼_能源_能耗日报表_循环水_循环水场",":key{{dw}}")</t>
        </r>
      </text>
    </comment>
    <comment ref="F19" authorId="0">
      <text>
        <r>
          <rPr>
            <b/>
            <sz val="9"/>
            <color indexed="81"/>
            <rFont val="宋体"/>
            <family val="2"/>
          </rPr>
          <t>#Input("榆炼_能源_能耗日报表_软化水_循环水场",":key{{dw}}")</t>
        </r>
      </text>
    </comment>
    <comment ref="G19" authorId="0">
      <text>
        <r>
          <rPr>
            <b/>
            <sz val="9"/>
            <color indexed="81"/>
            <rFont val="宋体"/>
            <family val="2"/>
          </rPr>
          <t>#Input("榆炼_能源_能耗日报表_除盐水_循环水场",":key{{dw}}")</t>
        </r>
      </text>
    </comment>
    <comment ref="H19" authorId="0">
      <text>
        <r>
          <rPr>
            <b/>
            <sz val="9"/>
            <color indexed="81"/>
            <rFont val="宋体"/>
            <family val="2"/>
          </rPr>
          <t>#Input("榆炼_能源_能耗日报表_除氧水_循环水场",":key{{dw}}")</t>
        </r>
      </text>
    </comment>
    <comment ref="I19" authorId="0">
      <text>
        <r>
          <rPr>
            <b/>
            <sz val="9"/>
            <color indexed="81"/>
            <rFont val="宋体"/>
            <family val="2"/>
          </rPr>
          <t>#Input("榆炼_能源_能耗日报表_中水_循环水场",":key{{dw}}")</t>
        </r>
      </text>
    </comment>
    <comment ref="J19" authorId="0">
      <text>
        <r>
          <rPr>
            <b/>
            <sz val="9"/>
            <color indexed="81"/>
            <rFont val="宋体"/>
            <family val="2"/>
          </rPr>
          <t>#Input("榆炼_能源_能耗日报表_电_循环水场",":key{{dw}}")</t>
        </r>
      </text>
    </comment>
    <comment ref="K19" authorId="0">
      <text>
        <r>
          <rPr>
            <b/>
            <sz val="9"/>
            <color indexed="81"/>
            <rFont val="宋体"/>
            <family val="2"/>
          </rPr>
          <t>#Input("榆炼_能源_能耗日报表_3.5MPa蒸汽_循环水场",":key{{dw}}")</t>
        </r>
      </text>
    </comment>
    <comment ref="L19" authorId="0">
      <text>
        <r>
          <rPr>
            <b/>
            <sz val="9"/>
            <color indexed="81"/>
            <rFont val="宋体"/>
            <family val="2"/>
          </rPr>
          <t>#Input("榆炼_能源_能耗日报表_1.0MPa蒸汽_循环水场",":key{{dw}}")</t>
        </r>
      </text>
    </comment>
    <comment ref="M19" authorId="0">
      <text>
        <r>
          <rPr>
            <b/>
            <sz val="9"/>
            <color indexed="81"/>
            <rFont val="宋体"/>
            <family val="2"/>
          </rPr>
          <t>#Input("榆炼_能源_能耗日报表_燃料油_循环水场",":key{{dw}}")</t>
        </r>
      </text>
    </comment>
    <comment ref="N19" authorId="0">
      <text>
        <r>
          <rPr>
            <b/>
            <sz val="9"/>
            <color indexed="81"/>
            <rFont val="宋体"/>
            <family val="2"/>
          </rPr>
          <t>#Input("榆炼_能源_能耗日报表_燃料气_循环水场",":key{{dw}}")</t>
        </r>
      </text>
    </comment>
    <comment ref="O19" authorId="0">
      <text>
        <r>
          <rPr>
            <b/>
            <sz val="9"/>
            <color indexed="81"/>
            <rFont val="宋体"/>
            <family val="2"/>
          </rPr>
          <t>#Input("榆炼_能源_能耗日报表_制氢燃料_循环水场",":key{{dw}}")</t>
        </r>
      </text>
    </comment>
    <comment ref="P19" authorId="0">
      <text>
        <r>
          <rPr>
            <b/>
            <sz val="9"/>
            <color indexed="81"/>
            <rFont val="宋体"/>
            <family val="2"/>
          </rPr>
          <t>#Input("榆炼_能源_能耗日报表_煤_循环水场",":key{{dw}}")</t>
        </r>
      </text>
    </comment>
    <comment ref="Q19" authorId="0">
      <text>
        <r>
          <rPr>
            <b/>
            <sz val="9"/>
            <color indexed="81"/>
            <rFont val="宋体"/>
            <family val="2"/>
          </rPr>
          <t>#Input("榆炼_能源_能耗日报表_干馏瓦斯_循环水场",":key{{dw}}")</t>
        </r>
      </text>
    </comment>
    <comment ref="R19" authorId="0">
      <text>
        <r>
          <rPr>
            <b/>
            <sz val="9"/>
            <color indexed="81"/>
            <rFont val="宋体"/>
            <family val="2"/>
          </rPr>
          <t>#Input("榆炼_能源_能耗日报表_天然气_循环水场",":key{{dw}}")</t>
        </r>
      </text>
    </comment>
    <comment ref="S19" authorId="0">
      <text>
        <r>
          <rPr>
            <b/>
            <sz val="9"/>
            <color indexed="81"/>
            <rFont val="宋体"/>
            <family val="2"/>
          </rPr>
          <t>#Input("榆炼_能源_能耗日报表_催化烧焦_循环水场",":key{{dw}}")</t>
        </r>
      </text>
    </comment>
    <comment ref="T19" authorId="0">
      <text>
        <r>
          <rPr>
            <b/>
            <sz val="9"/>
            <color indexed="81"/>
            <rFont val="宋体"/>
            <family val="2"/>
          </rPr>
          <t>#Input("榆炼_能源_能耗日报表_热进热出_循环水场",":key{{dw}}")</t>
        </r>
      </text>
    </comment>
    <comment ref="U19" authorId="0">
      <text>
        <r>
          <rPr>
            <b/>
            <sz val="9"/>
            <color indexed="81"/>
            <rFont val="宋体"/>
            <family val="2"/>
          </rPr>
          <t>#Input("榆炼_能源_能耗日报表_加工量_循环水场",":key{{dw}}")</t>
        </r>
      </text>
    </comment>
    <comment ref="G21" authorId="0">
      <text>
        <r>
          <rPr>
            <b/>
            <sz val="9"/>
            <color indexed="81"/>
            <rFont val="宋体"/>
            <family val="2"/>
          </rPr>
          <t>#Input("榆炼_能源_能耗日报表_除盐水_锅炉",":key{{dw}}")</t>
        </r>
      </text>
    </comment>
    <comment ref="N21" authorId="0">
      <text>
        <r>
          <rPr>
            <b/>
            <sz val="9"/>
            <color indexed="81"/>
            <rFont val="宋体"/>
            <family val="2"/>
          </rPr>
          <t>#Input("榆炼_能源_能耗日报表_燃料气_锅炉",":key{{dw}}")</t>
        </r>
      </text>
    </comment>
    <comment ref="D23" authorId="0">
      <text>
        <r>
          <rPr>
            <b/>
            <sz val="9"/>
            <color indexed="81"/>
            <rFont val="宋体"/>
            <family val="2"/>
          </rPr>
          <t>#Input("榆炼_能源_能耗日报表_新鲜水_500万吨/年常压蒸馏",":key{{dw}}")</t>
        </r>
      </text>
    </comment>
    <comment ref="E23" authorId="0">
      <text>
        <r>
          <rPr>
            <b/>
            <sz val="9"/>
            <color indexed="81"/>
            <rFont val="宋体"/>
            <family val="2"/>
          </rPr>
          <t>#Input("榆炼_能源_能耗日报表_循环水_500万吨/年常压蒸馏",":key{{dw}}")</t>
        </r>
      </text>
    </comment>
    <comment ref="F23" authorId="0">
      <text>
        <r>
          <rPr>
            <b/>
            <sz val="9"/>
            <color indexed="81"/>
            <rFont val="宋体"/>
            <family val="2"/>
          </rPr>
          <t>#Input("榆炼_能源_能耗日报表_软化水_500万吨/年常压蒸馏",":key{{dw}}")</t>
        </r>
      </text>
    </comment>
    <comment ref="G23" authorId="0">
      <text>
        <r>
          <rPr>
            <b/>
            <sz val="9"/>
            <color indexed="81"/>
            <rFont val="宋体"/>
            <family val="2"/>
          </rPr>
          <t>#Input("榆炼_能源_能耗日报表_除盐水_500万吨/年常压蒸馏",":key{{dw}}")</t>
        </r>
      </text>
    </comment>
    <comment ref="H23" authorId="0">
      <text>
        <r>
          <rPr>
            <b/>
            <sz val="9"/>
            <color indexed="81"/>
            <rFont val="宋体"/>
            <family val="2"/>
          </rPr>
          <t>#Input("榆炼_能源_能耗日报表_除氧水_500万吨/年常压蒸馏",":key{{dw}}")</t>
        </r>
      </text>
    </comment>
    <comment ref="I23" authorId="0">
      <text>
        <r>
          <rPr>
            <b/>
            <sz val="9"/>
            <color indexed="81"/>
            <rFont val="宋体"/>
            <family val="2"/>
          </rPr>
          <t>#Input("榆炼_能源_能耗日报表_中水_500万吨/年常压蒸馏",":key{{dw}}")</t>
        </r>
      </text>
    </comment>
    <comment ref="J23" authorId="0">
      <text>
        <r>
          <rPr>
            <b/>
            <sz val="9"/>
            <color indexed="81"/>
            <rFont val="宋体"/>
            <family val="2"/>
          </rPr>
          <t>#Input("榆炼_能源_能耗日报表_电_500万吨/年常压蒸馏",":key{{dw}}")</t>
        </r>
      </text>
    </comment>
    <comment ref="K23" authorId="0">
      <text>
        <r>
          <rPr>
            <b/>
            <sz val="9"/>
            <color indexed="81"/>
            <rFont val="宋体"/>
            <family val="2"/>
          </rPr>
          <t>#Input("榆炼_能源_能耗日报表_3.5MPa蒸汽_500万吨/年常压蒸馏",":key{{dw}}")</t>
        </r>
      </text>
    </comment>
    <comment ref="L23" authorId="0">
      <text>
        <r>
          <rPr>
            <b/>
            <sz val="9"/>
            <color indexed="81"/>
            <rFont val="宋体"/>
            <family val="2"/>
          </rPr>
          <t>#Input("榆炼_能源_能耗日报表_1.0MPa蒸汽_500万吨/年常压蒸馏",":key{{dw}}")</t>
        </r>
      </text>
    </comment>
    <comment ref="M23" authorId="0">
      <text>
        <r>
          <rPr>
            <b/>
            <sz val="9"/>
            <color indexed="81"/>
            <rFont val="宋体"/>
            <family val="2"/>
          </rPr>
          <t>#Input("榆炼_能源_能耗日报表_燃料油_500万吨/年常压蒸馏",":key{{dw}}")</t>
        </r>
      </text>
    </comment>
    <comment ref="N23" authorId="0">
      <text>
        <r>
          <rPr>
            <b/>
            <sz val="9"/>
            <color indexed="81"/>
            <rFont val="宋体"/>
            <family val="2"/>
          </rPr>
          <t>#Input("榆炼_能源_能耗日报表_燃料气_500万吨/年常压蒸馏",":key{{dw}}")</t>
        </r>
      </text>
    </comment>
    <comment ref="O23" authorId="0">
      <text>
        <r>
          <rPr>
            <b/>
            <sz val="9"/>
            <color indexed="81"/>
            <rFont val="宋体"/>
            <family val="2"/>
          </rPr>
          <t>#Input("榆炼_能源_能耗日报表_制氢燃料_500万吨/年常压蒸馏",":key{{dw}}")</t>
        </r>
      </text>
    </comment>
    <comment ref="P23" authorId="0">
      <text>
        <r>
          <rPr>
            <b/>
            <sz val="9"/>
            <color indexed="81"/>
            <rFont val="宋体"/>
            <family val="2"/>
          </rPr>
          <t>#Input("榆炼_能源_能耗日报表_煤_500万吨/年常压蒸馏",":key{{dw}}")</t>
        </r>
      </text>
    </comment>
    <comment ref="Q23" authorId="0">
      <text>
        <r>
          <rPr>
            <b/>
            <sz val="9"/>
            <color indexed="81"/>
            <rFont val="宋体"/>
            <family val="2"/>
          </rPr>
          <t>#Input("榆炼_能源_能耗日报表_干馏瓦斯_500万吨/年常压蒸馏",":key{{dw}}")</t>
        </r>
      </text>
    </comment>
    <comment ref="R23" authorId="0">
      <text>
        <r>
          <rPr>
            <b/>
            <sz val="9"/>
            <color indexed="81"/>
            <rFont val="宋体"/>
            <family val="2"/>
          </rPr>
          <t>#Input("榆炼_能源_能耗日报表_天然气_500万吨/年常压蒸馏",":key{{dw}}")</t>
        </r>
      </text>
    </comment>
    <comment ref="S23" authorId="0">
      <text>
        <r>
          <rPr>
            <b/>
            <sz val="9"/>
            <color indexed="81"/>
            <rFont val="宋体"/>
            <family val="2"/>
          </rPr>
          <t>#Input("榆炼_能源_能耗日报表_催化烧焦_500万吨/年常压蒸馏",":key{{dw}}")</t>
        </r>
      </text>
    </comment>
    <comment ref="T23" authorId="0">
      <text>
        <r>
          <rPr>
            <b/>
            <sz val="9"/>
            <color indexed="81"/>
            <rFont val="宋体"/>
            <family val="2"/>
          </rPr>
          <t>#Input("榆炼_能源_能耗日报表_热进热出_500万吨/年常压蒸馏",":key{{dw}}")</t>
        </r>
      </text>
    </comment>
    <comment ref="U23" authorId="0">
      <text>
        <r>
          <rPr>
            <b/>
            <sz val="9"/>
            <color indexed="81"/>
            <rFont val="宋体"/>
            <family val="2"/>
          </rPr>
          <t>#Input("榆炼_能源_能耗日报表_加工量_500万吨/年常压蒸馏",":key{{dw}}")</t>
        </r>
      </text>
    </comment>
    <comment ref="D24" authorId="0">
      <text>
        <r>
          <rPr>
            <b/>
            <sz val="9"/>
            <color indexed="81"/>
            <rFont val="宋体"/>
            <family val="2"/>
          </rPr>
          <t>#Input("榆炼_能源_能耗日报表_新鲜水_30万吨/年航煤加氢",":key{{dw}}")</t>
        </r>
      </text>
    </comment>
    <comment ref="E24" authorId="0">
      <text>
        <r>
          <rPr>
            <b/>
            <sz val="9"/>
            <color indexed="81"/>
            <rFont val="宋体"/>
            <family val="2"/>
          </rPr>
          <t>#Input("榆炼_能源_能耗日报表_循环水_30万吨/年航煤加氢",":key{{dw}}")</t>
        </r>
      </text>
    </comment>
    <comment ref="F24" authorId="0">
      <text>
        <r>
          <rPr>
            <b/>
            <sz val="9"/>
            <color indexed="81"/>
            <rFont val="宋体"/>
            <family val="2"/>
          </rPr>
          <t>#Input("榆炼_能源_能耗日报表_软化水_30万吨/年航煤加氢",":key{{dw}}")</t>
        </r>
      </text>
    </comment>
    <comment ref="G24" authorId="0">
      <text>
        <r>
          <rPr>
            <b/>
            <sz val="9"/>
            <color indexed="81"/>
            <rFont val="宋体"/>
            <family val="2"/>
          </rPr>
          <t>#Input("榆炼_能源_能耗日报表_除盐水_30万吨/年航煤加氢",":key{{dw}}")</t>
        </r>
      </text>
    </comment>
    <comment ref="H24" authorId="0">
      <text>
        <r>
          <rPr>
            <b/>
            <sz val="9"/>
            <color indexed="81"/>
            <rFont val="宋体"/>
            <family val="2"/>
          </rPr>
          <t>#Input("榆炼_能源_能耗日报表_除氧水_30万吨/年航煤加氢",":key{{dw}}")</t>
        </r>
      </text>
    </comment>
    <comment ref="I24" authorId="0">
      <text>
        <r>
          <rPr>
            <b/>
            <sz val="9"/>
            <color indexed="81"/>
            <rFont val="宋体"/>
            <family val="2"/>
          </rPr>
          <t>#Input("榆炼_能源_能耗日报表_中水_30万吨/年航煤加氢",":key{{dw}}")</t>
        </r>
      </text>
    </comment>
    <comment ref="J24" authorId="0">
      <text>
        <r>
          <rPr>
            <b/>
            <sz val="9"/>
            <color indexed="81"/>
            <rFont val="宋体"/>
            <family val="2"/>
          </rPr>
          <t>#Input("榆炼_能源_能耗日报表_电_30万吨/年航煤加氢",":key{{dw}}")</t>
        </r>
      </text>
    </comment>
    <comment ref="K24" authorId="0">
      <text>
        <r>
          <rPr>
            <b/>
            <sz val="9"/>
            <color indexed="81"/>
            <rFont val="宋体"/>
            <family val="2"/>
          </rPr>
          <t>#Input("榆炼_能源_能耗日报表_3.5MPa蒸汽_30万吨/年航煤加氢",":key{{dw}}")</t>
        </r>
      </text>
    </comment>
    <comment ref="L24" authorId="0">
      <text>
        <r>
          <rPr>
            <b/>
            <sz val="9"/>
            <color indexed="81"/>
            <rFont val="宋体"/>
            <family val="2"/>
          </rPr>
          <t>#Input("榆炼_能源_能耗日报表_1.0MPa蒸汽_30万吨/年航煤加氢",":key{{dw}}")</t>
        </r>
      </text>
    </comment>
    <comment ref="M24" authorId="0">
      <text>
        <r>
          <rPr>
            <b/>
            <sz val="9"/>
            <color indexed="81"/>
            <rFont val="宋体"/>
            <family val="2"/>
          </rPr>
          <t>#Input("榆炼_能源_能耗日报表_燃料油_30万吨/年航煤加氢",":key{{dw}}")</t>
        </r>
      </text>
    </comment>
    <comment ref="N24" authorId="0">
      <text>
        <r>
          <rPr>
            <b/>
            <sz val="9"/>
            <color indexed="81"/>
            <rFont val="宋体"/>
            <family val="2"/>
          </rPr>
          <t>#Input("榆炼_能源_能耗日报表_燃料气_30万吨/年航煤加氢",":key{{dw}}")</t>
        </r>
      </text>
    </comment>
    <comment ref="O24" authorId="0">
      <text>
        <r>
          <rPr>
            <b/>
            <sz val="9"/>
            <color indexed="81"/>
            <rFont val="宋体"/>
            <family val="2"/>
          </rPr>
          <t>#Input("榆炼_能源_能耗日报表_制氢燃料_30万吨/年航煤加氢",":key{{dw}}")</t>
        </r>
      </text>
    </comment>
    <comment ref="P24" authorId="0">
      <text>
        <r>
          <rPr>
            <b/>
            <sz val="9"/>
            <color indexed="81"/>
            <rFont val="宋体"/>
            <family val="2"/>
          </rPr>
          <t>#Input("榆炼_能源_能耗日报表_煤_30万吨/年航煤加氢",":key{{dw}}")</t>
        </r>
      </text>
    </comment>
    <comment ref="Q24" authorId="0">
      <text>
        <r>
          <rPr>
            <b/>
            <sz val="9"/>
            <color indexed="81"/>
            <rFont val="宋体"/>
            <family val="2"/>
          </rPr>
          <t>#Input("榆炼_能源_能耗日报表_干馏瓦斯_30万吨/年航煤加氢",":key{{dw}}")</t>
        </r>
      </text>
    </comment>
    <comment ref="R24" authorId="0">
      <text>
        <r>
          <rPr>
            <b/>
            <sz val="9"/>
            <color indexed="81"/>
            <rFont val="宋体"/>
            <family val="2"/>
          </rPr>
          <t>#Input("榆炼_能源_能耗日报表_天然气_30万吨/年航煤加氢",":key{{dw}}")</t>
        </r>
      </text>
    </comment>
    <comment ref="S24" authorId="0">
      <text>
        <r>
          <rPr>
            <b/>
            <sz val="9"/>
            <color indexed="81"/>
            <rFont val="宋体"/>
            <family val="2"/>
          </rPr>
          <t>#Input("榆炼_能源_能耗日报表_催化烧焦_30万吨/年航煤加氢",":key{{dw}}")</t>
        </r>
      </text>
    </comment>
    <comment ref="T24" authorId="0">
      <text>
        <r>
          <rPr>
            <b/>
            <sz val="9"/>
            <color indexed="81"/>
            <rFont val="宋体"/>
            <family val="2"/>
          </rPr>
          <t>#Input("榆炼_能源_能耗日报表_热进热出_30万吨/年航煤加氢",":key{{dw}}")</t>
        </r>
      </text>
    </comment>
    <comment ref="U24" authorId="0">
      <text>
        <r>
          <rPr>
            <b/>
            <sz val="9"/>
            <color indexed="81"/>
            <rFont val="宋体"/>
            <family val="2"/>
          </rPr>
          <t>#Input("榆炼_能源_能耗日报表_加工量_30万吨/年航煤加氢",":key{{dw}}")</t>
        </r>
      </text>
    </comment>
    <comment ref="D25" authorId="0">
      <text>
        <r>
          <rPr>
            <b/>
            <sz val="9"/>
            <color indexed="81"/>
            <rFont val="宋体"/>
            <family val="2"/>
          </rPr>
          <t>#Input("榆炼_能源_能耗日报表_新鲜水_220万吨/年常压蒸馏",":key{{dw}}")</t>
        </r>
      </text>
    </comment>
    <comment ref="E25" authorId="0">
      <text>
        <r>
          <rPr>
            <b/>
            <sz val="9"/>
            <color indexed="81"/>
            <rFont val="宋体"/>
            <family val="2"/>
          </rPr>
          <t>#Input("榆炼_能源_能耗日报表_循环水_220万吨/年常压蒸馏",":key{{dw}}")</t>
        </r>
      </text>
    </comment>
    <comment ref="F25" authorId="0">
      <text>
        <r>
          <rPr>
            <b/>
            <sz val="9"/>
            <color indexed="81"/>
            <rFont val="宋体"/>
            <family val="2"/>
          </rPr>
          <t>#Input("榆炼_能源_能耗日报表_软化水_220万吨/年常压蒸馏",":key{{dw}}")</t>
        </r>
      </text>
    </comment>
    <comment ref="G25" authorId="0">
      <text>
        <r>
          <rPr>
            <b/>
            <sz val="9"/>
            <color indexed="81"/>
            <rFont val="宋体"/>
            <family val="2"/>
          </rPr>
          <t>#Input("榆炼_能源_能耗日报表_除盐水_220万吨/年常压蒸馏",":key{{dw}}")</t>
        </r>
      </text>
    </comment>
    <comment ref="H25" authorId="0">
      <text>
        <r>
          <rPr>
            <b/>
            <sz val="9"/>
            <color indexed="81"/>
            <rFont val="宋体"/>
            <family val="2"/>
          </rPr>
          <t>#Input("榆炼_能源_能耗日报表_除氧水_220万吨/年常压蒸馏",":key{{dw}}")</t>
        </r>
      </text>
    </comment>
    <comment ref="I25" authorId="0">
      <text>
        <r>
          <rPr>
            <b/>
            <sz val="9"/>
            <color indexed="81"/>
            <rFont val="宋体"/>
            <family val="2"/>
          </rPr>
          <t>#Input("榆炼_能源_能耗日报表_中水_220万吨/年常压蒸馏",":key{{dw}}")</t>
        </r>
      </text>
    </comment>
    <comment ref="J25" authorId="0">
      <text>
        <r>
          <rPr>
            <b/>
            <sz val="9"/>
            <color indexed="81"/>
            <rFont val="宋体"/>
            <family val="2"/>
          </rPr>
          <t>#Input("榆炼_能源_能耗日报表_电_220万吨/年常压蒸馏",":key{{dw}}")</t>
        </r>
      </text>
    </comment>
    <comment ref="K25" authorId="0">
      <text>
        <r>
          <rPr>
            <b/>
            <sz val="9"/>
            <color indexed="81"/>
            <rFont val="宋体"/>
            <family val="2"/>
          </rPr>
          <t>#Input("榆炼_能源_能耗日报表_3.5MPa蒸汽_220万吨/年常压蒸馏",":key{{dw}}")</t>
        </r>
      </text>
    </comment>
    <comment ref="L25" authorId="0">
      <text>
        <r>
          <rPr>
            <b/>
            <sz val="9"/>
            <color indexed="81"/>
            <rFont val="宋体"/>
            <family val="2"/>
          </rPr>
          <t>#Input("榆炼_能源_能耗日报表_1.0MPa蒸汽_220万吨/年常压蒸馏",":key{{dw}}")</t>
        </r>
      </text>
    </comment>
    <comment ref="M25" authorId="0">
      <text>
        <r>
          <rPr>
            <b/>
            <sz val="9"/>
            <color indexed="81"/>
            <rFont val="宋体"/>
            <family val="2"/>
          </rPr>
          <t>#Input("榆炼_能源_能耗日报表_燃料油_220万吨/年常压蒸馏",":key{{dw}}")</t>
        </r>
      </text>
    </comment>
    <comment ref="N25" authorId="0">
      <text>
        <r>
          <rPr>
            <b/>
            <sz val="9"/>
            <color indexed="81"/>
            <rFont val="宋体"/>
            <family val="2"/>
          </rPr>
          <t>#Input("榆炼_能源_能耗日报表_燃料气_220万吨/年常压蒸馏",":key{{dw}}")</t>
        </r>
      </text>
    </comment>
    <comment ref="O25" authorId="0">
      <text>
        <r>
          <rPr>
            <b/>
            <sz val="9"/>
            <color indexed="81"/>
            <rFont val="宋体"/>
            <family val="2"/>
          </rPr>
          <t>#Input("榆炼_能源_能耗日报表_制氢燃料_220万吨/年常压蒸馏",":key{{dw}}")</t>
        </r>
      </text>
    </comment>
    <comment ref="P25" authorId="0">
      <text>
        <r>
          <rPr>
            <b/>
            <sz val="9"/>
            <color indexed="81"/>
            <rFont val="宋体"/>
            <family val="2"/>
          </rPr>
          <t>#Input("榆炼_能源_能耗日报表_煤_220万吨/年常压蒸馏",":key{{dw}}")</t>
        </r>
      </text>
    </comment>
    <comment ref="Q25" authorId="0">
      <text>
        <r>
          <rPr>
            <b/>
            <sz val="9"/>
            <color indexed="81"/>
            <rFont val="宋体"/>
            <family val="2"/>
          </rPr>
          <t>#Input("榆炼_能源_能耗日报表_干馏瓦斯_220万吨/年常压蒸馏",":key{{dw}}")</t>
        </r>
      </text>
    </comment>
    <comment ref="R25" authorId="0">
      <text>
        <r>
          <rPr>
            <b/>
            <sz val="9"/>
            <color indexed="81"/>
            <rFont val="宋体"/>
            <family val="2"/>
          </rPr>
          <t>#Input("榆炼_能源_能耗日报表_天然气_220万吨/年常压蒸馏",":key{{dw}}")</t>
        </r>
      </text>
    </comment>
    <comment ref="S25" authorId="0">
      <text>
        <r>
          <rPr>
            <b/>
            <sz val="9"/>
            <color indexed="81"/>
            <rFont val="宋体"/>
            <family val="2"/>
          </rPr>
          <t>#Input("榆炼_能源_能耗日报表_催化烧焦_220万吨/年常压蒸馏",":key{{dw}}")</t>
        </r>
      </text>
    </comment>
    <comment ref="T25" authorId="0">
      <text>
        <r>
          <rPr>
            <b/>
            <sz val="9"/>
            <color indexed="81"/>
            <rFont val="宋体"/>
            <family val="2"/>
          </rPr>
          <t>#Input("榆炼_能源_能耗日报表_热进热出_220万吨/年常压蒸馏",":key{{dw}}")</t>
        </r>
      </text>
    </comment>
    <comment ref="U25" authorId="0">
      <text>
        <r>
          <rPr>
            <b/>
            <sz val="9"/>
            <color indexed="81"/>
            <rFont val="宋体"/>
            <family val="2"/>
          </rPr>
          <t>#Input("榆炼_能源_能耗日报表_加工量_220万吨/年常压蒸馏",":key{{dw}}")</t>
        </r>
      </text>
    </comment>
    <comment ref="D26" authorId="0">
      <text>
        <r>
          <rPr>
            <b/>
            <sz val="9"/>
            <color indexed="81"/>
            <rFont val="宋体"/>
            <family val="2"/>
          </rPr>
          <t>#Input("榆炼_能源_能耗日报表_新鲜水_180万吨/年催化裂化",":key{{dw}}")</t>
        </r>
      </text>
    </comment>
    <comment ref="E26" authorId="0">
      <text>
        <r>
          <rPr>
            <b/>
            <sz val="9"/>
            <color indexed="81"/>
            <rFont val="宋体"/>
            <family val="2"/>
          </rPr>
          <t>#Input("榆炼_能源_能耗日报表_循环水_180万吨/年催化裂化",":key{{dw}}")</t>
        </r>
      </text>
    </comment>
    <comment ref="F26" authorId="0">
      <text>
        <r>
          <rPr>
            <b/>
            <sz val="9"/>
            <color indexed="81"/>
            <rFont val="宋体"/>
            <family val="2"/>
          </rPr>
          <t>#Input("榆炼_能源_能耗日报表_软化水_180万吨/年催化裂化",":key{{dw}}")</t>
        </r>
      </text>
    </comment>
    <comment ref="G26" authorId="0">
      <text>
        <r>
          <rPr>
            <b/>
            <sz val="9"/>
            <color indexed="81"/>
            <rFont val="宋体"/>
            <family val="2"/>
          </rPr>
          <t>#Input("榆炼_能源_能耗日报表_除盐水_180万吨/年催化裂化",":key{{dw}}")</t>
        </r>
      </text>
    </comment>
    <comment ref="H26" authorId="0">
      <text>
        <r>
          <rPr>
            <b/>
            <sz val="9"/>
            <color indexed="81"/>
            <rFont val="宋体"/>
            <family val="2"/>
          </rPr>
          <t>#Input("榆炼_能源_能耗日报表_除氧水_180万吨/年催化裂化",":key{{dw}}")</t>
        </r>
      </text>
    </comment>
    <comment ref="I26" authorId="0">
      <text>
        <r>
          <rPr>
            <b/>
            <sz val="9"/>
            <color indexed="81"/>
            <rFont val="宋体"/>
            <family val="2"/>
          </rPr>
          <t>#Input("榆炼_能源_能耗日报表_中水_180万吨/年催化裂化",":key{{dw}}")</t>
        </r>
      </text>
    </comment>
    <comment ref="J26" authorId="0">
      <text>
        <r>
          <rPr>
            <b/>
            <sz val="9"/>
            <color indexed="81"/>
            <rFont val="宋体"/>
            <family val="2"/>
          </rPr>
          <t>#Input("榆炼_能源_能耗日报表_电_180万吨/年催化裂化",":key{{dw}}")</t>
        </r>
      </text>
    </comment>
    <comment ref="K26" authorId="0">
      <text>
        <r>
          <rPr>
            <b/>
            <sz val="9"/>
            <color indexed="81"/>
            <rFont val="宋体"/>
            <family val="2"/>
          </rPr>
          <t>#Input("榆炼_能源_能耗日报表_3.5MPa蒸汽_180万吨/年催化裂化",":key{{dw}}")</t>
        </r>
      </text>
    </comment>
    <comment ref="L26" authorId="0">
      <text>
        <r>
          <rPr>
            <b/>
            <sz val="9"/>
            <color indexed="81"/>
            <rFont val="宋体"/>
            <family val="2"/>
          </rPr>
          <t>#Input("榆炼_能源_能耗日报表_1.0MPa蒸汽_180万吨/年催化裂化",":key{{dw}}")</t>
        </r>
      </text>
    </comment>
    <comment ref="M26" authorId="0">
      <text>
        <r>
          <rPr>
            <b/>
            <sz val="9"/>
            <color indexed="81"/>
            <rFont val="宋体"/>
            <family val="2"/>
          </rPr>
          <t>#Input("榆炼_能源_能耗日报表_燃料油_180万吨/年催化裂化",":key{{dw}}")</t>
        </r>
      </text>
    </comment>
    <comment ref="N26" authorId="0">
      <text>
        <r>
          <rPr>
            <b/>
            <sz val="9"/>
            <color indexed="81"/>
            <rFont val="宋体"/>
            <family val="2"/>
          </rPr>
          <t>#Input("榆炼_能源_能耗日报表_燃料气_180万吨/年催化裂化",":key{{dw}}")</t>
        </r>
      </text>
    </comment>
    <comment ref="O26" authorId="0">
      <text>
        <r>
          <rPr>
            <b/>
            <sz val="9"/>
            <color indexed="81"/>
            <rFont val="宋体"/>
            <family val="2"/>
          </rPr>
          <t>#Input("榆炼_能源_能耗日报表_制氢燃料_180万吨/年催化裂化",":key{{dw}}")</t>
        </r>
      </text>
    </comment>
    <comment ref="P26" authorId="0">
      <text>
        <r>
          <rPr>
            <b/>
            <sz val="9"/>
            <color indexed="81"/>
            <rFont val="宋体"/>
            <family val="2"/>
          </rPr>
          <t>#Input("榆炼_能源_能耗日报表_煤_180万吨/年催化裂化",":key{{dw}}")</t>
        </r>
      </text>
    </comment>
    <comment ref="Q26" authorId="0">
      <text>
        <r>
          <rPr>
            <b/>
            <sz val="9"/>
            <color indexed="81"/>
            <rFont val="宋体"/>
            <family val="2"/>
          </rPr>
          <t>#Input("榆炼_能源_能耗日报表_干馏瓦斯_180万吨/年催化裂化",":key{{dw}}")</t>
        </r>
      </text>
    </comment>
    <comment ref="R26" authorId="0">
      <text>
        <r>
          <rPr>
            <b/>
            <sz val="9"/>
            <color indexed="81"/>
            <rFont val="宋体"/>
            <family val="2"/>
          </rPr>
          <t>#Input("榆炼_能源_能耗日报表_天然气_180万吨/年催化裂化",":key{{dw}}")</t>
        </r>
      </text>
    </comment>
    <comment ref="S26" authorId="0">
      <text>
        <r>
          <rPr>
            <b/>
            <sz val="9"/>
            <color indexed="81"/>
            <rFont val="宋体"/>
            <family val="2"/>
          </rPr>
          <t>#Input("榆炼_能源_能耗日报表_催化烧焦_180万吨/年催化裂化",":key{{dw}}")</t>
        </r>
      </text>
    </comment>
    <comment ref="T26" authorId="0">
      <text>
        <r>
          <rPr>
            <b/>
            <sz val="9"/>
            <color indexed="81"/>
            <rFont val="宋体"/>
            <family val="2"/>
          </rPr>
          <t>#Input("榆炼_能源_能耗日报表_热进热出_180万吨/年催化裂化",":key{{dw}}")</t>
        </r>
      </text>
    </comment>
    <comment ref="U26" authorId="0">
      <text>
        <r>
          <rPr>
            <b/>
            <sz val="9"/>
            <color indexed="81"/>
            <rFont val="宋体"/>
            <family val="2"/>
          </rPr>
          <t>#Input("榆炼_能源_能耗日报表_加工量_180万吨/年催化裂化",":key{{dw}}")</t>
        </r>
      </text>
    </comment>
    <comment ref="D27" authorId="0">
      <text>
        <r>
          <rPr>
            <b/>
            <sz val="9"/>
            <color indexed="81"/>
            <rFont val="宋体"/>
            <family val="2"/>
          </rPr>
          <t>#Input("榆炼_能源_能耗日报表_新鲜水_60万吨/年催化裂化",":key{{dw}}")</t>
        </r>
      </text>
    </comment>
    <comment ref="E27" authorId="0">
      <text>
        <r>
          <rPr>
            <b/>
            <sz val="9"/>
            <color indexed="81"/>
            <rFont val="宋体"/>
            <family val="2"/>
          </rPr>
          <t>#Input("榆炼_能源_能耗日报表_循环水_60万吨/年催化裂化",":key{{dw}}")</t>
        </r>
      </text>
    </comment>
    <comment ref="F27" authorId="0">
      <text>
        <r>
          <rPr>
            <b/>
            <sz val="9"/>
            <color indexed="81"/>
            <rFont val="宋体"/>
            <family val="2"/>
          </rPr>
          <t>#Input("榆炼_能源_能耗日报表_软化水_60万吨/年催化裂化",":key{{dw}}")</t>
        </r>
      </text>
    </comment>
    <comment ref="G27" authorId="0">
      <text>
        <r>
          <rPr>
            <b/>
            <sz val="9"/>
            <color indexed="81"/>
            <rFont val="宋体"/>
            <family val="2"/>
          </rPr>
          <t>#Input("榆炼_能源_能耗日报表_除盐水_60万吨/年催化裂化",":key{{dw}}")</t>
        </r>
      </text>
    </comment>
    <comment ref="H27" authorId="0">
      <text>
        <r>
          <rPr>
            <b/>
            <sz val="9"/>
            <color indexed="81"/>
            <rFont val="宋体"/>
            <family val="2"/>
          </rPr>
          <t>#Input("榆炼_能源_能耗日报表_除氧水_60万吨/年催化裂化",":key{{dw}}")</t>
        </r>
      </text>
    </comment>
    <comment ref="I27" authorId="0">
      <text>
        <r>
          <rPr>
            <b/>
            <sz val="9"/>
            <color indexed="81"/>
            <rFont val="宋体"/>
            <family val="2"/>
          </rPr>
          <t>#Input("榆炼_能源_能耗日报表_中水_60万吨/年催化裂化",":key{{dw}}")</t>
        </r>
      </text>
    </comment>
    <comment ref="J27" authorId="0">
      <text>
        <r>
          <rPr>
            <b/>
            <sz val="9"/>
            <color indexed="81"/>
            <rFont val="宋体"/>
            <family val="2"/>
          </rPr>
          <t>#Input("榆炼_能源_能耗日报表_电_60万吨/年催化裂化",":key{{dw}}")</t>
        </r>
      </text>
    </comment>
    <comment ref="K27" authorId="0">
      <text>
        <r>
          <rPr>
            <b/>
            <sz val="9"/>
            <color indexed="81"/>
            <rFont val="宋体"/>
            <family val="2"/>
          </rPr>
          <t>#Input("榆炼_能源_能耗日报表_3.5MPa蒸汽_60万吨/年催化裂化",":key{{dw}}")</t>
        </r>
      </text>
    </comment>
    <comment ref="L27" authorId="0">
      <text>
        <r>
          <rPr>
            <b/>
            <sz val="9"/>
            <color indexed="81"/>
            <rFont val="宋体"/>
            <family val="2"/>
          </rPr>
          <t>#Input("榆炼_能源_能耗日报表_1.0MPa蒸汽_60万吨/年催化裂化",":key{{dw}}")</t>
        </r>
      </text>
    </comment>
    <comment ref="M27" authorId="0">
      <text>
        <r>
          <rPr>
            <b/>
            <sz val="9"/>
            <color indexed="81"/>
            <rFont val="宋体"/>
            <family val="2"/>
          </rPr>
          <t>#Input("榆炼_能源_能耗日报表_燃料油_60万吨/年催化裂化",":key{{dw}}")</t>
        </r>
      </text>
    </comment>
    <comment ref="N27" authorId="0">
      <text>
        <r>
          <rPr>
            <b/>
            <sz val="9"/>
            <color indexed="81"/>
            <rFont val="宋体"/>
            <family val="2"/>
          </rPr>
          <t>#Input("榆炼_能源_能耗日报表_燃料气_60万吨/年催化裂化",":key{{dw}}")</t>
        </r>
      </text>
    </comment>
    <comment ref="O27" authorId="0">
      <text>
        <r>
          <rPr>
            <b/>
            <sz val="9"/>
            <color indexed="81"/>
            <rFont val="宋体"/>
            <family val="2"/>
          </rPr>
          <t>#Input("榆炼_能源_能耗日报表_制氢燃料_60万吨/年催化裂化",":key{{dw}}")</t>
        </r>
      </text>
    </comment>
    <comment ref="P27" authorId="0">
      <text>
        <r>
          <rPr>
            <b/>
            <sz val="9"/>
            <color indexed="81"/>
            <rFont val="宋体"/>
            <family val="2"/>
          </rPr>
          <t>#Input("榆炼_能源_能耗日报表_煤_60万吨/年催化裂化",":key{{dw}}")</t>
        </r>
      </text>
    </comment>
    <comment ref="Q27" authorId="0">
      <text>
        <r>
          <rPr>
            <b/>
            <sz val="9"/>
            <color indexed="81"/>
            <rFont val="宋体"/>
            <family val="2"/>
          </rPr>
          <t>#Input("榆炼_能源_能耗日报表_干馏瓦斯_60万吨/年催化裂化",":key{{dw}}")</t>
        </r>
      </text>
    </comment>
    <comment ref="R27" authorId="0">
      <text>
        <r>
          <rPr>
            <b/>
            <sz val="9"/>
            <color indexed="81"/>
            <rFont val="宋体"/>
            <family val="2"/>
          </rPr>
          <t>#Input("榆炼_能源_能耗日报表_天然气_60万吨/年催化裂化",":key{{dw}}")</t>
        </r>
      </text>
    </comment>
    <comment ref="S27" authorId="0">
      <text>
        <r>
          <rPr>
            <b/>
            <sz val="9"/>
            <color indexed="81"/>
            <rFont val="宋体"/>
            <family val="2"/>
          </rPr>
          <t>#Input("榆炼_能源_能耗日报表_催化烧焦_60万吨/年催化裂化",":key{{dw}}")</t>
        </r>
      </text>
    </comment>
    <comment ref="T27" authorId="0">
      <text>
        <r>
          <rPr>
            <b/>
            <sz val="9"/>
            <color indexed="81"/>
            <rFont val="宋体"/>
            <family val="2"/>
          </rPr>
          <t>#Input("榆炼_能源_能耗日报表_热进热出_60万吨/年催化裂化",":key{{dw}}")</t>
        </r>
      </text>
    </comment>
    <comment ref="U27" authorId="0">
      <text>
        <r>
          <rPr>
            <b/>
            <sz val="9"/>
            <color indexed="81"/>
            <rFont val="宋体"/>
            <family val="2"/>
          </rPr>
          <t>#Input("榆炼_能源_能耗日报表_加工量_60万吨/年催化裂化",":key{{dw}}")</t>
        </r>
      </text>
    </comment>
    <comment ref="D28" authorId="0">
      <text>
        <r>
          <rPr>
            <b/>
            <sz val="9"/>
            <color indexed="81"/>
            <rFont val="宋体"/>
            <family val="2"/>
          </rPr>
          <t>#Input("榆炼_能源_能耗日报表_新鲜水_100万吨/年连续重整",":key{{dw}}")</t>
        </r>
      </text>
    </comment>
    <comment ref="E28" authorId="0">
      <text>
        <r>
          <rPr>
            <b/>
            <sz val="9"/>
            <color indexed="81"/>
            <rFont val="宋体"/>
            <family val="2"/>
          </rPr>
          <t>#Input("榆炼_能源_能耗日报表_循环水_100万吨/年连续重整",":key{{dw}}")</t>
        </r>
      </text>
    </comment>
    <comment ref="F28" authorId="0">
      <text>
        <r>
          <rPr>
            <b/>
            <sz val="9"/>
            <color indexed="81"/>
            <rFont val="宋体"/>
            <family val="2"/>
          </rPr>
          <t>#Input("榆炼_能源_能耗日报表_软化水_100万吨/年连续重整",":key{{dw}}")</t>
        </r>
      </text>
    </comment>
    <comment ref="G28" authorId="0">
      <text>
        <r>
          <rPr>
            <b/>
            <sz val="9"/>
            <color indexed="81"/>
            <rFont val="宋体"/>
            <family val="2"/>
          </rPr>
          <t>#Input("榆炼_能源_能耗日报表_除盐水_100万吨/年连续重整",":key{{dw}}")</t>
        </r>
      </text>
    </comment>
    <comment ref="H28" authorId="0">
      <text>
        <r>
          <rPr>
            <b/>
            <sz val="9"/>
            <color indexed="81"/>
            <rFont val="宋体"/>
            <family val="2"/>
          </rPr>
          <t>#Input("榆炼_能源_能耗日报表_除氧水_100万吨/年连续重整",":key{{dw}}")</t>
        </r>
      </text>
    </comment>
    <comment ref="I28" authorId="0">
      <text>
        <r>
          <rPr>
            <b/>
            <sz val="9"/>
            <color indexed="81"/>
            <rFont val="宋体"/>
            <family val="2"/>
          </rPr>
          <t>#Input("榆炼_能源_能耗日报表_中水_100万吨/年连续重整",":key{{dw}}")</t>
        </r>
      </text>
    </comment>
    <comment ref="J28" authorId="0">
      <text>
        <r>
          <rPr>
            <b/>
            <sz val="9"/>
            <color indexed="81"/>
            <rFont val="宋体"/>
            <family val="2"/>
          </rPr>
          <t>#Input("榆炼_能源_能耗日报表_电_100万吨/年连续重整",":key{{dw}}")</t>
        </r>
      </text>
    </comment>
    <comment ref="K28" authorId="0">
      <text>
        <r>
          <rPr>
            <b/>
            <sz val="9"/>
            <color indexed="81"/>
            <rFont val="宋体"/>
            <family val="2"/>
          </rPr>
          <t>#Input("榆炼_能源_能耗日报表_3.5MPa蒸汽_100万吨/年连续重整",":key{{dw}}")</t>
        </r>
      </text>
    </comment>
    <comment ref="L28" authorId="0">
      <text>
        <r>
          <rPr>
            <b/>
            <sz val="9"/>
            <color indexed="81"/>
            <rFont val="宋体"/>
            <family val="2"/>
          </rPr>
          <t>#Input("榆炼_能源_能耗日报表_1.0MPa蒸汽_100万吨/年连续重整",":key{{dw}}")</t>
        </r>
      </text>
    </comment>
    <comment ref="M28" authorId="0">
      <text>
        <r>
          <rPr>
            <b/>
            <sz val="9"/>
            <color indexed="81"/>
            <rFont val="宋体"/>
            <family val="2"/>
          </rPr>
          <t>#Input("榆炼_能源_能耗日报表_燃料油_100万吨/年连续重整",":key{{dw}}")</t>
        </r>
      </text>
    </comment>
    <comment ref="N28" authorId="0">
      <text>
        <r>
          <rPr>
            <b/>
            <sz val="9"/>
            <color indexed="81"/>
            <rFont val="宋体"/>
            <family val="2"/>
          </rPr>
          <t>#Input("榆炼_能源_能耗日报表_燃料气_100万吨/年连续重整",":key{{dw}}")</t>
        </r>
      </text>
    </comment>
    <comment ref="O28" authorId="0">
      <text>
        <r>
          <rPr>
            <b/>
            <sz val="9"/>
            <color indexed="81"/>
            <rFont val="宋体"/>
            <family val="2"/>
          </rPr>
          <t>#Input("榆炼_能源_能耗日报表_制氢燃料_100万吨/年连续重整",":key{{dw}}")</t>
        </r>
      </text>
    </comment>
    <comment ref="P28" authorId="0">
      <text>
        <r>
          <rPr>
            <b/>
            <sz val="9"/>
            <color indexed="81"/>
            <rFont val="宋体"/>
            <family val="2"/>
          </rPr>
          <t>#Input("榆炼_能源_能耗日报表_煤_100万吨/年连续重整",":key{{dw}}")</t>
        </r>
      </text>
    </comment>
    <comment ref="Q28" authorId="0">
      <text>
        <r>
          <rPr>
            <b/>
            <sz val="9"/>
            <color indexed="81"/>
            <rFont val="宋体"/>
            <family val="2"/>
          </rPr>
          <t>#Input("榆炼_能源_能耗日报表_干馏瓦斯_100万吨/年连续重整",":key{{dw}}")</t>
        </r>
      </text>
    </comment>
    <comment ref="R28" authorId="0">
      <text>
        <r>
          <rPr>
            <b/>
            <sz val="9"/>
            <color indexed="81"/>
            <rFont val="宋体"/>
            <family val="2"/>
          </rPr>
          <t>#Input("榆炼_能源_能耗日报表_天然气_100万吨/年连续重整",":key{{dw}}")</t>
        </r>
      </text>
    </comment>
    <comment ref="S28" authorId="0">
      <text>
        <r>
          <rPr>
            <b/>
            <sz val="9"/>
            <color indexed="81"/>
            <rFont val="宋体"/>
            <family val="2"/>
          </rPr>
          <t>#Input("榆炼_能源_能耗日报表_催化烧焦_100万吨/年连续重整",":key{{dw}}")</t>
        </r>
      </text>
    </comment>
    <comment ref="T28" authorId="0">
      <text>
        <r>
          <rPr>
            <b/>
            <sz val="9"/>
            <color indexed="81"/>
            <rFont val="宋体"/>
            <family val="2"/>
          </rPr>
          <t>#Input("榆炼_能源_能耗日报表_热进热出_100万吨/年连续重整",":key{{dw}}")</t>
        </r>
      </text>
    </comment>
    <comment ref="U28" authorId="0">
      <text>
        <r>
          <rPr>
            <b/>
            <sz val="9"/>
            <color indexed="81"/>
            <rFont val="宋体"/>
            <family val="2"/>
          </rPr>
          <t>#Input("榆炼_能源_能耗日报表_加工量_100万吨/年连续重整",":key{{dw}}")</t>
        </r>
      </text>
    </comment>
    <comment ref="D29" authorId="0">
      <text>
        <r>
          <rPr>
            <b/>
            <sz val="9"/>
            <color indexed="81"/>
            <rFont val="宋体"/>
            <family val="2"/>
          </rPr>
          <t>#Input("榆炼_能源_能耗日报表_新鲜水_酸性水汽提",":key{{dw}}")</t>
        </r>
      </text>
    </comment>
    <comment ref="E29" authorId="0">
      <text>
        <r>
          <rPr>
            <b/>
            <sz val="9"/>
            <color indexed="81"/>
            <rFont val="宋体"/>
            <family val="2"/>
          </rPr>
          <t>#Input("榆炼_能源_能耗日报表_循环水_酸性水汽提",":key{{dw}}")</t>
        </r>
      </text>
    </comment>
    <comment ref="F29" authorId="0">
      <text>
        <r>
          <rPr>
            <b/>
            <sz val="9"/>
            <color indexed="81"/>
            <rFont val="宋体"/>
            <family val="2"/>
          </rPr>
          <t>#Input("榆炼_能源_能耗日报表_软化水_酸性水汽提",":key{{dw}}")</t>
        </r>
      </text>
    </comment>
    <comment ref="G29" authorId="0">
      <text>
        <r>
          <rPr>
            <b/>
            <sz val="9"/>
            <color indexed="81"/>
            <rFont val="宋体"/>
            <family val="2"/>
          </rPr>
          <t>#Input("榆炼_能源_能耗日报表_除盐水_酸性水汽提",":key{{dw}}")</t>
        </r>
      </text>
    </comment>
    <comment ref="H29" authorId="0">
      <text>
        <r>
          <rPr>
            <b/>
            <sz val="9"/>
            <color indexed="81"/>
            <rFont val="宋体"/>
            <family val="2"/>
          </rPr>
          <t>#Input("榆炼_能源_能耗日报表_除氧水_酸性水汽提",":key{{dw}}")</t>
        </r>
      </text>
    </comment>
    <comment ref="I29" authorId="0">
      <text>
        <r>
          <rPr>
            <b/>
            <sz val="9"/>
            <color indexed="81"/>
            <rFont val="宋体"/>
            <family val="2"/>
          </rPr>
          <t>#Input("榆炼_能源_能耗日报表_中水_酸性水汽提",":key{{dw}}")</t>
        </r>
      </text>
    </comment>
    <comment ref="J29" authorId="0">
      <text>
        <r>
          <rPr>
            <b/>
            <sz val="9"/>
            <color indexed="81"/>
            <rFont val="宋体"/>
            <family val="2"/>
          </rPr>
          <t>#Input("榆炼_能源_能耗日报表_电_酸性水汽提",":key{{dw}}")</t>
        </r>
      </text>
    </comment>
    <comment ref="K29" authorId="0">
      <text>
        <r>
          <rPr>
            <b/>
            <sz val="9"/>
            <color indexed="81"/>
            <rFont val="宋体"/>
            <family val="2"/>
          </rPr>
          <t>#Input("榆炼_能源_能耗日报表_3.5MPa蒸汽_酸性水汽提",":key{{dw}}")</t>
        </r>
      </text>
    </comment>
    <comment ref="L29" authorId="0">
      <text>
        <r>
          <rPr>
            <b/>
            <sz val="9"/>
            <color indexed="81"/>
            <rFont val="宋体"/>
            <family val="2"/>
          </rPr>
          <t>#Input("榆炼_能源_能耗日报表_1.0MPa蒸汽_酸性水汽提",":key{{dw}}")</t>
        </r>
      </text>
    </comment>
    <comment ref="M29" authorId="0">
      <text>
        <r>
          <rPr>
            <b/>
            <sz val="9"/>
            <color indexed="81"/>
            <rFont val="宋体"/>
            <family val="2"/>
          </rPr>
          <t>#Input("榆炼_能源_能耗日报表_燃料油_酸性水汽提",":key{{dw}}")</t>
        </r>
      </text>
    </comment>
    <comment ref="N29" authorId="0">
      <text>
        <r>
          <rPr>
            <b/>
            <sz val="9"/>
            <color indexed="81"/>
            <rFont val="宋体"/>
            <family val="2"/>
          </rPr>
          <t>#Input("榆炼_能源_能耗日报表_燃料气_酸性水汽提",":key{{dw}}")</t>
        </r>
      </text>
    </comment>
    <comment ref="O29" authorId="0">
      <text>
        <r>
          <rPr>
            <b/>
            <sz val="9"/>
            <color indexed="81"/>
            <rFont val="宋体"/>
            <family val="2"/>
          </rPr>
          <t>#Input("榆炼_能源_能耗日报表_制氢燃料_酸性水汽提",":key{{dw}}")</t>
        </r>
      </text>
    </comment>
    <comment ref="P29" authorId="0">
      <text>
        <r>
          <rPr>
            <b/>
            <sz val="9"/>
            <color indexed="81"/>
            <rFont val="宋体"/>
            <family val="2"/>
          </rPr>
          <t>#Input("榆炼_能源_能耗日报表_煤_酸性水汽提",":key{{dw}}")</t>
        </r>
      </text>
    </comment>
    <comment ref="Q29" authorId="0">
      <text>
        <r>
          <rPr>
            <b/>
            <sz val="9"/>
            <color indexed="81"/>
            <rFont val="宋体"/>
            <family val="2"/>
          </rPr>
          <t>#Input("榆炼_能源_能耗日报表_干馏瓦斯_酸性水汽提",":key{{dw}}")</t>
        </r>
      </text>
    </comment>
    <comment ref="R29" authorId="0">
      <text>
        <r>
          <rPr>
            <b/>
            <sz val="9"/>
            <color indexed="81"/>
            <rFont val="宋体"/>
            <family val="2"/>
          </rPr>
          <t>#Input("榆炼_能源_能耗日报表_天然气_酸性水汽提",":key{{dw}}")</t>
        </r>
      </text>
    </comment>
    <comment ref="S29" authorId="0">
      <text>
        <r>
          <rPr>
            <b/>
            <sz val="9"/>
            <color indexed="81"/>
            <rFont val="宋体"/>
            <family val="2"/>
          </rPr>
          <t>#Input("榆炼_能源_能耗日报表_催化烧焦_酸性水汽提",":key{{dw}}")</t>
        </r>
      </text>
    </comment>
    <comment ref="T29" authorId="0">
      <text>
        <r>
          <rPr>
            <b/>
            <sz val="9"/>
            <color indexed="81"/>
            <rFont val="宋体"/>
            <family val="2"/>
          </rPr>
          <t>#Input("榆炼_能源_能耗日报表_热进热出_酸性水汽提",":key{{dw}}")</t>
        </r>
      </text>
    </comment>
    <comment ref="U29" authorId="0">
      <text>
        <r>
          <rPr>
            <b/>
            <sz val="9"/>
            <color indexed="81"/>
            <rFont val="宋体"/>
            <family val="2"/>
          </rPr>
          <t>#Input("榆炼_能源_能耗日报表_加工量_酸性水汽提",":key{{dw}}")</t>
        </r>
      </text>
    </comment>
    <comment ref="D30" authorId="0">
      <text>
        <r>
          <rPr>
            <b/>
            <sz val="9"/>
            <color indexed="81"/>
            <rFont val="宋体"/>
            <family val="2"/>
          </rPr>
          <t>#Input("榆炼_能源_能耗日报表_新鲜水_液化气脱硫、脱硫醇",":key{{dw}}")</t>
        </r>
      </text>
    </comment>
    <comment ref="E30" authorId="0">
      <text>
        <r>
          <rPr>
            <b/>
            <sz val="9"/>
            <color indexed="81"/>
            <rFont val="宋体"/>
            <family val="2"/>
          </rPr>
          <t>#Input("榆炼_能源_能耗日报表_循环水_液化气脱硫、脱硫醇",":key{{dw}}")</t>
        </r>
      </text>
    </comment>
    <comment ref="F30" authorId="0">
      <text>
        <r>
          <rPr>
            <b/>
            <sz val="9"/>
            <color indexed="81"/>
            <rFont val="宋体"/>
            <family val="2"/>
          </rPr>
          <t>#Input("榆炼_能源_能耗日报表_软化水_液化气脱硫、脱硫醇",":key{{dw}}")</t>
        </r>
      </text>
    </comment>
    <comment ref="G30" authorId="0">
      <text>
        <r>
          <rPr>
            <b/>
            <sz val="9"/>
            <color indexed="81"/>
            <rFont val="宋体"/>
            <family val="2"/>
          </rPr>
          <t>#Input("榆炼_能源_能耗日报表_除盐水_液化气脱硫、脱硫醇",":key{{dw}}")</t>
        </r>
      </text>
    </comment>
    <comment ref="H30" authorId="0">
      <text>
        <r>
          <rPr>
            <b/>
            <sz val="9"/>
            <color indexed="81"/>
            <rFont val="宋体"/>
            <family val="2"/>
          </rPr>
          <t>#Input("榆炼_能源_能耗日报表_除氧水_液化气脱硫、脱硫醇",":key{{dw}}")</t>
        </r>
      </text>
    </comment>
    <comment ref="I30" authorId="0">
      <text>
        <r>
          <rPr>
            <b/>
            <sz val="9"/>
            <color indexed="81"/>
            <rFont val="宋体"/>
            <family val="2"/>
          </rPr>
          <t>#Input("榆炼_能源_能耗日报表_中水_液化气脱硫、脱硫醇",":key{{dw}}")</t>
        </r>
      </text>
    </comment>
    <comment ref="J30" authorId="0">
      <text>
        <r>
          <rPr>
            <b/>
            <sz val="9"/>
            <color indexed="81"/>
            <rFont val="宋体"/>
            <family val="2"/>
          </rPr>
          <t>#Input("榆炼_能源_能耗日报表_电_液化气脱硫、脱硫醇",":key{{dw}}")</t>
        </r>
      </text>
    </comment>
    <comment ref="K30" authorId="0">
      <text>
        <r>
          <rPr>
            <b/>
            <sz val="9"/>
            <color indexed="81"/>
            <rFont val="宋体"/>
            <family val="2"/>
          </rPr>
          <t>#Input("榆炼_能源_能耗日报表_3.5MPa蒸汽_液化气脱硫、脱硫醇",":key{{dw}}")</t>
        </r>
      </text>
    </comment>
    <comment ref="L30" authorId="0">
      <text>
        <r>
          <rPr>
            <b/>
            <sz val="9"/>
            <color indexed="81"/>
            <rFont val="宋体"/>
            <family val="2"/>
          </rPr>
          <t>#Input("榆炼_能源_能耗日报表_1.0MPa蒸汽_液化气脱硫、脱硫醇",":key{{dw}}")</t>
        </r>
      </text>
    </comment>
    <comment ref="M30" authorId="0">
      <text>
        <r>
          <rPr>
            <b/>
            <sz val="9"/>
            <color indexed="81"/>
            <rFont val="宋体"/>
            <family val="2"/>
          </rPr>
          <t>#Input("榆炼_能源_能耗日报表_燃料油_液化气脱硫、脱硫醇",":key{{dw}}")</t>
        </r>
      </text>
    </comment>
    <comment ref="N30" authorId="0">
      <text>
        <r>
          <rPr>
            <b/>
            <sz val="9"/>
            <color indexed="81"/>
            <rFont val="宋体"/>
            <family val="2"/>
          </rPr>
          <t>#Input("榆炼_能源_能耗日报表_燃料气_液化气脱硫、脱硫醇",":key{{dw}}")</t>
        </r>
      </text>
    </comment>
    <comment ref="O30" authorId="0">
      <text>
        <r>
          <rPr>
            <b/>
            <sz val="9"/>
            <color indexed="81"/>
            <rFont val="宋体"/>
            <family val="2"/>
          </rPr>
          <t>#Input("榆炼_能源_能耗日报表_制氢燃料_液化气脱硫、脱硫醇",":key{{dw}}")</t>
        </r>
      </text>
    </comment>
    <comment ref="P30" authorId="0">
      <text>
        <r>
          <rPr>
            <b/>
            <sz val="9"/>
            <color indexed="81"/>
            <rFont val="宋体"/>
            <family val="2"/>
          </rPr>
          <t>#Input("榆炼_能源_能耗日报表_煤_液化气脱硫、脱硫醇",":key{{dw}}")</t>
        </r>
      </text>
    </comment>
    <comment ref="Q30" authorId="0">
      <text>
        <r>
          <rPr>
            <b/>
            <sz val="9"/>
            <color indexed="81"/>
            <rFont val="宋体"/>
            <family val="2"/>
          </rPr>
          <t>#Input("榆炼_能源_能耗日报表_干馏瓦斯_液化气脱硫、脱硫醇",":key{{dw}}")</t>
        </r>
      </text>
    </comment>
    <comment ref="R30" authorId="0">
      <text>
        <r>
          <rPr>
            <b/>
            <sz val="9"/>
            <color indexed="81"/>
            <rFont val="宋体"/>
            <family val="2"/>
          </rPr>
          <t>#Input("榆炼_能源_能耗日报表_天然气_液化气脱硫、脱硫醇",":key{{dw}}")</t>
        </r>
      </text>
    </comment>
    <comment ref="S30" authorId="0">
      <text>
        <r>
          <rPr>
            <b/>
            <sz val="9"/>
            <color indexed="81"/>
            <rFont val="宋体"/>
            <family val="2"/>
          </rPr>
          <t>#Input("榆炼_能源_能耗日报表_催化烧焦_液化气脱硫、脱硫醇",":key{{dw}}")</t>
        </r>
      </text>
    </comment>
    <comment ref="T30" authorId="0">
      <text>
        <r>
          <rPr>
            <b/>
            <sz val="9"/>
            <color indexed="81"/>
            <rFont val="宋体"/>
            <family val="2"/>
          </rPr>
          <t>#Input("榆炼_能源_能耗日报表_热进热出_液化气脱硫、脱硫醇",":key{{dw}}")</t>
        </r>
      </text>
    </comment>
    <comment ref="U30" authorId="0">
      <text>
        <r>
          <rPr>
            <b/>
            <sz val="9"/>
            <color indexed="81"/>
            <rFont val="宋体"/>
            <family val="2"/>
          </rPr>
          <t>#Input("榆炼_能源_能耗日报表_加工量_液化气脱硫、脱硫醇",":key{{dw}}")</t>
        </r>
      </text>
    </comment>
    <comment ref="D31" authorId="0">
      <text>
        <r>
          <rPr>
            <b/>
            <sz val="9"/>
            <color indexed="81"/>
            <rFont val="宋体"/>
            <family val="2"/>
          </rPr>
          <t>#Input("榆炼_能源_能耗日报表_新鲜水_汽油脱硫醇",":key{{dw}}")</t>
        </r>
      </text>
    </comment>
    <comment ref="E31" authorId="0">
      <text>
        <r>
          <rPr>
            <b/>
            <sz val="9"/>
            <color indexed="81"/>
            <rFont val="宋体"/>
            <family val="2"/>
          </rPr>
          <t>#Input("榆炼_能源_能耗日报表_循环水_汽油脱硫醇",":key{{dw}}")</t>
        </r>
      </text>
    </comment>
    <comment ref="F31" authorId="0">
      <text>
        <r>
          <rPr>
            <b/>
            <sz val="9"/>
            <color indexed="81"/>
            <rFont val="宋体"/>
            <family val="2"/>
          </rPr>
          <t>#Input("榆炼_能源_能耗日报表_软化水_汽油脱硫醇",":key{{dw}}")</t>
        </r>
      </text>
    </comment>
    <comment ref="G31" authorId="0">
      <text>
        <r>
          <rPr>
            <b/>
            <sz val="9"/>
            <color indexed="81"/>
            <rFont val="宋体"/>
            <family val="2"/>
          </rPr>
          <t>#Input("榆炼_能源_能耗日报表_除盐水_汽油脱硫醇",":key{{dw}}")</t>
        </r>
      </text>
    </comment>
    <comment ref="H31" authorId="0">
      <text>
        <r>
          <rPr>
            <b/>
            <sz val="9"/>
            <color indexed="81"/>
            <rFont val="宋体"/>
            <family val="2"/>
          </rPr>
          <t>#Input("榆炼_能源_能耗日报表_除氧水_汽油脱硫醇",":key{{dw}}")</t>
        </r>
      </text>
    </comment>
    <comment ref="I31" authorId="0">
      <text>
        <r>
          <rPr>
            <b/>
            <sz val="9"/>
            <color indexed="81"/>
            <rFont val="宋体"/>
            <family val="2"/>
          </rPr>
          <t>#Input("榆炼_能源_能耗日报表_中水_汽油脱硫醇",":key{{dw}}")</t>
        </r>
      </text>
    </comment>
    <comment ref="J31" authorId="0">
      <text>
        <r>
          <rPr>
            <b/>
            <sz val="9"/>
            <color indexed="81"/>
            <rFont val="宋体"/>
            <family val="2"/>
          </rPr>
          <t>#Input("榆炼_能源_能耗日报表_电_汽油脱硫醇",":key{{dw}}")</t>
        </r>
      </text>
    </comment>
    <comment ref="K31" authorId="0">
      <text>
        <r>
          <rPr>
            <b/>
            <sz val="9"/>
            <color indexed="81"/>
            <rFont val="宋体"/>
            <family val="2"/>
          </rPr>
          <t>#Input("榆炼_能源_能耗日报表_3.5MPa蒸汽_汽油脱硫醇",":key{{dw}}")</t>
        </r>
      </text>
    </comment>
    <comment ref="L31" authorId="0">
      <text>
        <r>
          <rPr>
            <b/>
            <sz val="9"/>
            <color indexed="81"/>
            <rFont val="宋体"/>
            <family val="2"/>
          </rPr>
          <t>#Input("榆炼_能源_能耗日报表_1.0MPa蒸汽_汽油脱硫醇",":key{{dw}}")</t>
        </r>
      </text>
    </comment>
    <comment ref="M31" authorId="0">
      <text>
        <r>
          <rPr>
            <b/>
            <sz val="9"/>
            <color indexed="81"/>
            <rFont val="宋体"/>
            <family val="2"/>
          </rPr>
          <t>#Input("榆炼_能源_能耗日报表_燃料油_汽油脱硫醇",":key{{dw}}")</t>
        </r>
      </text>
    </comment>
    <comment ref="N31" authorId="0">
      <text>
        <r>
          <rPr>
            <b/>
            <sz val="9"/>
            <color indexed="81"/>
            <rFont val="宋体"/>
            <family val="2"/>
          </rPr>
          <t>#Input("榆炼_能源_能耗日报表_燃料气_汽油脱硫醇",":key{{dw}}")</t>
        </r>
      </text>
    </comment>
    <comment ref="O31" authorId="0">
      <text>
        <r>
          <rPr>
            <b/>
            <sz val="9"/>
            <color indexed="81"/>
            <rFont val="宋体"/>
            <family val="2"/>
          </rPr>
          <t>#Input("榆炼_能源_能耗日报表_制氢燃料_汽油脱硫醇",":key{{dw}}")</t>
        </r>
      </text>
    </comment>
    <comment ref="P31" authorId="0">
      <text>
        <r>
          <rPr>
            <b/>
            <sz val="9"/>
            <color indexed="81"/>
            <rFont val="宋体"/>
            <family val="2"/>
          </rPr>
          <t>#Input("榆炼_能源_能耗日报表_煤_汽油脱硫醇",":key{{dw}}")</t>
        </r>
      </text>
    </comment>
    <comment ref="Q31" authorId="0">
      <text>
        <r>
          <rPr>
            <b/>
            <sz val="9"/>
            <color indexed="81"/>
            <rFont val="宋体"/>
            <family val="2"/>
          </rPr>
          <t>#Input("榆炼_能源_能耗日报表_干馏瓦斯_汽油脱硫醇",":key{{dw}}")</t>
        </r>
      </text>
    </comment>
    <comment ref="R31" authorId="0">
      <text>
        <r>
          <rPr>
            <b/>
            <sz val="9"/>
            <color indexed="81"/>
            <rFont val="宋体"/>
            <family val="2"/>
          </rPr>
          <t>#Input("榆炼_能源_能耗日报表_天然气_汽油脱硫醇",":key{{dw}}")</t>
        </r>
      </text>
    </comment>
    <comment ref="S31" authorId="0">
      <text>
        <r>
          <rPr>
            <b/>
            <sz val="9"/>
            <color indexed="81"/>
            <rFont val="宋体"/>
            <family val="2"/>
          </rPr>
          <t>#Input("榆炼_能源_能耗日报表_催化烧焦_汽油脱硫醇",":key{{dw}}")</t>
        </r>
      </text>
    </comment>
    <comment ref="T31" authorId="0">
      <text>
        <r>
          <rPr>
            <b/>
            <sz val="9"/>
            <color indexed="81"/>
            <rFont val="宋体"/>
            <family val="2"/>
          </rPr>
          <t>#Input("榆炼_能源_能耗日报表_热进热出_汽油脱硫醇",":key{{dw}}")</t>
        </r>
      </text>
    </comment>
    <comment ref="U31" authorId="0">
      <text>
        <r>
          <rPr>
            <b/>
            <sz val="9"/>
            <color indexed="81"/>
            <rFont val="宋体"/>
            <family val="2"/>
          </rPr>
          <t>#Input("榆炼_能源_能耗日报表_加工量_汽油脱硫醇",":key{{dw}}")</t>
        </r>
      </text>
    </comment>
    <comment ref="E32" authorId="0">
      <text>
        <r>
          <rPr>
            <b/>
            <sz val="9"/>
            <color indexed="81"/>
            <rFont val="宋体"/>
            <family val="2"/>
          </rPr>
          <t>#Input("榆炼_能源_能耗日报表_循环水_催化溶剂再生",":key{{dw}}")</t>
        </r>
      </text>
    </comment>
    <comment ref="F32" authorId="0">
      <text>
        <r>
          <rPr>
            <b/>
            <sz val="9"/>
            <color indexed="81"/>
            <rFont val="宋体"/>
            <family val="2"/>
          </rPr>
          <t>#Input("榆炼_能源_能耗日报表_软化水_催化溶剂再生",":key{{dw}}")</t>
        </r>
      </text>
    </comment>
    <comment ref="G32" authorId="0">
      <text>
        <r>
          <rPr>
            <b/>
            <sz val="9"/>
            <color indexed="81"/>
            <rFont val="宋体"/>
            <family val="2"/>
          </rPr>
          <t>#Input("榆炼_能源_能耗日报表_除盐水_催化溶剂再生",":key{{dw}}")</t>
        </r>
      </text>
    </comment>
    <comment ref="H32" authorId="0">
      <text>
        <r>
          <rPr>
            <b/>
            <sz val="9"/>
            <color indexed="81"/>
            <rFont val="宋体"/>
            <family val="2"/>
          </rPr>
          <t>#Input("榆炼_能源_能耗日报表_除氧水_催化溶剂再生",":key{{dw}}")</t>
        </r>
      </text>
    </comment>
    <comment ref="I32" authorId="0">
      <text>
        <r>
          <rPr>
            <b/>
            <sz val="9"/>
            <color indexed="81"/>
            <rFont val="宋体"/>
            <family val="2"/>
          </rPr>
          <t>#Input("榆炼_能源_能耗日报表_中水_催化溶剂再生",":key{{dw}}")</t>
        </r>
      </text>
    </comment>
    <comment ref="J32" authorId="0">
      <text>
        <r>
          <rPr>
            <b/>
            <sz val="9"/>
            <color indexed="81"/>
            <rFont val="宋体"/>
            <family val="2"/>
          </rPr>
          <t>#Input("榆炼_能源_能耗日报表_电_催化溶剂再生",":key{{dw}}")</t>
        </r>
      </text>
    </comment>
    <comment ref="K32" authorId="0">
      <text>
        <r>
          <rPr>
            <b/>
            <sz val="9"/>
            <color indexed="81"/>
            <rFont val="宋体"/>
            <family val="2"/>
          </rPr>
          <t>#Input("榆炼_能源_能耗日报表_3.5MPa蒸汽_催化溶剂再生",":key{{dw}}")</t>
        </r>
      </text>
    </comment>
    <comment ref="L32" authorId="0">
      <text>
        <r>
          <rPr>
            <b/>
            <sz val="9"/>
            <color indexed="81"/>
            <rFont val="宋体"/>
            <family val="2"/>
          </rPr>
          <t>#Input("榆炼_能源_能耗日报表_1.0MPa蒸汽_催化溶剂再生",":key{{dw}}")</t>
        </r>
      </text>
    </comment>
    <comment ref="M32" authorId="0">
      <text>
        <r>
          <rPr>
            <b/>
            <sz val="9"/>
            <color indexed="81"/>
            <rFont val="宋体"/>
            <family val="2"/>
          </rPr>
          <t>#Input("榆炼_能源_能耗日报表_燃料油_催化溶剂再生",":key{{dw}}")</t>
        </r>
      </text>
    </comment>
    <comment ref="N32" authorId="0">
      <text>
        <r>
          <rPr>
            <b/>
            <sz val="9"/>
            <color indexed="81"/>
            <rFont val="宋体"/>
            <family val="2"/>
          </rPr>
          <t>#Input("榆炼_能源_能耗日报表_燃料气_催化溶剂再生",":key{{dw}}")</t>
        </r>
      </text>
    </comment>
    <comment ref="O32" authorId="0">
      <text>
        <r>
          <rPr>
            <b/>
            <sz val="9"/>
            <color indexed="81"/>
            <rFont val="宋体"/>
            <family val="2"/>
          </rPr>
          <t>#Input("榆炼_能源_能耗日报表_制氢燃料_催化溶剂再生",":key{{dw}}")</t>
        </r>
      </text>
    </comment>
    <comment ref="P32" authorId="0">
      <text>
        <r>
          <rPr>
            <b/>
            <sz val="9"/>
            <color indexed="81"/>
            <rFont val="宋体"/>
            <family val="2"/>
          </rPr>
          <t>#Input("榆炼_能源_能耗日报表_煤_催化溶剂再生",":key{{dw}}")</t>
        </r>
      </text>
    </comment>
    <comment ref="Q32" authorId="0">
      <text>
        <r>
          <rPr>
            <b/>
            <sz val="9"/>
            <color indexed="81"/>
            <rFont val="宋体"/>
            <family val="2"/>
          </rPr>
          <t>#Input("榆炼_能源_能耗日报表_干馏瓦斯_催化溶剂再生",":key{{dw}}")</t>
        </r>
      </text>
    </comment>
    <comment ref="R32" authorId="0">
      <text>
        <r>
          <rPr>
            <b/>
            <sz val="9"/>
            <color indexed="81"/>
            <rFont val="宋体"/>
            <family val="2"/>
          </rPr>
          <t>#Input("榆炼_能源_能耗日报表_天然气_催化溶剂再生",":key{{dw}}")</t>
        </r>
      </text>
    </comment>
    <comment ref="S32" authorId="0">
      <text>
        <r>
          <rPr>
            <b/>
            <sz val="9"/>
            <color indexed="81"/>
            <rFont val="宋体"/>
            <family val="2"/>
          </rPr>
          <t>#Input("榆炼_能源_能耗日报表_催化烧焦_催化溶剂再生",":key{{dw}}")</t>
        </r>
      </text>
    </comment>
    <comment ref="T32" authorId="0">
      <text>
        <r>
          <rPr>
            <b/>
            <sz val="9"/>
            <color indexed="81"/>
            <rFont val="宋体"/>
            <family val="2"/>
          </rPr>
          <t>#Input("榆炼_能源_能耗日报表_热进热出_催化溶剂再生",":key{{dw}}")</t>
        </r>
      </text>
    </comment>
    <comment ref="U32" authorId="0">
      <text>
        <r>
          <rPr>
            <b/>
            <sz val="9"/>
            <color indexed="81"/>
            <rFont val="宋体"/>
            <family val="2"/>
          </rPr>
          <t>#Input("榆炼_能源_能耗日报表_加工量_催化溶剂再生",":key{{dw}}")</t>
        </r>
      </text>
    </comment>
    <comment ref="E33" authorId="0">
      <text>
        <r>
          <rPr>
            <b/>
            <sz val="9"/>
            <color indexed="81"/>
            <rFont val="宋体"/>
            <family val="2"/>
          </rPr>
          <t>#Input("榆炼_能源_能耗日报表_循环水_20万吨/年苯抽提(芳烃)",":key{{dw}}")</t>
        </r>
      </text>
    </comment>
    <comment ref="F33" authorId="0">
      <text>
        <r>
          <rPr>
            <b/>
            <sz val="9"/>
            <color indexed="81"/>
            <rFont val="宋体"/>
            <family val="2"/>
          </rPr>
          <t>#Input("榆炼_能源_能耗日报表_软化水_20万吨/年苯抽提(芳烃)",":key{{dw}}")</t>
        </r>
      </text>
    </comment>
    <comment ref="G33" authorId="0">
      <text>
        <r>
          <rPr>
            <b/>
            <sz val="9"/>
            <color indexed="81"/>
            <rFont val="宋体"/>
            <family val="2"/>
          </rPr>
          <t>#Input("榆炼_能源_能耗日报表_除盐水_20万吨/年苯抽提(芳烃)",":key{{dw}}")</t>
        </r>
      </text>
    </comment>
    <comment ref="H33" authorId="0">
      <text>
        <r>
          <rPr>
            <b/>
            <sz val="9"/>
            <color indexed="81"/>
            <rFont val="宋体"/>
            <family val="2"/>
          </rPr>
          <t>#Input("榆炼_能源_能耗日报表_除氧水_20万吨/年苯抽提(芳烃)",":key{{dw}}")</t>
        </r>
      </text>
    </comment>
    <comment ref="I33" authorId="0">
      <text>
        <r>
          <rPr>
            <b/>
            <sz val="9"/>
            <color indexed="81"/>
            <rFont val="宋体"/>
            <family val="2"/>
          </rPr>
          <t>#Input("榆炼_能源_能耗日报表_中水_20万吨/年苯抽提(芳烃)",":key{{dw}}")</t>
        </r>
      </text>
    </comment>
    <comment ref="J33" authorId="0">
      <text>
        <r>
          <rPr>
            <b/>
            <sz val="9"/>
            <color indexed="81"/>
            <rFont val="宋体"/>
            <family val="2"/>
          </rPr>
          <t>#Input("榆炼_能源_能耗日报表_电_20万吨/年苯抽提(芳烃)",":key{{dw}}")</t>
        </r>
      </text>
    </comment>
    <comment ref="K33" authorId="0">
      <text>
        <r>
          <rPr>
            <b/>
            <sz val="9"/>
            <color indexed="81"/>
            <rFont val="宋体"/>
            <family val="2"/>
          </rPr>
          <t>#Input("榆炼_能源_能耗日报表_3.5MPa蒸汽_20万吨/年苯抽提(芳烃)",":key{{dw}}")</t>
        </r>
      </text>
    </comment>
    <comment ref="L33" authorId="0">
      <text>
        <r>
          <rPr>
            <b/>
            <sz val="9"/>
            <color indexed="81"/>
            <rFont val="宋体"/>
            <family val="2"/>
          </rPr>
          <t>#Input("榆炼_能源_能耗日报表_1.0MPa蒸汽_20万吨/年苯抽提(芳烃)",":key{{dw}}")</t>
        </r>
      </text>
    </comment>
    <comment ref="M33" authorId="0">
      <text>
        <r>
          <rPr>
            <b/>
            <sz val="9"/>
            <color indexed="81"/>
            <rFont val="宋体"/>
            <family val="2"/>
          </rPr>
          <t>#Input("榆炼_能源_能耗日报表_燃料油_20万吨/年苯抽提(芳烃)",":key{{dw}}")</t>
        </r>
      </text>
    </comment>
    <comment ref="N33" authorId="0">
      <text>
        <r>
          <rPr>
            <b/>
            <sz val="9"/>
            <color indexed="81"/>
            <rFont val="宋体"/>
            <family val="2"/>
          </rPr>
          <t>#Input("榆炼_能源_能耗日报表_燃料气_20万吨/年苯抽提(芳烃)",":key{{dw}}")</t>
        </r>
      </text>
    </comment>
    <comment ref="O33" authorId="0">
      <text>
        <r>
          <rPr>
            <b/>
            <sz val="9"/>
            <color indexed="81"/>
            <rFont val="宋体"/>
            <family val="2"/>
          </rPr>
          <t>#Input("榆炼_能源_能耗日报表_制氢燃料_20万吨/年苯抽提(芳烃)",":key{{dw}}")</t>
        </r>
      </text>
    </comment>
    <comment ref="P33" authorId="0">
      <text>
        <r>
          <rPr>
            <b/>
            <sz val="9"/>
            <color indexed="81"/>
            <rFont val="宋体"/>
            <family val="2"/>
          </rPr>
          <t>#Input("榆炼_能源_能耗日报表_煤_20万吨/年苯抽提(芳烃)",":key{{dw}}")</t>
        </r>
      </text>
    </comment>
    <comment ref="Q33" authorId="0">
      <text>
        <r>
          <rPr>
            <b/>
            <sz val="9"/>
            <color indexed="81"/>
            <rFont val="宋体"/>
            <family val="2"/>
          </rPr>
          <t>#Input("榆炼_能源_能耗日报表_干馏瓦斯_20万吨/年苯抽提(芳烃)",":key{{dw}}")</t>
        </r>
      </text>
    </comment>
    <comment ref="R33" authorId="0">
      <text>
        <r>
          <rPr>
            <b/>
            <sz val="9"/>
            <color indexed="81"/>
            <rFont val="宋体"/>
            <family val="2"/>
          </rPr>
          <t>#Input("榆炼_能源_能耗日报表_天然气_20万吨/年苯抽提(芳烃)",":key{{dw}}")</t>
        </r>
      </text>
    </comment>
    <comment ref="S33" authorId="0">
      <text>
        <r>
          <rPr>
            <b/>
            <sz val="9"/>
            <color indexed="81"/>
            <rFont val="宋体"/>
            <family val="2"/>
          </rPr>
          <t>#Input("榆炼_能源_能耗日报表_催化烧焦_20万吨/年苯抽提(芳烃)",":key{{dw}}")</t>
        </r>
      </text>
    </comment>
    <comment ref="T33" authorId="0">
      <text>
        <r>
          <rPr>
            <b/>
            <sz val="9"/>
            <color indexed="81"/>
            <rFont val="宋体"/>
            <family val="2"/>
          </rPr>
          <t>#Input("榆炼_能源_能耗日报表_热进热出_20万吨/年苯抽提(芳烃)",":key{{dw}}")</t>
        </r>
      </text>
    </comment>
    <comment ref="U33" authorId="0">
      <text>
        <r>
          <rPr>
            <b/>
            <sz val="9"/>
            <color indexed="81"/>
            <rFont val="宋体"/>
            <family val="2"/>
          </rPr>
          <t>#Input("榆炼_能源_能耗日报表_加工量_20万吨/年苯抽提(芳烃)",":key{{dw}}")</t>
        </r>
      </text>
    </comment>
    <comment ref="E34" authorId="0">
      <text>
        <r>
          <rPr>
            <b/>
            <sz val="9"/>
            <color indexed="81"/>
            <rFont val="宋体"/>
            <family val="2"/>
          </rPr>
          <t>#Input("榆炼_能源_能耗日报表_循环水_90万吨/年汽油加氢",":key{{dw}}")</t>
        </r>
      </text>
    </comment>
    <comment ref="F34" authorId="0">
      <text>
        <r>
          <rPr>
            <b/>
            <sz val="9"/>
            <color indexed="81"/>
            <rFont val="宋体"/>
            <family val="2"/>
          </rPr>
          <t>#Input("榆炼_能源_能耗日报表_软化水_90万吨/年汽油加氢",":key{{dw}}")</t>
        </r>
      </text>
    </comment>
    <comment ref="G34" authorId="0">
      <text>
        <r>
          <rPr>
            <b/>
            <sz val="9"/>
            <color indexed="81"/>
            <rFont val="宋体"/>
            <family val="2"/>
          </rPr>
          <t>#Input("榆炼_能源_能耗日报表_除盐水_90万吨/年汽油加氢",":key{{dw}}")</t>
        </r>
      </text>
    </comment>
    <comment ref="H34" authorId="0">
      <text>
        <r>
          <rPr>
            <b/>
            <sz val="9"/>
            <color indexed="81"/>
            <rFont val="宋体"/>
            <family val="2"/>
          </rPr>
          <t>#Input("榆炼_能源_能耗日报表_除氧水_90万吨/年汽油加氢",":key{{dw}}")</t>
        </r>
      </text>
    </comment>
    <comment ref="I34" authorId="0">
      <text>
        <r>
          <rPr>
            <b/>
            <sz val="9"/>
            <color indexed="81"/>
            <rFont val="宋体"/>
            <family val="2"/>
          </rPr>
          <t>#Input("榆炼_能源_能耗日报表_中水_90万吨/年汽油加氢",":key{{dw}}")</t>
        </r>
      </text>
    </comment>
    <comment ref="J34" authorId="0">
      <text>
        <r>
          <rPr>
            <b/>
            <sz val="9"/>
            <color indexed="81"/>
            <rFont val="宋体"/>
            <family val="2"/>
          </rPr>
          <t>#Input("榆炼_能源_能耗日报表_电_90万吨/年汽油加氢",":key{{dw}}")</t>
        </r>
      </text>
    </comment>
    <comment ref="K34" authorId="0">
      <text>
        <r>
          <rPr>
            <b/>
            <sz val="9"/>
            <color indexed="81"/>
            <rFont val="宋体"/>
            <family val="2"/>
          </rPr>
          <t>#Input("榆炼_能源_能耗日报表_3.5MPa蒸汽_90万吨/年汽油加氢",":key{{dw}}")</t>
        </r>
      </text>
    </comment>
    <comment ref="L34" authorId="0">
      <text>
        <r>
          <rPr>
            <b/>
            <sz val="9"/>
            <color indexed="81"/>
            <rFont val="宋体"/>
            <family val="2"/>
          </rPr>
          <t>#Input("榆炼_能源_能耗日报表_1.0MPa蒸汽_90万吨/年汽油加氢",":key{{dw}}")</t>
        </r>
      </text>
    </comment>
    <comment ref="M34" authorId="0">
      <text>
        <r>
          <rPr>
            <b/>
            <sz val="9"/>
            <color indexed="81"/>
            <rFont val="宋体"/>
            <family val="2"/>
          </rPr>
          <t>#Input("榆炼_能源_能耗日报表_燃料油_90万吨/年汽油加氢",":key{{dw}}")</t>
        </r>
      </text>
    </comment>
    <comment ref="N34" authorId="0">
      <text>
        <r>
          <rPr>
            <b/>
            <sz val="9"/>
            <color indexed="81"/>
            <rFont val="宋体"/>
            <family val="2"/>
          </rPr>
          <t>#Input("榆炼_能源_能耗日报表_燃料气_90万吨/年汽油加氢",":key{{dw}}")</t>
        </r>
      </text>
    </comment>
    <comment ref="O34" authorId="0">
      <text>
        <r>
          <rPr>
            <b/>
            <sz val="9"/>
            <color indexed="81"/>
            <rFont val="宋体"/>
            <family val="2"/>
          </rPr>
          <t>#Input("榆炼_能源_能耗日报表_制氢燃料_90万吨/年汽油加氢",":key{{dw}}")</t>
        </r>
      </text>
    </comment>
    <comment ref="P34" authorId="0">
      <text>
        <r>
          <rPr>
            <b/>
            <sz val="9"/>
            <color indexed="81"/>
            <rFont val="宋体"/>
            <family val="2"/>
          </rPr>
          <t>#Input("榆炼_能源_能耗日报表_煤_90万吨/年汽油加氢",":key{{dw}}")</t>
        </r>
      </text>
    </comment>
    <comment ref="Q34" authorId="0">
      <text>
        <r>
          <rPr>
            <b/>
            <sz val="9"/>
            <color indexed="81"/>
            <rFont val="宋体"/>
            <family val="2"/>
          </rPr>
          <t>#Input("榆炼_能源_能耗日报表_干馏瓦斯_90万吨/年汽油加氢",":key{{dw}}")</t>
        </r>
      </text>
    </comment>
    <comment ref="R34" authorId="0">
      <text>
        <r>
          <rPr>
            <b/>
            <sz val="9"/>
            <color indexed="81"/>
            <rFont val="宋体"/>
            <family val="2"/>
          </rPr>
          <t>#Input("榆炼_能源_能耗日报表_天然气_90万吨/年汽油加氢",":key{{dw}}")</t>
        </r>
      </text>
    </comment>
    <comment ref="S34" authorId="0">
      <text>
        <r>
          <rPr>
            <b/>
            <sz val="9"/>
            <color indexed="81"/>
            <rFont val="宋体"/>
            <family val="2"/>
          </rPr>
          <t>#Input("榆炼_能源_能耗日报表_催化烧焦_90万吨/年汽油加氢",":key{{dw}}")</t>
        </r>
      </text>
    </comment>
    <comment ref="T34" authorId="0">
      <text>
        <r>
          <rPr>
            <b/>
            <sz val="9"/>
            <color indexed="81"/>
            <rFont val="宋体"/>
            <family val="2"/>
          </rPr>
          <t>#Input("榆炼_能源_能耗日报表_热进热出_90万吨/年汽油加氢",":key{{dw}}")</t>
        </r>
      </text>
    </comment>
    <comment ref="U34" authorId="0">
      <text>
        <r>
          <rPr>
            <b/>
            <sz val="9"/>
            <color indexed="81"/>
            <rFont val="宋体"/>
            <family val="2"/>
          </rPr>
          <t>#Input("榆炼_能源_能耗日报表_加工量_90万吨/年汽油加氢",":key{{dw}}")</t>
        </r>
      </text>
    </comment>
    <comment ref="E35" authorId="0">
      <text>
        <r>
          <rPr>
            <b/>
            <sz val="9"/>
            <color indexed="81"/>
            <rFont val="宋体"/>
            <family val="2"/>
          </rPr>
          <t>#Input("榆炼_能源_能耗日报表_循环水_200万吨/年柴油加氢",":key{{dw}}")</t>
        </r>
      </text>
    </comment>
    <comment ref="F35" authorId="0">
      <text>
        <r>
          <rPr>
            <b/>
            <sz val="9"/>
            <color indexed="81"/>
            <rFont val="宋体"/>
            <family val="2"/>
          </rPr>
          <t>#Input("榆炼_能源_能耗日报表_软化水_200万吨/年柴油加氢",":key{{dw}}")</t>
        </r>
      </text>
    </comment>
    <comment ref="G35" authorId="0">
      <text>
        <r>
          <rPr>
            <b/>
            <sz val="9"/>
            <color indexed="81"/>
            <rFont val="宋体"/>
            <family val="2"/>
          </rPr>
          <t>#Input("榆炼_能源_能耗日报表_除盐水_200万吨/年柴油加氢",":key{{dw}}")</t>
        </r>
      </text>
    </comment>
    <comment ref="H35" authorId="0">
      <text>
        <r>
          <rPr>
            <b/>
            <sz val="9"/>
            <color indexed="81"/>
            <rFont val="宋体"/>
            <family val="2"/>
          </rPr>
          <t>#Input("榆炼_能源_能耗日报表_除氧水_200万吨/年柴油加氢",":key{{dw}}")</t>
        </r>
      </text>
    </comment>
    <comment ref="I35" authorId="0">
      <text>
        <r>
          <rPr>
            <b/>
            <sz val="9"/>
            <color indexed="81"/>
            <rFont val="宋体"/>
            <family val="2"/>
          </rPr>
          <t>#Input("榆炼_能源_能耗日报表_中水_200万吨/年柴油加氢",":key{{dw}}")</t>
        </r>
      </text>
    </comment>
    <comment ref="J35" authorId="0">
      <text>
        <r>
          <rPr>
            <b/>
            <sz val="9"/>
            <color indexed="81"/>
            <rFont val="宋体"/>
            <family val="2"/>
          </rPr>
          <t>#Input("榆炼_能源_能耗日报表_电_200万吨/年柴油加氢",":key{{dw}}")</t>
        </r>
      </text>
    </comment>
    <comment ref="K35" authorId="0">
      <text>
        <r>
          <rPr>
            <b/>
            <sz val="9"/>
            <color indexed="81"/>
            <rFont val="宋体"/>
            <family val="2"/>
          </rPr>
          <t>#Input("榆炼_能源_能耗日报表_3.5MPa蒸汽_200万吨/年柴油加氢",":key{{dw}}")</t>
        </r>
      </text>
    </comment>
    <comment ref="L35" authorId="0">
      <text>
        <r>
          <rPr>
            <b/>
            <sz val="9"/>
            <color indexed="81"/>
            <rFont val="宋体"/>
            <family val="2"/>
          </rPr>
          <t>#Input("榆炼_能源_能耗日报表_1.0MPa蒸汽_200万吨/年柴油加氢",":key{{dw}}")</t>
        </r>
      </text>
    </comment>
    <comment ref="M35" authorId="0">
      <text>
        <r>
          <rPr>
            <b/>
            <sz val="9"/>
            <color indexed="81"/>
            <rFont val="宋体"/>
            <family val="2"/>
          </rPr>
          <t>#Input("榆炼_能源_能耗日报表_燃料油_200万吨/年柴油加氢",":key{{dw}}")</t>
        </r>
      </text>
    </comment>
    <comment ref="N35" authorId="0">
      <text>
        <r>
          <rPr>
            <b/>
            <sz val="9"/>
            <color indexed="81"/>
            <rFont val="宋体"/>
            <family val="2"/>
          </rPr>
          <t>#Input("榆炼_能源_能耗日报表_燃料气_200万吨/年柴油加氢",":key{{dw}}")</t>
        </r>
      </text>
    </comment>
    <comment ref="O35" authorId="0">
      <text>
        <r>
          <rPr>
            <b/>
            <sz val="9"/>
            <color indexed="81"/>
            <rFont val="宋体"/>
            <family val="2"/>
          </rPr>
          <t>#Input("榆炼_能源_能耗日报表_制氢燃料_200万吨/年柴油加氢",":key{{dw}}")</t>
        </r>
      </text>
    </comment>
    <comment ref="P35" authorId="0">
      <text>
        <r>
          <rPr>
            <b/>
            <sz val="9"/>
            <color indexed="81"/>
            <rFont val="宋体"/>
            <family val="2"/>
          </rPr>
          <t>#Input("榆炼_能源_能耗日报表_煤_200万吨/年柴油加氢",":key{{dw}}")</t>
        </r>
      </text>
    </comment>
    <comment ref="Q35" authorId="0">
      <text>
        <r>
          <rPr>
            <b/>
            <sz val="9"/>
            <color indexed="81"/>
            <rFont val="宋体"/>
            <family val="2"/>
          </rPr>
          <t>#Input("榆炼_能源_能耗日报表_干馏瓦斯_200万吨/年柴油加氢",":key{{dw}}")</t>
        </r>
      </text>
    </comment>
    <comment ref="R35" authorId="0">
      <text>
        <r>
          <rPr>
            <b/>
            <sz val="9"/>
            <color indexed="81"/>
            <rFont val="宋体"/>
            <family val="2"/>
          </rPr>
          <t>#Input("榆炼_能源_能耗日报表_天然气_200万吨/年柴油加氢",":key{{dw}}")</t>
        </r>
      </text>
    </comment>
    <comment ref="S35" authorId="0">
      <text>
        <r>
          <rPr>
            <b/>
            <sz val="9"/>
            <color indexed="81"/>
            <rFont val="宋体"/>
            <family val="2"/>
          </rPr>
          <t>#Input("榆炼_能源_能耗日报表_催化烧焦_200万吨/年柴油加氢",":key{{dw}}")</t>
        </r>
      </text>
    </comment>
    <comment ref="T35" authorId="0">
      <text>
        <r>
          <rPr>
            <b/>
            <sz val="9"/>
            <color indexed="81"/>
            <rFont val="宋体"/>
            <family val="2"/>
          </rPr>
          <t>#Input("榆炼_能源_能耗日报表_热进热出_200万吨/年柴油加氢",":key{{dw}}")</t>
        </r>
      </text>
    </comment>
    <comment ref="U35" authorId="0">
      <text>
        <r>
          <rPr>
            <b/>
            <sz val="9"/>
            <color indexed="81"/>
            <rFont val="宋体"/>
            <family val="2"/>
          </rPr>
          <t>#Input("榆炼_能源_能耗日报表_加工量_200万吨/年柴油加氢",":key{{dw}}")</t>
        </r>
      </text>
    </comment>
    <comment ref="E36" authorId="0">
      <text>
        <r>
          <rPr>
            <b/>
            <sz val="9"/>
            <color indexed="81"/>
            <rFont val="宋体"/>
            <family val="2"/>
          </rPr>
          <t>#Input("榆炼_能源_能耗日报表_循环水_20万吨/年DCC裂解石脑油",":key{{dw}}")</t>
        </r>
      </text>
    </comment>
    <comment ref="F36" authorId="0">
      <text>
        <r>
          <rPr>
            <b/>
            <sz val="9"/>
            <color indexed="81"/>
            <rFont val="宋体"/>
            <family val="2"/>
          </rPr>
          <t>#Input("榆炼_能源_能耗日报表_软化水_20万吨/年DCC裂解石脑油",":key{{dw}}")</t>
        </r>
      </text>
    </comment>
    <comment ref="G36" authorId="0">
      <text>
        <r>
          <rPr>
            <b/>
            <sz val="9"/>
            <color indexed="81"/>
            <rFont val="宋体"/>
            <family val="2"/>
          </rPr>
          <t>#Input("榆炼_能源_能耗日报表_除盐水_20万吨/年DCC裂解石脑油",":key{{dw}}")</t>
        </r>
      </text>
    </comment>
    <comment ref="H36" authorId="0">
      <text>
        <r>
          <rPr>
            <b/>
            <sz val="9"/>
            <color indexed="81"/>
            <rFont val="宋体"/>
            <family val="2"/>
          </rPr>
          <t>#Input("榆炼_能源_能耗日报表_除氧水_20万吨/年DCC裂解石脑油",":key{{dw}}")</t>
        </r>
      </text>
    </comment>
    <comment ref="I36" authorId="0">
      <text>
        <r>
          <rPr>
            <b/>
            <sz val="9"/>
            <color indexed="81"/>
            <rFont val="宋体"/>
            <family val="2"/>
          </rPr>
          <t>#Input("榆炼_能源_能耗日报表_中水_20万吨/年DCC裂解石脑油",":key{{dw}}")</t>
        </r>
      </text>
    </comment>
    <comment ref="J36" authorId="0">
      <text>
        <r>
          <rPr>
            <b/>
            <sz val="9"/>
            <color indexed="81"/>
            <rFont val="宋体"/>
            <family val="2"/>
          </rPr>
          <t>#Input("榆炼_能源_能耗日报表_电_20万吨/年DCC裂解石脑油",":key{{dw}}")</t>
        </r>
      </text>
    </comment>
    <comment ref="K36" authorId="0">
      <text>
        <r>
          <rPr>
            <b/>
            <sz val="9"/>
            <color indexed="81"/>
            <rFont val="宋体"/>
            <family val="2"/>
          </rPr>
          <t>#Input("榆炼_能源_能耗日报表_3.5MPa蒸汽_20万吨/年DCC裂解石脑油",":key{{dw}}")</t>
        </r>
      </text>
    </comment>
    <comment ref="L36" authorId="0">
      <text>
        <r>
          <rPr>
            <b/>
            <sz val="9"/>
            <color indexed="81"/>
            <rFont val="宋体"/>
            <family val="2"/>
          </rPr>
          <t>#Input("榆炼_能源_能耗日报表_1.0MPa蒸汽_20万吨/年DCC裂解石脑油",":key{{dw}}")</t>
        </r>
      </text>
    </comment>
    <comment ref="M36" authorId="0">
      <text>
        <r>
          <rPr>
            <b/>
            <sz val="9"/>
            <color indexed="81"/>
            <rFont val="宋体"/>
            <family val="2"/>
          </rPr>
          <t>#Input("榆炼_能源_能耗日报表_燃料油_20万吨/年DCC裂解石脑油",":key{{dw}}")</t>
        </r>
      </text>
    </comment>
    <comment ref="N36" authorId="0">
      <text>
        <r>
          <rPr>
            <b/>
            <sz val="9"/>
            <color indexed="81"/>
            <rFont val="宋体"/>
            <family val="2"/>
          </rPr>
          <t>#Input("榆炼_能源_能耗日报表_燃料气_20万吨/年DCC裂解石脑油",":key{{dw}}")</t>
        </r>
      </text>
    </comment>
    <comment ref="O36" authorId="0">
      <text>
        <r>
          <rPr>
            <b/>
            <sz val="9"/>
            <color indexed="81"/>
            <rFont val="宋体"/>
            <family val="2"/>
          </rPr>
          <t>#Input("榆炼_能源_能耗日报表_制氢燃料_20万吨/年DCC裂解石脑油",":key{{dw}}")</t>
        </r>
      </text>
    </comment>
    <comment ref="P36" authorId="0">
      <text>
        <r>
          <rPr>
            <b/>
            <sz val="9"/>
            <color indexed="81"/>
            <rFont val="宋体"/>
            <family val="2"/>
          </rPr>
          <t>#Input("榆炼_能源_能耗日报表_煤_20万吨/年DCC裂解石脑油",":key{{dw}}")</t>
        </r>
      </text>
    </comment>
    <comment ref="Q36" authorId="0">
      <text>
        <r>
          <rPr>
            <b/>
            <sz val="9"/>
            <color indexed="81"/>
            <rFont val="宋体"/>
            <family val="2"/>
          </rPr>
          <t>#Input("榆炼_能源_能耗日报表_干馏瓦斯_20万吨/年DCC裂解石脑油",":key{{dw}}")</t>
        </r>
      </text>
    </comment>
    <comment ref="R36" authorId="0">
      <text>
        <r>
          <rPr>
            <b/>
            <sz val="9"/>
            <color indexed="81"/>
            <rFont val="宋体"/>
            <family val="2"/>
          </rPr>
          <t>#Input("榆炼_能源_能耗日报表_天然气_20万吨/年DCC裂解石脑油",":key{{dw}}")</t>
        </r>
      </text>
    </comment>
    <comment ref="S36" authorId="0">
      <text>
        <r>
          <rPr>
            <b/>
            <sz val="9"/>
            <color indexed="81"/>
            <rFont val="宋体"/>
            <family val="2"/>
          </rPr>
          <t>#Input("榆炼_能源_能耗日报表_催化烧焦_20万吨/年DCC裂解石脑油",":key{{dw}}")</t>
        </r>
      </text>
    </comment>
    <comment ref="T36" authorId="0">
      <text>
        <r>
          <rPr>
            <b/>
            <sz val="9"/>
            <color indexed="81"/>
            <rFont val="宋体"/>
            <family val="2"/>
          </rPr>
          <t>#Input("榆炼_能源_能耗日报表_热进热出_20万吨/年DCC裂解石脑油",":key{{dw}}")</t>
        </r>
      </text>
    </comment>
    <comment ref="U36" authorId="0">
      <text>
        <r>
          <rPr>
            <b/>
            <sz val="9"/>
            <color indexed="81"/>
            <rFont val="宋体"/>
            <family val="2"/>
          </rPr>
          <t>#Input("榆炼_能源_能耗日报表_加工量_20万吨/年DCC裂解石脑油",":key{{dw}}")</t>
        </r>
      </text>
    </comment>
    <comment ref="E37" authorId="0">
      <text>
        <r>
          <rPr>
            <b/>
            <sz val="9"/>
            <color indexed="81"/>
            <rFont val="宋体"/>
            <family val="2"/>
          </rPr>
          <t>#Input("榆炼_能源_能耗日报表_循环水_20万吨/年DCC裂解轻油",":key{{dw}}")</t>
        </r>
      </text>
    </comment>
    <comment ref="F37" authorId="0">
      <text>
        <r>
          <rPr>
            <b/>
            <sz val="9"/>
            <color indexed="81"/>
            <rFont val="宋体"/>
            <family val="2"/>
          </rPr>
          <t>#Input("榆炼_能源_能耗日报表_软化水_20万吨/年DCC裂解轻油",":key{{dw}}")</t>
        </r>
      </text>
    </comment>
    <comment ref="G37" authorId="0">
      <text>
        <r>
          <rPr>
            <b/>
            <sz val="9"/>
            <color indexed="81"/>
            <rFont val="宋体"/>
            <family val="2"/>
          </rPr>
          <t>#Input("榆炼_能源_能耗日报表_除盐水_20万吨/年DCC裂解轻油",":key{{dw}}")</t>
        </r>
      </text>
    </comment>
    <comment ref="H37" authorId="0">
      <text>
        <r>
          <rPr>
            <b/>
            <sz val="9"/>
            <color indexed="81"/>
            <rFont val="宋体"/>
            <family val="2"/>
          </rPr>
          <t>#Input("榆炼_能源_能耗日报表_除氧水_20万吨/年DCC裂解轻油",":key{{dw}}")</t>
        </r>
      </text>
    </comment>
    <comment ref="I37" authorId="0">
      <text>
        <r>
          <rPr>
            <b/>
            <sz val="9"/>
            <color indexed="81"/>
            <rFont val="宋体"/>
            <family val="2"/>
          </rPr>
          <t>#Input("榆炼_能源_能耗日报表_中水_20万吨/年DCC裂解轻油",":key{{dw}}")</t>
        </r>
      </text>
    </comment>
    <comment ref="J37" authorId="0">
      <text>
        <r>
          <rPr>
            <b/>
            <sz val="9"/>
            <color indexed="81"/>
            <rFont val="宋体"/>
            <family val="2"/>
          </rPr>
          <t>#Input("榆炼_能源_能耗日报表_电_20万吨/年DCC裂解轻油",":key{{dw}}")</t>
        </r>
      </text>
    </comment>
    <comment ref="K37" authorId="0">
      <text>
        <r>
          <rPr>
            <b/>
            <sz val="9"/>
            <color indexed="81"/>
            <rFont val="宋体"/>
            <family val="2"/>
          </rPr>
          <t>#Input("榆炼_能源_能耗日报表_3.5MPa蒸汽_20万吨/年DCC裂解轻油",":key{{dw}}")</t>
        </r>
      </text>
    </comment>
    <comment ref="L37" authorId="0">
      <text>
        <r>
          <rPr>
            <b/>
            <sz val="9"/>
            <color indexed="81"/>
            <rFont val="宋体"/>
            <family val="2"/>
          </rPr>
          <t>#Input("榆炼_能源_能耗日报表_1.0MPa蒸汽_20万吨/年DCC裂解轻油",":key{{dw}}")</t>
        </r>
      </text>
    </comment>
    <comment ref="M37" authorId="0">
      <text>
        <r>
          <rPr>
            <b/>
            <sz val="9"/>
            <color indexed="81"/>
            <rFont val="宋体"/>
            <family val="2"/>
          </rPr>
          <t>#Input("榆炼_能源_能耗日报表_燃料油_20万吨/年DCC裂解轻油",":key{{dw}}")</t>
        </r>
      </text>
    </comment>
    <comment ref="N37" authorId="0">
      <text>
        <r>
          <rPr>
            <b/>
            <sz val="9"/>
            <color indexed="81"/>
            <rFont val="宋体"/>
            <family val="2"/>
          </rPr>
          <t>#Input("榆炼_能源_能耗日报表_燃料气_20万吨/年DCC裂解轻油",":key{{dw}}")</t>
        </r>
      </text>
    </comment>
    <comment ref="O37" authorId="0">
      <text>
        <r>
          <rPr>
            <b/>
            <sz val="9"/>
            <color indexed="81"/>
            <rFont val="宋体"/>
            <family val="2"/>
          </rPr>
          <t>#Input("榆炼_能源_能耗日报表_制氢燃料_20万吨/年DCC裂解轻油",":key{{dw}}")</t>
        </r>
      </text>
    </comment>
    <comment ref="P37" authorId="0">
      <text>
        <r>
          <rPr>
            <b/>
            <sz val="9"/>
            <color indexed="81"/>
            <rFont val="宋体"/>
            <family val="2"/>
          </rPr>
          <t>#Input("榆炼_能源_能耗日报表_煤_20万吨/年DCC裂解轻油",":key{{dw}}")</t>
        </r>
      </text>
    </comment>
    <comment ref="Q37" authorId="0">
      <text>
        <r>
          <rPr>
            <b/>
            <sz val="9"/>
            <color indexed="81"/>
            <rFont val="宋体"/>
            <family val="2"/>
          </rPr>
          <t>#Input("榆炼_能源_能耗日报表_干馏瓦斯_20万吨/年DCC裂解轻油",":key{{dw}}")</t>
        </r>
      </text>
    </comment>
    <comment ref="R37" authorId="0">
      <text>
        <r>
          <rPr>
            <b/>
            <sz val="9"/>
            <color indexed="81"/>
            <rFont val="宋体"/>
            <family val="2"/>
          </rPr>
          <t>#Input("榆炼_能源_能耗日报表_天然气_20万吨/年DCC裂解轻油",":key{{dw}}")</t>
        </r>
      </text>
    </comment>
    <comment ref="S37" authorId="0">
      <text>
        <r>
          <rPr>
            <b/>
            <sz val="9"/>
            <color indexed="81"/>
            <rFont val="宋体"/>
            <family val="2"/>
          </rPr>
          <t>#Input("榆炼_能源_能耗日报表_催化烧焦_20万吨/年DCC裂解轻油",":key{{dw}}")</t>
        </r>
      </text>
    </comment>
    <comment ref="T37" authorId="0">
      <text>
        <r>
          <rPr>
            <b/>
            <sz val="9"/>
            <color indexed="81"/>
            <rFont val="宋体"/>
            <family val="2"/>
          </rPr>
          <t>#Input("榆炼_能源_能耗日报表_热进热出_20万吨/年DCC裂解轻油",":key{{dw}}")</t>
        </r>
      </text>
    </comment>
    <comment ref="U37" authorId="0">
      <text>
        <r>
          <rPr>
            <b/>
            <sz val="9"/>
            <color indexed="81"/>
            <rFont val="宋体"/>
            <family val="2"/>
          </rPr>
          <t>#Input("榆炼_能源_能耗日报表_加工量_20万吨/年DCC裂解轻油",":key{{dw}}")</t>
        </r>
      </text>
    </comment>
    <comment ref="E38" authorId="0">
      <text>
        <r>
          <rPr>
            <b/>
            <sz val="9"/>
            <color indexed="81"/>
            <rFont val="宋体"/>
            <family val="2"/>
          </rPr>
          <t>#Input("榆炼_能源_能耗日报表_循环水_天然气制氢",":key{{dw}}")</t>
        </r>
      </text>
    </comment>
    <comment ref="F38" authorId="0">
      <text>
        <r>
          <rPr>
            <b/>
            <sz val="9"/>
            <color indexed="81"/>
            <rFont val="宋体"/>
            <family val="2"/>
          </rPr>
          <t>#Input("榆炼_能源_能耗日报表_软化水_天然气制氢",":key{{dw}}")</t>
        </r>
      </text>
    </comment>
    <comment ref="G38" authorId="0">
      <text>
        <r>
          <rPr>
            <b/>
            <sz val="9"/>
            <color indexed="81"/>
            <rFont val="宋体"/>
            <family val="2"/>
          </rPr>
          <t>#Input("榆炼_能源_能耗日报表_除盐水_天然气制氢",":key{{dw}}")</t>
        </r>
      </text>
    </comment>
    <comment ref="H38" authorId="0">
      <text>
        <r>
          <rPr>
            <b/>
            <sz val="9"/>
            <color indexed="81"/>
            <rFont val="宋体"/>
            <family val="2"/>
          </rPr>
          <t>#Input("榆炼_能源_能耗日报表_除氧水_天然气制氢",":key{{dw}}")</t>
        </r>
      </text>
    </comment>
    <comment ref="I38" authorId="0">
      <text>
        <r>
          <rPr>
            <b/>
            <sz val="9"/>
            <color indexed="81"/>
            <rFont val="宋体"/>
            <family val="2"/>
          </rPr>
          <t>#Input("榆炼_能源_能耗日报表_中水_天然气制氢",":key{{dw}}")</t>
        </r>
      </text>
    </comment>
    <comment ref="J38" authorId="0">
      <text>
        <r>
          <rPr>
            <b/>
            <sz val="9"/>
            <color indexed="81"/>
            <rFont val="宋体"/>
            <family val="2"/>
          </rPr>
          <t>#Input("榆炼_能源_能耗日报表_电_天然气制氢",":key{{dw}}")</t>
        </r>
      </text>
    </comment>
    <comment ref="K38" authorId="0">
      <text>
        <r>
          <rPr>
            <b/>
            <sz val="9"/>
            <color indexed="81"/>
            <rFont val="宋体"/>
            <family val="2"/>
          </rPr>
          <t>#Input("榆炼_能源_能耗日报表_3.5MPa蒸汽_天然气制氢",":key{{dw}}")</t>
        </r>
      </text>
    </comment>
    <comment ref="L38" authorId="0">
      <text>
        <r>
          <rPr>
            <b/>
            <sz val="9"/>
            <color indexed="81"/>
            <rFont val="宋体"/>
            <family val="2"/>
          </rPr>
          <t>#Input("榆炼_能源_能耗日报表_1.0MPa蒸汽_天然气制氢",":key{{dw}}")</t>
        </r>
      </text>
    </comment>
    <comment ref="M38" authorId="0">
      <text>
        <r>
          <rPr>
            <b/>
            <sz val="9"/>
            <color indexed="81"/>
            <rFont val="宋体"/>
            <family val="2"/>
          </rPr>
          <t>#Input("榆炼_能源_能耗日报表_燃料油_天然气制氢",":key{{dw}}")</t>
        </r>
      </text>
    </comment>
    <comment ref="N38" authorId="0">
      <text>
        <r>
          <rPr>
            <b/>
            <sz val="9"/>
            <color indexed="81"/>
            <rFont val="宋体"/>
            <family val="2"/>
          </rPr>
          <t>#Input("榆炼_能源_能耗日报表_燃料气_天然气制氢",":key{{dw}}")</t>
        </r>
      </text>
    </comment>
    <comment ref="O38" authorId="0">
      <text>
        <r>
          <rPr>
            <b/>
            <sz val="9"/>
            <color indexed="81"/>
            <rFont val="宋体"/>
            <family val="2"/>
          </rPr>
          <t>#Input("榆炼_能源_能耗日报表_制氢燃料_天然气制氢",":key{{dw}}")</t>
        </r>
      </text>
    </comment>
    <comment ref="P38" authorId="0">
      <text>
        <r>
          <rPr>
            <b/>
            <sz val="9"/>
            <color indexed="81"/>
            <rFont val="宋体"/>
            <family val="2"/>
          </rPr>
          <t>#Input("榆炼_能源_能耗日报表_煤_天然气制氢",":key{{dw}}")</t>
        </r>
      </text>
    </comment>
    <comment ref="Q38" authorId="0">
      <text>
        <r>
          <rPr>
            <b/>
            <sz val="9"/>
            <color indexed="81"/>
            <rFont val="宋体"/>
            <family val="2"/>
          </rPr>
          <t>#Input("榆炼_能源_能耗日报表_干馏瓦斯_天然气制氢",":key{{dw}}")</t>
        </r>
      </text>
    </comment>
    <comment ref="R38" authorId="0">
      <text>
        <r>
          <rPr>
            <b/>
            <sz val="9"/>
            <color indexed="81"/>
            <rFont val="宋体"/>
            <family val="2"/>
          </rPr>
          <t>#Input("榆炼_能源_能耗日报表_天然气_天然气制氢",":key{{dw}}")</t>
        </r>
      </text>
    </comment>
    <comment ref="S38" authorId="0">
      <text>
        <r>
          <rPr>
            <b/>
            <sz val="9"/>
            <color indexed="81"/>
            <rFont val="宋体"/>
            <family val="2"/>
          </rPr>
          <t>#Input("榆炼_能源_能耗日报表_催化烧焦_天然气制氢",":key{{dw}}")</t>
        </r>
      </text>
    </comment>
    <comment ref="T38" authorId="0">
      <text>
        <r>
          <rPr>
            <b/>
            <sz val="9"/>
            <color indexed="81"/>
            <rFont val="宋体"/>
            <family val="2"/>
          </rPr>
          <t>#Input("榆炼_能源_能耗日报表_热进热出_天然气制氢",":key{{dw}}")</t>
        </r>
      </text>
    </comment>
    <comment ref="U38" authorId="0">
      <text>
        <r>
          <rPr>
            <b/>
            <sz val="9"/>
            <color indexed="81"/>
            <rFont val="宋体"/>
            <family val="2"/>
          </rPr>
          <t>#Input("榆炼_能源_能耗日报表_加工量_天然气制氢",":key{{dw}}")</t>
        </r>
      </text>
    </comment>
    <comment ref="E39" authorId="0">
      <text>
        <r>
          <rPr>
            <b/>
            <sz val="9"/>
            <color indexed="81"/>
            <rFont val="宋体"/>
            <family val="2"/>
          </rPr>
          <t>#Input("榆炼_能源_能耗日报表_循环水_干气制氢",":key{{dw}}")</t>
        </r>
      </text>
    </comment>
    <comment ref="F39" authorId="0">
      <text>
        <r>
          <rPr>
            <b/>
            <sz val="9"/>
            <color indexed="81"/>
            <rFont val="宋体"/>
            <family val="2"/>
          </rPr>
          <t>#Input("榆炼_能源_能耗日报表_软化水_干气制氢",":key{{dw}}")</t>
        </r>
      </text>
    </comment>
    <comment ref="G39" authorId="0">
      <text>
        <r>
          <rPr>
            <b/>
            <sz val="9"/>
            <color indexed="81"/>
            <rFont val="宋体"/>
            <family val="2"/>
          </rPr>
          <t>#Input("榆炼_能源_能耗日报表_除盐水_干气制氢",":key{{dw}}")</t>
        </r>
      </text>
    </comment>
    <comment ref="H39" authorId="0">
      <text>
        <r>
          <rPr>
            <b/>
            <sz val="9"/>
            <color indexed="81"/>
            <rFont val="宋体"/>
            <family val="2"/>
          </rPr>
          <t>#Input("榆炼_能源_能耗日报表_除氧水_干气制氢",":key{{dw}}")</t>
        </r>
      </text>
    </comment>
    <comment ref="I39" authorId="0">
      <text>
        <r>
          <rPr>
            <b/>
            <sz val="9"/>
            <color indexed="81"/>
            <rFont val="宋体"/>
            <family val="2"/>
          </rPr>
          <t>#Input("榆炼_能源_能耗日报表_中水_干气制氢",":key{{dw}}")</t>
        </r>
      </text>
    </comment>
    <comment ref="J39" authorId="0">
      <text>
        <r>
          <rPr>
            <b/>
            <sz val="9"/>
            <color indexed="81"/>
            <rFont val="宋体"/>
            <family val="2"/>
          </rPr>
          <t>#Input("榆炼_能源_能耗日报表_电_干气制氢",":key{{dw}}")</t>
        </r>
      </text>
    </comment>
    <comment ref="K39" authorId="0">
      <text>
        <r>
          <rPr>
            <b/>
            <sz val="9"/>
            <color indexed="81"/>
            <rFont val="宋体"/>
            <family val="2"/>
          </rPr>
          <t>#Input("榆炼_能源_能耗日报表_3.5MPa蒸汽_干气制氢",":key{{dw}}")</t>
        </r>
      </text>
    </comment>
    <comment ref="L39" authorId="0">
      <text>
        <r>
          <rPr>
            <b/>
            <sz val="9"/>
            <color indexed="81"/>
            <rFont val="宋体"/>
            <family val="2"/>
          </rPr>
          <t>#Input("榆炼_能源_能耗日报表_1.0MPa蒸汽_干气制氢",":key{{dw}}")</t>
        </r>
      </text>
    </comment>
    <comment ref="M39" authorId="0">
      <text>
        <r>
          <rPr>
            <b/>
            <sz val="9"/>
            <color indexed="81"/>
            <rFont val="宋体"/>
            <family val="2"/>
          </rPr>
          <t>#Input("榆炼_能源_能耗日报表_燃料油_干气制氢",":key{{dw}}")</t>
        </r>
      </text>
    </comment>
    <comment ref="N39" authorId="0">
      <text>
        <r>
          <rPr>
            <b/>
            <sz val="9"/>
            <color indexed="81"/>
            <rFont val="宋体"/>
            <family val="2"/>
          </rPr>
          <t>#Input("榆炼_能源_能耗日报表_燃料气_干气制氢",":key{{dw}}")</t>
        </r>
      </text>
    </comment>
    <comment ref="O39" authorId="0">
      <text>
        <r>
          <rPr>
            <b/>
            <sz val="9"/>
            <color indexed="81"/>
            <rFont val="宋体"/>
            <family val="2"/>
          </rPr>
          <t>#Input("榆炼_能源_能耗日报表_制氢燃料_干气制氢",":key{{dw}}")</t>
        </r>
      </text>
    </comment>
    <comment ref="P39" authorId="0">
      <text>
        <r>
          <rPr>
            <b/>
            <sz val="9"/>
            <color indexed="81"/>
            <rFont val="宋体"/>
            <family val="2"/>
          </rPr>
          <t>#Input("榆炼_能源_能耗日报表_煤_干气制氢",":key{{dw}}")</t>
        </r>
      </text>
    </comment>
    <comment ref="Q39" authorId="0">
      <text>
        <r>
          <rPr>
            <b/>
            <sz val="9"/>
            <color indexed="81"/>
            <rFont val="宋体"/>
            <family val="2"/>
          </rPr>
          <t>#Input("榆炼_能源_能耗日报表_干馏瓦斯_干气制氢",":key{{dw}}")</t>
        </r>
      </text>
    </comment>
    <comment ref="R39" authorId="0">
      <text>
        <r>
          <rPr>
            <b/>
            <sz val="9"/>
            <color indexed="81"/>
            <rFont val="宋体"/>
            <family val="2"/>
          </rPr>
          <t>#Input("榆炼_能源_能耗日报表_天然气_干气制氢",":key{{dw}}")</t>
        </r>
      </text>
    </comment>
    <comment ref="S39" authorId="0">
      <text>
        <r>
          <rPr>
            <b/>
            <sz val="9"/>
            <color indexed="81"/>
            <rFont val="宋体"/>
            <family val="2"/>
          </rPr>
          <t>#Input("榆炼_能源_能耗日报表_催化烧焦_干气制氢",":key{{dw}}")</t>
        </r>
      </text>
    </comment>
    <comment ref="T39" authorId="0">
      <text>
        <r>
          <rPr>
            <b/>
            <sz val="9"/>
            <color indexed="81"/>
            <rFont val="宋体"/>
            <family val="2"/>
          </rPr>
          <t>#Input("榆炼_能源_能耗日报表_热进热出_干气制氢",":key{{dw}}")</t>
        </r>
      </text>
    </comment>
    <comment ref="U39" authorId="0">
      <text>
        <r>
          <rPr>
            <b/>
            <sz val="9"/>
            <color indexed="81"/>
            <rFont val="宋体"/>
            <family val="2"/>
          </rPr>
          <t>#Input("榆炼_能源_能耗日报表_加工量_干气制氢",":key{{dw}}")</t>
        </r>
      </text>
    </comment>
    <comment ref="D40" authorId="0">
      <text>
        <r>
          <rPr>
            <b/>
            <sz val="9"/>
            <color indexed="81"/>
            <rFont val="宋体"/>
            <family val="2"/>
          </rPr>
          <t>#Input("榆炼_能源_能耗日报表_新鲜水_硫磺回收",":key{{dw}}")</t>
        </r>
      </text>
    </comment>
    <comment ref="E40" authorId="0">
      <text>
        <r>
          <rPr>
            <b/>
            <sz val="9"/>
            <color indexed="81"/>
            <rFont val="宋体"/>
            <family val="2"/>
          </rPr>
          <t>#Input("榆炼_能源_能耗日报表_循环水_硫磺回收",":key{{dw}}")</t>
        </r>
      </text>
    </comment>
    <comment ref="F40" authorId="0">
      <text>
        <r>
          <rPr>
            <b/>
            <sz val="9"/>
            <color indexed="81"/>
            <rFont val="宋体"/>
            <family val="2"/>
          </rPr>
          <t>#Input("榆炼_能源_能耗日报表_软化水_硫磺回收",":key{{dw}}")</t>
        </r>
      </text>
    </comment>
    <comment ref="G40" authorId="0">
      <text>
        <r>
          <rPr>
            <b/>
            <sz val="9"/>
            <color indexed="81"/>
            <rFont val="宋体"/>
            <family val="2"/>
          </rPr>
          <t>#Input("榆炼_能源_能耗日报表_除盐水_硫磺回收",":key{{dw}}")</t>
        </r>
      </text>
    </comment>
    <comment ref="H40" authorId="0">
      <text>
        <r>
          <rPr>
            <b/>
            <sz val="9"/>
            <color indexed="81"/>
            <rFont val="宋体"/>
            <family val="2"/>
          </rPr>
          <t>#Input("榆炼_能源_能耗日报表_除氧水_硫磺回收",":key{{dw}}")</t>
        </r>
      </text>
    </comment>
    <comment ref="I40" authorId="0">
      <text>
        <r>
          <rPr>
            <b/>
            <sz val="9"/>
            <color indexed="81"/>
            <rFont val="宋体"/>
            <family val="2"/>
          </rPr>
          <t>#Input("榆炼_能源_能耗日报表_中水_硫磺回收",":key{{dw}}")</t>
        </r>
      </text>
    </comment>
    <comment ref="J40" authorId="0">
      <text>
        <r>
          <rPr>
            <b/>
            <sz val="9"/>
            <color indexed="81"/>
            <rFont val="宋体"/>
            <family val="2"/>
          </rPr>
          <t>#Input("榆炼_能源_能耗日报表_电_硫磺回收",":key{{dw}}")</t>
        </r>
      </text>
    </comment>
    <comment ref="K40" authorId="0">
      <text>
        <r>
          <rPr>
            <b/>
            <sz val="9"/>
            <color indexed="81"/>
            <rFont val="宋体"/>
            <family val="2"/>
          </rPr>
          <t>#Input("榆炼_能源_能耗日报表_3.5MPa蒸汽_硫磺回收",":key{{dw}}")</t>
        </r>
      </text>
    </comment>
    <comment ref="L40" authorId="0">
      <text>
        <r>
          <rPr>
            <b/>
            <sz val="9"/>
            <color indexed="81"/>
            <rFont val="宋体"/>
            <family val="2"/>
          </rPr>
          <t>#Input("榆炼_能源_能耗日报表_1.0MPa蒸汽_硫磺回收",":key{{dw}}")</t>
        </r>
      </text>
    </comment>
    <comment ref="M40" authorId="0">
      <text>
        <r>
          <rPr>
            <b/>
            <sz val="9"/>
            <color indexed="81"/>
            <rFont val="宋体"/>
            <family val="2"/>
          </rPr>
          <t>#Input("榆炼_能源_能耗日报表_燃料油_硫磺回收",":key{{dw}}")</t>
        </r>
      </text>
    </comment>
    <comment ref="N40" authorId="0">
      <text>
        <r>
          <rPr>
            <b/>
            <sz val="9"/>
            <color indexed="81"/>
            <rFont val="宋体"/>
            <family val="2"/>
          </rPr>
          <t>#Input("榆炼_能源_能耗日报表_燃料气_硫磺回收",":key{{dw}}")</t>
        </r>
      </text>
    </comment>
    <comment ref="O40" authorId="0">
      <text>
        <r>
          <rPr>
            <b/>
            <sz val="9"/>
            <color indexed="81"/>
            <rFont val="宋体"/>
            <family val="2"/>
          </rPr>
          <t>#Input("榆炼_能源_能耗日报表_制氢燃料_硫磺回收",":key{{dw}}")</t>
        </r>
      </text>
    </comment>
    <comment ref="P40" authorId="0">
      <text>
        <r>
          <rPr>
            <b/>
            <sz val="9"/>
            <color indexed="81"/>
            <rFont val="宋体"/>
            <family val="2"/>
          </rPr>
          <t>#Input("榆炼_能源_能耗日报表_煤_硫磺回收",":key{{dw}}")</t>
        </r>
      </text>
    </comment>
    <comment ref="Q40" authorId="0">
      <text>
        <r>
          <rPr>
            <b/>
            <sz val="9"/>
            <color indexed="81"/>
            <rFont val="宋体"/>
            <family val="2"/>
          </rPr>
          <t>#Input("榆炼_能源_能耗日报表_干馏瓦斯_硫磺回收",":key{{dw}}")</t>
        </r>
      </text>
    </comment>
    <comment ref="R40" authorId="0">
      <text>
        <r>
          <rPr>
            <b/>
            <sz val="9"/>
            <color indexed="81"/>
            <rFont val="宋体"/>
            <family val="2"/>
          </rPr>
          <t>#Input("榆炼_能源_能耗日报表_天然气_硫磺回收",":key{{dw}}")</t>
        </r>
      </text>
    </comment>
    <comment ref="S40" authorId="0">
      <text>
        <r>
          <rPr>
            <b/>
            <sz val="9"/>
            <color indexed="81"/>
            <rFont val="宋体"/>
            <family val="2"/>
          </rPr>
          <t>#Input("榆炼_能源_能耗日报表_催化烧焦_硫磺回收",":key{{dw}}")</t>
        </r>
      </text>
    </comment>
    <comment ref="T40" authorId="0">
      <text>
        <r>
          <rPr>
            <b/>
            <sz val="9"/>
            <color indexed="81"/>
            <rFont val="宋体"/>
            <family val="2"/>
          </rPr>
          <t>#Input("榆炼_能源_能耗日报表_热进热出_硫磺回收",":key{{dw}}")</t>
        </r>
      </text>
    </comment>
    <comment ref="U40" authorId="0">
      <text>
        <r>
          <rPr>
            <b/>
            <sz val="9"/>
            <color indexed="81"/>
            <rFont val="宋体"/>
            <family val="2"/>
          </rPr>
          <t>#Input("榆炼_能源_能耗日报表_加工量_硫磺回收",":key{{dw}}")</t>
        </r>
      </text>
    </comment>
    <comment ref="D42" authorId="0">
      <text>
        <r>
          <rPr>
            <b/>
            <sz val="9"/>
            <color indexed="81"/>
            <rFont val="宋体"/>
            <family val="2"/>
          </rPr>
          <t>#Input("榆炼_能源_能耗日报表_新鲜水_储运系统",":key{{dw}}")</t>
        </r>
      </text>
    </comment>
    <comment ref="E42" authorId="0">
      <text>
        <r>
          <rPr>
            <b/>
            <sz val="9"/>
            <color indexed="81"/>
            <rFont val="宋体"/>
            <family val="2"/>
          </rPr>
          <t>#Input("榆炼_能源_能耗日报表_循环水_储运系统",":key{{dw}}")</t>
        </r>
      </text>
    </comment>
    <comment ref="F42" authorId="0">
      <text>
        <r>
          <rPr>
            <b/>
            <sz val="9"/>
            <color indexed="81"/>
            <rFont val="宋体"/>
            <family val="2"/>
          </rPr>
          <t>#Input("榆炼_能源_能耗日报表_软化水_储运系统",":key{{dw}}")</t>
        </r>
      </text>
    </comment>
    <comment ref="G42" authorId="0">
      <text>
        <r>
          <rPr>
            <b/>
            <sz val="9"/>
            <color indexed="81"/>
            <rFont val="宋体"/>
            <family val="2"/>
          </rPr>
          <t>#Input("榆炼_能源_能耗日报表_除盐水_储运系统",":key{{dw}}")</t>
        </r>
      </text>
    </comment>
    <comment ref="H42" authorId="0">
      <text>
        <r>
          <rPr>
            <b/>
            <sz val="9"/>
            <color indexed="81"/>
            <rFont val="宋体"/>
            <family val="2"/>
          </rPr>
          <t>#Input("榆炼_能源_能耗日报表_除氧水_储运系统",":key{{dw}}")</t>
        </r>
      </text>
    </comment>
    <comment ref="I42" authorId="0">
      <text>
        <r>
          <rPr>
            <b/>
            <sz val="9"/>
            <color indexed="81"/>
            <rFont val="宋体"/>
            <family val="2"/>
          </rPr>
          <t>#Input("榆炼_能源_能耗日报表_中水_储运系统",":key{{dw}}")</t>
        </r>
      </text>
    </comment>
    <comment ref="J42" authorId="0">
      <text>
        <r>
          <rPr>
            <b/>
            <sz val="9"/>
            <color indexed="81"/>
            <rFont val="宋体"/>
            <family val="2"/>
          </rPr>
          <t>#Input("榆炼_能源_能耗日报表_电_储运系统",":key{{dw}}")</t>
        </r>
      </text>
    </comment>
    <comment ref="K42" authorId="0">
      <text>
        <r>
          <rPr>
            <b/>
            <sz val="9"/>
            <color indexed="81"/>
            <rFont val="宋体"/>
            <family val="2"/>
          </rPr>
          <t>#Input("榆炼_能源_能耗日报表_3.5MPa蒸汽_储运系统",":key{{dw}}")</t>
        </r>
      </text>
    </comment>
    <comment ref="L42" authorId="0">
      <text>
        <r>
          <rPr>
            <b/>
            <sz val="9"/>
            <color indexed="81"/>
            <rFont val="宋体"/>
            <family val="2"/>
          </rPr>
          <t>#Input("榆炼_能源_能耗日报表_1.0MPa蒸汽_储运系统",":key{{dw}}")</t>
        </r>
      </text>
    </comment>
    <comment ref="M42" authorId="0">
      <text>
        <r>
          <rPr>
            <b/>
            <sz val="9"/>
            <color indexed="81"/>
            <rFont val="宋体"/>
            <family val="2"/>
          </rPr>
          <t>#Input("榆炼_能源_能耗日报表_燃料油_储运系统",":key{{dw}}")</t>
        </r>
      </text>
    </comment>
    <comment ref="N42" authorId="0">
      <text>
        <r>
          <rPr>
            <b/>
            <sz val="9"/>
            <color indexed="81"/>
            <rFont val="宋体"/>
            <family val="2"/>
          </rPr>
          <t>#Input("榆炼_能源_能耗日报表_燃料气_储运系统",":key{{dw}}")</t>
        </r>
      </text>
    </comment>
    <comment ref="O42" authorId="0">
      <text>
        <r>
          <rPr>
            <b/>
            <sz val="9"/>
            <color indexed="81"/>
            <rFont val="宋体"/>
            <family val="2"/>
          </rPr>
          <t>#Input("榆炼_能源_能耗日报表_制氢燃料_储运系统",":key{{dw}}")</t>
        </r>
      </text>
    </comment>
    <comment ref="P42" authorId="0">
      <text>
        <r>
          <rPr>
            <b/>
            <sz val="9"/>
            <color indexed="81"/>
            <rFont val="宋体"/>
            <family val="2"/>
          </rPr>
          <t>#Input("榆炼_能源_能耗日报表_煤_储运系统",":key{{dw}}")</t>
        </r>
      </text>
    </comment>
    <comment ref="Q42" authorId="0">
      <text>
        <r>
          <rPr>
            <b/>
            <sz val="9"/>
            <color indexed="81"/>
            <rFont val="宋体"/>
            <family val="2"/>
          </rPr>
          <t>#Input("榆炼_能源_能耗日报表_干馏瓦斯_储运系统",":key{{dw}}")</t>
        </r>
      </text>
    </comment>
    <comment ref="R42" authorId="0">
      <text>
        <r>
          <rPr>
            <b/>
            <sz val="9"/>
            <color indexed="81"/>
            <rFont val="宋体"/>
            <family val="2"/>
          </rPr>
          <t>#Input("榆炼_能源_能耗日报表_天然气_储运系统",":key{{dw}}")</t>
        </r>
      </text>
    </comment>
    <comment ref="S42" authorId="0">
      <text>
        <r>
          <rPr>
            <b/>
            <sz val="9"/>
            <color indexed="81"/>
            <rFont val="宋体"/>
            <family val="2"/>
          </rPr>
          <t>#Input("榆炼_能源_能耗日报表_催化烧焦_储运系统",":key{{dw}}")</t>
        </r>
      </text>
    </comment>
    <comment ref="T42" authorId="0">
      <text>
        <r>
          <rPr>
            <b/>
            <sz val="9"/>
            <color indexed="81"/>
            <rFont val="宋体"/>
            <family val="2"/>
          </rPr>
          <t>#Input("榆炼_能源_能耗日报表_热进热出_储运系统",":key{{dw}}")</t>
        </r>
      </text>
    </comment>
    <comment ref="U42" authorId="0">
      <text>
        <r>
          <rPr>
            <b/>
            <sz val="9"/>
            <color indexed="81"/>
            <rFont val="宋体"/>
            <family val="2"/>
          </rPr>
          <t>#Input("榆炼_能源_能耗日报表_加工量_储运系统",":key{{dw}}")</t>
        </r>
      </text>
    </comment>
    <comment ref="D43" authorId="0">
      <text>
        <r>
          <rPr>
            <b/>
            <sz val="9"/>
            <color indexed="81"/>
            <rFont val="宋体"/>
            <family val="2"/>
          </rPr>
          <t>#Input("榆炼_能源_能耗日报表_新鲜水_污水处理",":key{{dw}}")</t>
        </r>
      </text>
    </comment>
    <comment ref="E43" authorId="0">
      <text>
        <r>
          <rPr>
            <b/>
            <sz val="9"/>
            <color indexed="81"/>
            <rFont val="宋体"/>
            <family val="2"/>
          </rPr>
          <t>#Input("榆炼_能源_能耗日报表_循环水_污水处理",":key{{dw}}")</t>
        </r>
      </text>
    </comment>
    <comment ref="F43" authorId="0">
      <text>
        <r>
          <rPr>
            <b/>
            <sz val="9"/>
            <color indexed="81"/>
            <rFont val="宋体"/>
            <family val="2"/>
          </rPr>
          <t>#Input("榆炼_能源_能耗日报表_软化水_污水处理",":key{{dw}}")</t>
        </r>
      </text>
    </comment>
    <comment ref="G43" authorId="0">
      <text>
        <r>
          <rPr>
            <b/>
            <sz val="9"/>
            <color indexed="81"/>
            <rFont val="宋体"/>
            <family val="2"/>
          </rPr>
          <t>#Input("榆炼_能源_能耗日报表_除盐水_污水处理",":key{{dw}}")</t>
        </r>
      </text>
    </comment>
    <comment ref="H43" authorId="0">
      <text>
        <r>
          <rPr>
            <b/>
            <sz val="9"/>
            <color indexed="81"/>
            <rFont val="宋体"/>
            <family val="2"/>
          </rPr>
          <t>#Input("榆炼_能源_能耗日报表_除氧水_污水处理",":key{{dw}}")</t>
        </r>
      </text>
    </comment>
    <comment ref="I43" authorId="0">
      <text>
        <r>
          <rPr>
            <b/>
            <sz val="9"/>
            <color indexed="81"/>
            <rFont val="宋体"/>
            <family val="2"/>
          </rPr>
          <t>#Input("榆炼_能源_能耗日报表_中水_污水处理",":key{{dw}}")</t>
        </r>
      </text>
    </comment>
    <comment ref="J43" authorId="0">
      <text>
        <r>
          <rPr>
            <b/>
            <sz val="9"/>
            <color indexed="81"/>
            <rFont val="宋体"/>
            <family val="2"/>
          </rPr>
          <t>#Input("榆炼_能源_能耗日报表_电_污水处理",":key{{dw}}")</t>
        </r>
      </text>
    </comment>
    <comment ref="K43" authorId="0">
      <text>
        <r>
          <rPr>
            <b/>
            <sz val="9"/>
            <color indexed="81"/>
            <rFont val="宋体"/>
            <family val="2"/>
          </rPr>
          <t>#Input("榆炼_能源_能耗日报表_3.5MPa蒸汽_污水处理",":key{{dw}}")</t>
        </r>
      </text>
    </comment>
    <comment ref="L43" authorId="0">
      <text>
        <r>
          <rPr>
            <b/>
            <sz val="9"/>
            <color indexed="81"/>
            <rFont val="宋体"/>
            <family val="2"/>
          </rPr>
          <t>#Input("榆炼_能源_能耗日报表_1.0MPa蒸汽_污水处理",":key{{dw}}")</t>
        </r>
      </text>
    </comment>
    <comment ref="M43" authorId="0">
      <text>
        <r>
          <rPr>
            <b/>
            <sz val="9"/>
            <color indexed="81"/>
            <rFont val="宋体"/>
            <family val="2"/>
          </rPr>
          <t>#Input("榆炼_能源_能耗日报表_燃料油_污水处理",":key{{dw}}")</t>
        </r>
      </text>
    </comment>
    <comment ref="N43" authorId="0">
      <text>
        <r>
          <rPr>
            <b/>
            <sz val="9"/>
            <color indexed="81"/>
            <rFont val="宋体"/>
            <family val="2"/>
          </rPr>
          <t>#Input("榆炼_能源_能耗日报表_燃料气_污水处理",":key{{dw}}")</t>
        </r>
      </text>
    </comment>
    <comment ref="O43" authorId="0">
      <text>
        <r>
          <rPr>
            <b/>
            <sz val="9"/>
            <color indexed="81"/>
            <rFont val="宋体"/>
            <family val="2"/>
          </rPr>
          <t>#Input("榆炼_能源_能耗日报表_制氢燃料_污水处理",":key{{dw}}")</t>
        </r>
      </text>
    </comment>
    <comment ref="P43" authorId="0">
      <text>
        <r>
          <rPr>
            <b/>
            <sz val="9"/>
            <color indexed="81"/>
            <rFont val="宋体"/>
            <family val="2"/>
          </rPr>
          <t>#Input("榆炼_能源_能耗日报表_煤_污水处理",":key{{dw}}")</t>
        </r>
      </text>
    </comment>
    <comment ref="Q43" authorId="0">
      <text>
        <r>
          <rPr>
            <b/>
            <sz val="9"/>
            <color indexed="81"/>
            <rFont val="宋体"/>
            <family val="2"/>
          </rPr>
          <t>#Input("榆炼_能源_能耗日报表_干馏瓦斯_污水处理",":key{{dw}}")</t>
        </r>
      </text>
    </comment>
    <comment ref="R43" authorId="0">
      <text>
        <r>
          <rPr>
            <b/>
            <sz val="9"/>
            <color indexed="81"/>
            <rFont val="宋体"/>
            <family val="2"/>
          </rPr>
          <t>#Input("榆炼_能源_能耗日报表_天然气_污水处理",":key{{dw}}")</t>
        </r>
      </text>
    </comment>
    <comment ref="S43" authorId="0">
      <text>
        <r>
          <rPr>
            <b/>
            <sz val="9"/>
            <color indexed="81"/>
            <rFont val="宋体"/>
            <family val="2"/>
          </rPr>
          <t>#Input("榆炼_能源_能耗日报表_催化烧焦_污水处理",":key{{dw}}")</t>
        </r>
      </text>
    </comment>
    <comment ref="T43" authorId="0">
      <text>
        <r>
          <rPr>
            <b/>
            <sz val="9"/>
            <color indexed="81"/>
            <rFont val="宋体"/>
            <family val="2"/>
          </rPr>
          <t>#Input("榆炼_能源_能耗日报表_热进热出_污水处理",":key{{dw}}")</t>
        </r>
      </text>
    </comment>
    <comment ref="U43" authorId="0">
      <text>
        <r>
          <rPr>
            <b/>
            <sz val="9"/>
            <color indexed="81"/>
            <rFont val="宋体"/>
            <family val="2"/>
          </rPr>
          <t>#Input("榆炼_能源_能耗日报表_加工量_污水处理",":key{{dw}}")</t>
        </r>
      </text>
    </comment>
    <comment ref="D44" authorId="0">
      <text>
        <r>
          <rPr>
            <b/>
            <sz val="9"/>
            <color indexed="81"/>
            <rFont val="宋体"/>
            <family val="2"/>
          </rPr>
          <t>#Input("榆炼_能源_能耗日报表_新鲜水_其它辅助部门",":key{{dw}}")</t>
        </r>
      </text>
    </comment>
    <comment ref="E44" authorId="0">
      <text>
        <r>
          <rPr>
            <b/>
            <sz val="9"/>
            <color indexed="81"/>
            <rFont val="宋体"/>
            <family val="2"/>
          </rPr>
          <t>#Input("榆炼_能源_能耗日报表_循环水_其它辅助部门",":key{{dw}}")</t>
        </r>
      </text>
    </comment>
    <comment ref="F44" authorId="0">
      <text>
        <r>
          <rPr>
            <b/>
            <sz val="9"/>
            <color indexed="81"/>
            <rFont val="宋体"/>
            <family val="2"/>
          </rPr>
          <t>#Input("榆炼_能源_能耗日报表_软化水_其它辅助部门",":key{{dw}}")</t>
        </r>
      </text>
    </comment>
    <comment ref="G44" authorId="0">
      <text>
        <r>
          <rPr>
            <b/>
            <sz val="9"/>
            <color indexed="81"/>
            <rFont val="宋体"/>
            <family val="2"/>
          </rPr>
          <t>#Input("榆炼_能源_能耗日报表_除盐水_其它辅助部门",":key{{dw}}")</t>
        </r>
      </text>
    </comment>
    <comment ref="H44" authorId="0">
      <text>
        <r>
          <rPr>
            <b/>
            <sz val="9"/>
            <color indexed="81"/>
            <rFont val="宋体"/>
            <family val="2"/>
          </rPr>
          <t>#Input("榆炼_能源_能耗日报表_除氧水_其它辅助部门",":key{{dw}}")</t>
        </r>
      </text>
    </comment>
    <comment ref="I44" authorId="0">
      <text>
        <r>
          <rPr>
            <b/>
            <sz val="9"/>
            <color indexed="81"/>
            <rFont val="宋体"/>
            <family val="2"/>
          </rPr>
          <t>#Input("榆炼_能源_能耗日报表_中水_其它辅助部门",":key{{dw}}")</t>
        </r>
      </text>
    </comment>
    <comment ref="J44" authorId="0">
      <text>
        <r>
          <rPr>
            <b/>
            <sz val="9"/>
            <color indexed="81"/>
            <rFont val="宋体"/>
            <family val="2"/>
          </rPr>
          <t>#Input("榆炼_能源_能耗日报表_电_其它辅助部门",":key{{dw}}")</t>
        </r>
      </text>
    </comment>
    <comment ref="K44" authorId="0">
      <text>
        <r>
          <rPr>
            <b/>
            <sz val="9"/>
            <color indexed="81"/>
            <rFont val="宋体"/>
            <family val="2"/>
          </rPr>
          <t>#Input("榆炼_能源_能耗日报表_3.5MPa蒸汽_其它辅助部门",":key{{dw}}")</t>
        </r>
      </text>
    </comment>
    <comment ref="L44" authorId="0">
      <text>
        <r>
          <rPr>
            <b/>
            <sz val="9"/>
            <color indexed="81"/>
            <rFont val="宋体"/>
            <family val="2"/>
          </rPr>
          <t>#Input("榆炼_能源_能耗日报表_1.0MPa蒸汽_其它辅助部门",":key{{dw}}")</t>
        </r>
      </text>
    </comment>
    <comment ref="M44" authorId="0">
      <text>
        <r>
          <rPr>
            <b/>
            <sz val="9"/>
            <color indexed="81"/>
            <rFont val="宋体"/>
            <family val="2"/>
          </rPr>
          <t>#Input("榆炼_能源_能耗日报表_燃料油_其它辅助部门",":key{{dw}}")</t>
        </r>
      </text>
    </comment>
    <comment ref="N44" authorId="0">
      <text>
        <r>
          <rPr>
            <b/>
            <sz val="9"/>
            <color indexed="81"/>
            <rFont val="宋体"/>
            <family val="2"/>
          </rPr>
          <t>#Input("榆炼_能源_能耗日报表_燃料气_其它辅助部门",":key{{dw}}")</t>
        </r>
      </text>
    </comment>
    <comment ref="O44" authorId="0">
      <text>
        <r>
          <rPr>
            <b/>
            <sz val="9"/>
            <color indexed="81"/>
            <rFont val="宋体"/>
            <family val="2"/>
          </rPr>
          <t>#Input("榆炼_能源_能耗日报表_制氢燃料_其它辅助部门",":key{{dw}}")</t>
        </r>
      </text>
    </comment>
    <comment ref="P44" authorId="0">
      <text>
        <r>
          <rPr>
            <b/>
            <sz val="9"/>
            <color indexed="81"/>
            <rFont val="宋体"/>
            <family val="2"/>
          </rPr>
          <t>#Input("榆炼_能源_能耗日报表_煤_其它辅助部门",":key{{dw}}")</t>
        </r>
      </text>
    </comment>
    <comment ref="Q44" authorId="0">
      <text>
        <r>
          <rPr>
            <b/>
            <sz val="9"/>
            <color indexed="81"/>
            <rFont val="宋体"/>
            <family val="2"/>
          </rPr>
          <t>#Input("榆炼_能源_能耗日报表_干馏瓦斯_其它辅助部门",":key{{dw}}")</t>
        </r>
      </text>
    </comment>
    <comment ref="R44" authorId="0">
      <text>
        <r>
          <rPr>
            <b/>
            <sz val="9"/>
            <color indexed="81"/>
            <rFont val="宋体"/>
            <family val="2"/>
          </rPr>
          <t>#Input("榆炼_能源_能耗日报表_天然气_其它辅助部门",":key{{dw}}")</t>
        </r>
      </text>
    </comment>
    <comment ref="S44" authorId="0">
      <text>
        <r>
          <rPr>
            <b/>
            <sz val="9"/>
            <color indexed="81"/>
            <rFont val="宋体"/>
            <family val="2"/>
          </rPr>
          <t>#Input("榆炼_能源_能耗日报表_催化烧焦_其它辅助部门",":key{{dw}}")</t>
        </r>
      </text>
    </comment>
    <comment ref="T44" authorId="0">
      <text>
        <r>
          <rPr>
            <b/>
            <sz val="9"/>
            <color indexed="81"/>
            <rFont val="宋体"/>
            <family val="2"/>
          </rPr>
          <t>#Input("榆炼_能源_能耗日报表_热进热出_其它辅助部门",":key{{dw}}")</t>
        </r>
      </text>
    </comment>
    <comment ref="U44" authorId="0">
      <text>
        <r>
          <rPr>
            <b/>
            <sz val="9"/>
            <color indexed="81"/>
            <rFont val="宋体"/>
            <family val="2"/>
          </rPr>
          <t>#Input("榆炼_能源_能耗日报表_加工量_其它辅助部门",":key{{dw}}")</t>
        </r>
      </text>
    </comment>
    <comment ref="J45" authorId="0">
      <text>
        <r>
          <rPr>
            <b/>
            <sz val="9"/>
            <color indexed="81"/>
            <rFont val="宋体"/>
            <family val="2"/>
          </rPr>
          <t>#Input("榆炼_能源_能耗日报表_电_损失",":key{{dw}}")</t>
        </r>
      </text>
    </comment>
    <comment ref="U45" authorId="0">
      <text>
        <r>
          <rPr>
            <b/>
            <sz val="9"/>
            <color indexed="81"/>
            <rFont val="宋体"/>
            <family val="2"/>
          </rPr>
          <t>#Input("榆炼_能源_能耗日报表_加工量_损失",":key{{dw}}")</t>
        </r>
      </text>
    </comment>
    <comment ref="J46" authorId="0">
      <text>
        <r>
          <rPr>
            <b/>
            <sz val="9"/>
            <color indexed="81"/>
            <rFont val="宋体"/>
            <family val="2"/>
          </rPr>
          <t>#Input("榆炼_能源_能耗日报表_电_联合一汽轮机",":key{{dw}}")</t>
        </r>
      </text>
    </comment>
    <comment ref="J47" authorId="0">
      <text>
        <r>
          <rPr>
            <sz val="9"/>
            <color indexed="81"/>
            <rFont val="Arial"/>
            <family val="2"/>
          </rPr>
          <t xml:space="preserve">#Input("榆炼_能源_能耗日报表_电_180万催化四机组",":key{{dw}}")
</t>
        </r>
      </text>
    </comment>
    <comment ref="D48" authorId="0">
      <text>
        <r>
          <rPr>
            <b/>
            <sz val="9"/>
            <color indexed="81"/>
            <rFont val="宋体"/>
            <family val="2"/>
          </rPr>
          <t>#Input("榆炼_能源_能耗日报表_单位负责人",":key{{dw}}")</t>
        </r>
      </text>
    </comment>
    <comment ref="K48" authorId="0">
      <text>
        <r>
          <rPr>
            <b/>
            <sz val="9"/>
            <color indexed="81"/>
            <rFont val="宋体"/>
            <family val="2"/>
          </rPr>
          <t>#Input("榆炼_能源_能耗日报表_统计负责人",":key{{dw}}")</t>
        </r>
      </text>
    </comment>
    <comment ref="S48" authorId="0">
      <text>
        <r>
          <rPr>
            <b/>
            <sz val="9"/>
            <color indexed="81"/>
            <rFont val="宋体"/>
            <family val="2"/>
          </rPr>
          <t>#Input("榆炼_能源_能耗日报表_填报人",":key{{dw}}")</t>
        </r>
      </text>
    </comment>
  </commentList>
</comments>
</file>

<file path=xl/sharedStrings.xml><?xml version="1.0" encoding="utf-8"?>
<sst xmlns="http://schemas.openxmlformats.org/spreadsheetml/2006/main" count="259" uniqueCount="150">
  <si>
    <t>能耗数据模板</t>
  </si>
  <si>
    <t>项目代码</t>
  </si>
  <si>
    <t>项目名称</t>
  </si>
  <si>
    <t>新鲜水</t>
  </si>
  <si>
    <t>循环水</t>
  </si>
  <si>
    <t>软化水</t>
  </si>
  <si>
    <t>除盐水</t>
  </si>
  <si>
    <t>除氧水</t>
  </si>
  <si>
    <t>中水</t>
  </si>
  <si>
    <t>电</t>
  </si>
  <si>
    <t>3.5MPa蒸汽</t>
  </si>
  <si>
    <t>1.0MPa蒸汽</t>
  </si>
  <si>
    <t>燃料油</t>
  </si>
  <si>
    <t>燃料气</t>
  </si>
  <si>
    <t>制氢燃料</t>
  </si>
  <si>
    <t>煤</t>
  </si>
  <si>
    <t>干馏瓦斯</t>
  </si>
  <si>
    <t>天然气</t>
  </si>
  <si>
    <t>催化烧焦</t>
  </si>
  <si>
    <t>热进热出</t>
  </si>
  <si>
    <t>加工量</t>
  </si>
  <si>
    <t>吨</t>
  </si>
  <si>
    <t>KWh</t>
  </si>
  <si>
    <t>立方米</t>
  </si>
  <si>
    <t>千克标油</t>
  </si>
  <si>
    <t>N01</t>
  </si>
  <si>
    <t>N02</t>
  </si>
  <si>
    <t>N03</t>
  </si>
  <si>
    <t>N04</t>
  </si>
  <si>
    <t>N22</t>
  </si>
  <si>
    <t>N52</t>
  </si>
  <si>
    <t>N07</t>
  </si>
  <si>
    <t>N09</t>
  </si>
  <si>
    <t>N10</t>
  </si>
  <si>
    <t>N12</t>
  </si>
  <si>
    <t>N13</t>
  </si>
  <si>
    <t>N14</t>
  </si>
  <si>
    <t>N15</t>
  </si>
  <si>
    <t>N16</t>
  </si>
  <si>
    <t>N26</t>
  </si>
  <si>
    <t>N17</t>
  </si>
  <si>
    <t>N18</t>
  </si>
  <si>
    <t>T1000000</t>
  </si>
  <si>
    <t>一、总收入量</t>
  </si>
  <si>
    <t>T1010000</t>
  </si>
  <si>
    <t xml:space="preserve"> 1、外购量</t>
  </si>
  <si>
    <t>T1020000</t>
  </si>
  <si>
    <t xml:space="preserve"> 2、自产/转换量</t>
  </si>
  <si>
    <t>T1020100</t>
  </si>
  <si>
    <t xml:space="preserve">  1）锅炉产蒸汽</t>
  </si>
  <si>
    <t>T1020200</t>
  </si>
  <si>
    <t xml:space="preserve">  2）电站产蒸汽</t>
  </si>
  <si>
    <t>T1030000</t>
  </si>
  <si>
    <t xml:space="preserve"> 3、减温减压蒸汽并网量</t>
  </si>
  <si>
    <t>T1040000</t>
  </si>
  <si>
    <t xml:space="preserve"> 4、发电机用汽及降级量</t>
  </si>
  <si>
    <t>T1050000</t>
  </si>
  <si>
    <t xml:space="preserve"> 5、其他转入量</t>
  </si>
  <si>
    <t>T2000000</t>
  </si>
  <si>
    <t>二、总外销量</t>
  </si>
  <si>
    <t>T3000000</t>
  </si>
  <si>
    <t>三、总供出量</t>
  </si>
  <si>
    <t>T4000000</t>
  </si>
  <si>
    <t>四、总消耗量</t>
  </si>
  <si>
    <t>S01</t>
  </si>
  <si>
    <t>动力单元</t>
  </si>
  <si>
    <t>Z102002300</t>
  </si>
  <si>
    <t xml:space="preserve">    新鲜水场</t>
  </si>
  <si>
    <t>Z102002310</t>
  </si>
  <si>
    <t xml:space="preserve">    循环水场</t>
  </si>
  <si>
    <t>Z102002320</t>
  </si>
  <si>
    <t xml:space="preserve">    电站</t>
  </si>
  <si>
    <t>Z102002330</t>
  </si>
  <si>
    <t xml:space="preserve">    锅炉</t>
  </si>
  <si>
    <t>S02</t>
  </si>
  <si>
    <t>炼油装置</t>
  </si>
  <si>
    <t>Z102004180</t>
  </si>
  <si>
    <t xml:space="preserve">    500万吨/年常压蒸馏</t>
  </si>
  <si>
    <t>Z102004380</t>
  </si>
  <si>
    <t xml:space="preserve">    30万吨/年航煤加氢</t>
  </si>
  <si>
    <t>Z102000102</t>
  </si>
  <si>
    <t xml:space="preserve">    220万吨/年常压蒸馏</t>
  </si>
  <si>
    <t>Z102000190</t>
  </si>
  <si>
    <t xml:space="preserve">    180万吨/年催化裂化</t>
  </si>
  <si>
    <t>Z102000161</t>
  </si>
  <si>
    <t xml:space="preserve">    60万吨/年催化裂化</t>
  </si>
  <si>
    <t>Z102004330</t>
  </si>
  <si>
    <t xml:space="preserve">    100万吨/年连续重整</t>
  </si>
  <si>
    <t>Z102000332</t>
  </si>
  <si>
    <t>酸性水汽提</t>
  </si>
  <si>
    <t>Z102000333</t>
  </si>
  <si>
    <t>液化气脱硫、脱硫醇</t>
  </si>
  <si>
    <t>Z102000334</t>
  </si>
  <si>
    <t>汽油脱硫醇</t>
  </si>
  <si>
    <t>Z102000335</t>
  </si>
  <si>
    <t>催化溶剂再生</t>
  </si>
  <si>
    <t>Z102000336</t>
  </si>
  <si>
    <t>20万吨/年苯抽提(芳烃)</t>
  </si>
  <si>
    <t>Z102004200</t>
  </si>
  <si>
    <t xml:space="preserve">    90万吨/年汽油加氢</t>
  </si>
  <si>
    <t>Z102004190</t>
  </si>
  <si>
    <t xml:space="preserve">    200万吨/年柴油加氢</t>
  </si>
  <si>
    <t>Z102004310</t>
  </si>
  <si>
    <t xml:space="preserve">    20万吨/年DCC裂解石脑油</t>
  </si>
  <si>
    <t>Z102004320</t>
  </si>
  <si>
    <t xml:space="preserve">    20万吨/年DCC裂解轻油</t>
  </si>
  <si>
    <t>Z102004220</t>
  </si>
  <si>
    <t xml:space="preserve">    天然气制氢</t>
  </si>
  <si>
    <t>Z102004210</t>
  </si>
  <si>
    <t xml:space="preserve">    干气制氢</t>
  </si>
  <si>
    <t>Z102001250</t>
  </si>
  <si>
    <t xml:space="preserve">    硫磺回收</t>
  </si>
  <si>
    <t>S05</t>
  </si>
  <si>
    <t>生产辅助</t>
  </si>
  <si>
    <t>Z102002370</t>
  </si>
  <si>
    <t xml:space="preserve">    储运系统</t>
  </si>
  <si>
    <t>Z102002380</t>
  </si>
  <si>
    <t xml:space="preserve">    污水处理</t>
  </si>
  <si>
    <t>Z102002390</t>
  </si>
  <si>
    <t xml:space="preserve">    其它辅助部门</t>
  </si>
  <si>
    <t>T4020600</t>
  </si>
  <si>
    <t>损失</t>
  </si>
  <si>
    <t>联合一汽轮机</t>
  </si>
  <si>
    <t>180万催化四机组</t>
  </si>
  <si>
    <t>单位负责人：</t>
  </si>
  <si>
    <t>统计负责人：</t>
  </si>
  <si>
    <t>填报人：</t>
  </si>
  <si>
    <t>Yul_rpinput</t>
  </si>
  <si>
    <t>榆炼_联合二车间_催化装置_消耗_循环水（催化装置）_日总量</t>
  </si>
  <si>
    <t>榆炼_生产_联合二车间_催化装置_消耗_循环水（催化装置）</t>
  </si>
  <si>
    <t>#SQL("Yul_rpinput","VALUE",":where{NAME="榆炼_生产_联合一车间生产、消耗日报表_硫磺回收除盐水量_日消耗}")</t>
  </si>
  <si>
    <t>500万常压</t>
  </si>
  <si>
    <t>30万航煤</t>
  </si>
  <si>
    <t>60万吨催化裂化</t>
  </si>
  <si>
    <t>100万连续重整</t>
  </si>
  <si>
    <t>酸性水气提</t>
  </si>
  <si>
    <t>90万吨汽油加氢</t>
  </si>
  <si>
    <t>200万柴油加氢</t>
  </si>
  <si>
    <t>20万DCC石脑油</t>
  </si>
  <si>
    <t>1、外够量新鲜水</t>
  </si>
  <si>
    <t>2、自产量循环水</t>
  </si>
  <si>
    <t>2、自产量除盐水</t>
  </si>
  <si>
    <t>2、自产量3.5蒸汽</t>
  </si>
  <si>
    <t>2、自产量燃料气</t>
  </si>
  <si>
    <t>2、自产量催化生焦</t>
  </si>
  <si>
    <t>180四机组</t>
  </si>
  <si>
    <t>储运系统</t>
  </si>
  <si>
    <t>新鲜水场除盐水</t>
  </si>
  <si>
    <t>燃料气外购量</t>
  </si>
  <si>
    <t>YUL_EM_Factory_ByMonth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</si>
</sst>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.00_ "/>
  </numFmts>
  <fonts count="28">
    <font>
      <sz val="12"/>
      <color rgb="FF000000"/>
      <name val="宋体"/>
    </font>
    <font>
      <sz val="11"/>
      <color theme="1"/>
      <name val="DengXian"/>
      <scheme val="minor"/>
    </font>
    <font>
      <sz val="11"/>
      <color theme="0"/>
      <name val="DengXian"/>
      <scheme val="minor"/>
    </font>
    <font>
      <sz val="11"/>
      <color rgb="FF9C0006"/>
      <name val="DengXian"/>
      <scheme val="minor"/>
    </font>
    <font>
      <b/>
      <sz val="11"/>
      <color rgb="FFFA7D00"/>
      <name val="DengXian"/>
      <scheme val="minor"/>
    </font>
    <font>
      <b/>
      <sz val="11"/>
      <color theme="0"/>
      <name val="DengXian"/>
      <scheme val="minor"/>
    </font>
    <font>
      <sz val="11"/>
      <color indexed="0"/>
      <name val="Calibri"/>
      <family val="2"/>
    </font>
    <font>
      <i/>
      <sz val="11"/>
      <color rgb="FF7F7F7F"/>
      <name val="DengXian"/>
      <scheme val="minor"/>
    </font>
    <font>
      <sz val="11"/>
      <color rgb="FF006100"/>
      <name val="DengXian"/>
      <scheme val="minor"/>
    </font>
    <font>
      <b/>
      <sz val="15"/>
      <color theme="3"/>
      <name val="DengXian"/>
      <scheme val="minor"/>
    </font>
    <font>
      <b/>
      <sz val="13"/>
      <color theme="3"/>
      <name val="DengXian"/>
      <scheme val="minor"/>
    </font>
    <font>
      <b/>
      <sz val="11"/>
      <color theme="3"/>
      <name val="DengXian"/>
      <scheme val="minor"/>
    </font>
    <font>
      <sz val="11"/>
      <color rgb="FF3F3F76"/>
      <name val="DengXian"/>
      <scheme val="minor"/>
    </font>
    <font>
      <sz val="11"/>
      <color rgb="FFFA7D00"/>
      <name val="DengXian"/>
      <scheme val="minor"/>
    </font>
    <font>
      <sz val="11"/>
      <color rgb="FF9C6500"/>
      <name val="DengXian"/>
      <scheme val="minor"/>
    </font>
    <font>
      <b/>
      <sz val="11"/>
      <color rgb="FF3F3F3F"/>
      <name val="DengXian"/>
      <scheme val="minor"/>
    </font>
    <font>
      <b/>
      <sz val="18"/>
      <color theme="3"/>
      <name val="DengXian Light"/>
      <scheme val="major"/>
    </font>
    <font>
      <b/>
      <sz val="11"/>
      <color theme="1"/>
      <name val="DengXian"/>
      <scheme val="minor"/>
    </font>
    <font>
      <sz val="11"/>
      <color rgb="FFFF0000"/>
      <name val="DengXian"/>
      <scheme val="minor"/>
    </font>
    <font>
      <sz val="10"/>
      <color rgb="FF000000"/>
      <name val="等线"/>
    </font>
    <font>
      <sz val="8"/>
      <color rgb="FF000000"/>
      <name val="宋体"/>
    </font>
    <font>
      <sz val="12"/>
      <color auto="1"/>
      <name val="宋体"/>
    </font>
    <font>
      <sz val="10"/>
      <color auto="1"/>
      <name val="等线"/>
    </font>
    <font>
      <sz val="12"/>
      <color theme="1"/>
      <name val="DengXian"/>
      <scheme val="minor"/>
    </font>
    <font>
      <sz val="10"/>
      <color theme="1"/>
      <name val="等线"/>
    </font>
    <font>
      <sz val="11"/>
      <color rgb="FF000000"/>
      <name val="等线"/>
    </font>
    <font>
      <sz val="11"/>
      <color auto="1"/>
      <name val="等线"/>
    </font>
    <font>
      <b/>
      <sz val="18"/>
      <color rgb="FF000000"/>
      <name val="等线"/>
    </font>
  </fonts>
  <fills count="35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theme="0"/>
      </patternFill>
    </fill>
  </fills>
  <borders count="15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10000"/>
      </left>
      <right style="thin">
        <color rgb="FF010000"/>
      </right>
      <top style="thin">
        <color rgb="FF01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</borders>
  <cellStyleXfs count="47">
    <xf numFmtId="0" fontId="0" fillId="0" borderId="0" applyFont="1" applyFill="0" applyBorder="0"/>
    <xf numFmtId="0" fontId="1" fillId="2" borderId="0" applyFont="1" applyFill="1" applyBorder="0">
      <alignment vertical="top"/>
    </xf>
    <xf numFmtId="0" fontId="1" fillId="3" borderId="0" applyFont="1" applyFill="1" applyBorder="0">
      <alignment vertical="top"/>
    </xf>
    <xf numFmtId="0" fontId="1" fillId="4" borderId="0" applyFont="1" applyFill="1" applyBorder="0">
      <alignment vertical="top"/>
    </xf>
    <xf numFmtId="0" fontId="1" fillId="5" borderId="0" applyFont="1" applyFill="1" applyBorder="0">
      <alignment vertical="top"/>
    </xf>
    <xf numFmtId="0" fontId="1" fillId="6" borderId="0" applyFont="1" applyFill="1" applyBorder="0">
      <alignment vertical="top"/>
    </xf>
    <xf numFmtId="0" fontId="1" fillId="7" borderId="0" applyFont="1" applyFill="1" applyBorder="0">
      <alignment vertical="top"/>
    </xf>
    <xf numFmtId="0" fontId="1" fillId="8" borderId="0" applyFont="1" applyFill="1" applyBorder="0">
      <alignment vertical="top"/>
    </xf>
    <xf numFmtId="0" fontId="1" fillId="9" borderId="0" applyFont="1" applyFill="1" applyBorder="0">
      <alignment vertical="top"/>
    </xf>
    <xf numFmtId="0" fontId="1" fillId="10" borderId="0" applyFont="1" applyFill="1" applyBorder="0">
      <alignment vertical="top"/>
    </xf>
    <xf numFmtId="0" fontId="1" fillId="11" borderId="0" applyFont="1" applyFill="1" applyBorder="0">
      <alignment vertical="top"/>
    </xf>
    <xf numFmtId="0" fontId="1" fillId="12" borderId="0" applyFont="1" applyFill="1" applyBorder="0">
      <alignment vertical="top"/>
    </xf>
    <xf numFmtId="0" fontId="1" fillId="13" borderId="0" applyFont="1" applyFill="1" applyBorder="0">
      <alignment vertical="top"/>
    </xf>
    <xf numFmtId="0" fontId="2" fillId="14" borderId="0" applyFont="1" applyFill="1" applyBorder="0">
      <alignment vertical="top"/>
    </xf>
    <xf numFmtId="0" fontId="2" fillId="15" borderId="0" applyFont="1" applyFill="1" applyBorder="0">
      <alignment vertical="top"/>
    </xf>
    <xf numFmtId="0" fontId="2" fillId="16" borderId="0" applyFont="1" applyFill="1" applyBorder="0">
      <alignment vertical="top"/>
    </xf>
    <xf numFmtId="0" fontId="2" fillId="17" borderId="0" applyFont="1" applyFill="1" applyBorder="0">
      <alignment vertical="top"/>
    </xf>
    <xf numFmtId="0" fontId="2" fillId="18" borderId="0" applyFont="1" applyFill="1" applyBorder="0">
      <alignment vertical="top"/>
    </xf>
    <xf numFmtId="0" fontId="2" fillId="19" borderId="0" applyFont="1" applyFill="1" applyBorder="0">
      <alignment vertical="top"/>
    </xf>
    <xf numFmtId="0" fontId="2" fillId="20" borderId="0" applyFont="1" applyFill="1" applyBorder="0">
      <alignment vertical="top"/>
    </xf>
    <xf numFmtId="0" fontId="2" fillId="21" borderId="0" applyFont="1" applyFill="1" applyBorder="0">
      <alignment vertical="top"/>
    </xf>
    <xf numFmtId="0" fontId="2" fillId="22" borderId="0" applyFont="1" applyFill="1" applyBorder="0">
      <alignment vertical="top"/>
    </xf>
    <xf numFmtId="0" fontId="2" fillId="23" borderId="0" applyFont="1" applyFill="1" applyBorder="0">
      <alignment vertical="top"/>
    </xf>
    <xf numFmtId="0" fontId="2" fillId="24" borderId="0" applyFont="1" applyFill="1" applyBorder="0">
      <alignment vertical="top"/>
    </xf>
    <xf numFmtId="0" fontId="2" fillId="25" borderId="0" applyFont="1" applyFill="1" applyBorder="0">
      <alignment vertical="top"/>
    </xf>
    <xf numFmtId="0" fontId="3" fillId="26" borderId="0" applyFont="1" applyFill="1" applyBorder="0">
      <alignment vertical="top"/>
    </xf>
    <xf numFmtId="0" fontId="4" fillId="27" borderId="1" applyFont="1" applyFill="1" applyBorder="1">
      <alignment vertical="top"/>
    </xf>
    <xf numFmtId="0" fontId="5" fillId="28" borderId="2" applyFont="1" applyFill="1" applyBorder="1">
      <alignment vertical="top"/>
    </xf>
    <xf numFmtId="43" fontId="6" fillId="0" borderId="0" applyFont="0" applyFill="0" applyBorder="0" applyNumberFormat="1">
      <alignment vertical="top"/>
    </xf>
    <xf numFmtId="41" fontId="6" fillId="0" borderId="0" applyFont="0" applyFill="0" applyBorder="0" applyNumberFormat="1">
      <alignment vertical="top"/>
    </xf>
    <xf numFmtId="44" fontId="6" fillId="0" borderId="0" applyFont="0" applyFill="0" applyBorder="0" applyNumberFormat="1">
      <alignment vertical="top"/>
    </xf>
    <xf numFmtId="42" fontId="6" fillId="0" borderId="0" applyFont="0" applyFill="0" applyBorder="0" applyNumberFormat="1">
      <alignment vertical="top"/>
    </xf>
    <xf numFmtId="0" fontId="7" fillId="0" borderId="0" applyFont="1" applyFill="0" applyBorder="0">
      <alignment vertical="top"/>
    </xf>
    <xf numFmtId="0" fontId="8" fillId="29" borderId="0" applyFont="1" applyFill="1" applyBorder="0">
      <alignment vertical="top"/>
    </xf>
    <xf numFmtId="0" fontId="9" fillId="0" borderId="3" applyFont="1" applyFill="0" applyBorder="1">
      <alignment vertical="top"/>
    </xf>
    <xf numFmtId="0" fontId="10" fillId="0" borderId="4" applyFont="1" applyFill="0" applyBorder="1">
      <alignment vertical="top"/>
    </xf>
    <xf numFmtId="0" fontId="11" fillId="0" borderId="5" applyFont="1" applyFill="0" applyBorder="1">
      <alignment vertical="top"/>
    </xf>
    <xf numFmtId="0" fontId="11" fillId="0" borderId="0" applyFont="1" applyFill="0" applyBorder="0">
      <alignment vertical="top"/>
    </xf>
    <xf numFmtId="0" fontId="12" fillId="30" borderId="1" applyFont="1" applyFill="1" applyBorder="1">
      <alignment vertical="top"/>
    </xf>
    <xf numFmtId="0" fontId="13" fillId="0" borderId="6" applyFont="1" applyFill="0" applyBorder="1">
      <alignment vertical="top"/>
    </xf>
    <xf numFmtId="0" fontId="14" fillId="31" borderId="0" applyFont="1" applyFill="1" applyBorder="0">
      <alignment vertical="top"/>
    </xf>
    <xf numFmtId="0" fontId="6" fillId="32" borderId="7" applyFont="0" applyFill="1" applyBorder="1">
      <alignment vertical="top"/>
    </xf>
    <xf numFmtId="0" fontId="15" fillId="27" borderId="8" applyFont="1" applyFill="1" applyBorder="1">
      <alignment vertical="top"/>
    </xf>
    <xf numFmtId="9" fontId="6" fillId="0" borderId="0" applyFont="0" applyFill="0" applyBorder="0" applyNumberFormat="1">
      <alignment vertical="top"/>
    </xf>
    <xf numFmtId="0" fontId="16" fillId="0" borderId="0" applyFont="1" applyFill="0" applyBorder="0">
      <alignment vertical="top"/>
    </xf>
    <xf numFmtId="0" fontId="17" fillId="0" borderId="9" applyFont="1" applyFill="0" applyBorder="1">
      <alignment vertical="top"/>
    </xf>
    <xf numFmtId="0" fontId="18" fillId="0" borderId="0" applyFont="1" applyFill="0" applyBorder="0">
      <alignment vertical="top"/>
    </xf>
  </cellStyleXfs>
  <cellXfs count="154">
    <xf numFmtId="0" fontId="0" fillId="0" borderId="0" xfId="0" applyFont="1"/>
    <xf numFmtId="0" fontId="1" fillId="2" borderId="0" xfId="1" applyFont="1" applyFill="1">
      <alignment vertical="top"/>
    </xf>
    <xf numFmtId="0" fontId="1" fillId="3" borderId="0" xfId="2" applyFont="1" applyFill="1">
      <alignment vertical="top"/>
    </xf>
    <xf numFmtId="0" fontId="1" fillId="4" borderId="0" xfId="3" applyFont="1" applyFill="1">
      <alignment vertical="top"/>
    </xf>
    <xf numFmtId="0" fontId="1" fillId="5" borderId="0" xfId="4" applyFont="1" applyFill="1">
      <alignment vertical="top"/>
    </xf>
    <xf numFmtId="0" fontId="1" fillId="6" borderId="0" xfId="5" applyFont="1" applyFill="1">
      <alignment vertical="top"/>
    </xf>
    <xf numFmtId="0" fontId="1" fillId="7" borderId="0" xfId="6" applyFont="1" applyFill="1">
      <alignment vertical="top"/>
    </xf>
    <xf numFmtId="0" fontId="1" fillId="8" borderId="0" xfId="7" applyFont="1" applyFill="1">
      <alignment vertical="top"/>
    </xf>
    <xf numFmtId="0" fontId="1" fillId="9" borderId="0" xfId="8" applyFont="1" applyFill="1">
      <alignment vertical="top"/>
    </xf>
    <xf numFmtId="0" fontId="1" fillId="10" borderId="0" xfId="9" applyFont="1" applyFill="1">
      <alignment vertical="top"/>
    </xf>
    <xf numFmtId="0" fontId="1" fillId="11" borderId="0" xfId="10" applyFont="1" applyFill="1">
      <alignment vertical="top"/>
    </xf>
    <xf numFmtId="0" fontId="1" fillId="12" borderId="0" xfId="11" applyFont="1" applyFill="1">
      <alignment vertical="top"/>
    </xf>
    <xf numFmtId="0" fontId="1" fillId="13" borderId="0" xfId="12" applyFont="1" applyFill="1">
      <alignment vertical="top"/>
    </xf>
    <xf numFmtId="0" fontId="2" fillId="14" borderId="0" xfId="13" applyFont="1" applyFill="1">
      <alignment vertical="top"/>
    </xf>
    <xf numFmtId="0" fontId="2" fillId="15" borderId="0" xfId="14" applyFont="1" applyFill="1">
      <alignment vertical="top"/>
    </xf>
    <xf numFmtId="0" fontId="2" fillId="16" borderId="0" xfId="15" applyFont="1" applyFill="1">
      <alignment vertical="top"/>
    </xf>
    <xf numFmtId="0" fontId="2" fillId="17" borderId="0" xfId="16" applyFont="1" applyFill="1">
      <alignment vertical="top"/>
    </xf>
    <xf numFmtId="0" fontId="2" fillId="18" borderId="0" xfId="17" applyFont="1" applyFill="1">
      <alignment vertical="top"/>
    </xf>
    <xf numFmtId="0" fontId="2" fillId="19" borderId="0" xfId="18" applyFont="1" applyFill="1">
      <alignment vertical="top"/>
    </xf>
    <xf numFmtId="0" fontId="2" fillId="20" borderId="0" xfId="19" applyFont="1" applyFill="1">
      <alignment vertical="top"/>
    </xf>
    <xf numFmtId="0" fontId="2" fillId="21" borderId="0" xfId="20" applyFont="1" applyFill="1">
      <alignment vertical="top"/>
    </xf>
    <xf numFmtId="0" fontId="2" fillId="22" borderId="0" xfId="21" applyFont="1" applyFill="1">
      <alignment vertical="top"/>
    </xf>
    <xf numFmtId="0" fontId="2" fillId="23" borderId="0" xfId="22" applyFont="1" applyFill="1">
      <alignment vertical="top"/>
    </xf>
    <xf numFmtId="0" fontId="2" fillId="24" borderId="0" xfId="23" applyFont="1" applyFill="1">
      <alignment vertical="top"/>
    </xf>
    <xf numFmtId="0" fontId="2" fillId="25" borderId="0" xfId="24" applyFont="1" applyFill="1">
      <alignment vertical="top"/>
    </xf>
    <xf numFmtId="0" fontId="3" fillId="26" borderId="0" xfId="25" applyFont="1" applyFill="1">
      <alignment vertical="top"/>
    </xf>
    <xf numFmtId="0" fontId="4" fillId="27" borderId="1" xfId="26" applyFont="1" applyFill="1" applyBorder="1">
      <alignment vertical="top"/>
    </xf>
    <xf numFmtId="0" fontId="5" fillId="28" borderId="2" xfId="27" applyFont="1" applyFill="1" applyBorder="1">
      <alignment vertical="top"/>
    </xf>
    <xf numFmtId="43" fontId="6" fillId="0" borderId="0" xfId="28" applyFont="0" applyNumberFormat="1">
      <alignment vertical="top"/>
    </xf>
    <xf numFmtId="41" fontId="6" fillId="0" borderId="0" xfId="29" applyFont="0" applyNumberFormat="1">
      <alignment vertical="top"/>
    </xf>
    <xf numFmtId="44" fontId="6" fillId="0" borderId="0" xfId="30" applyFont="0" applyNumberFormat="1">
      <alignment vertical="top"/>
    </xf>
    <xf numFmtId="42" fontId="6" fillId="0" borderId="0" xfId="31" applyFont="0" applyNumberFormat="1">
      <alignment vertical="top"/>
    </xf>
    <xf numFmtId="0" fontId="7" fillId="0" borderId="0" xfId="32" applyFont="1">
      <alignment vertical="top"/>
    </xf>
    <xf numFmtId="0" fontId="8" fillId="29" borderId="0" xfId="33" applyFont="1" applyFill="1">
      <alignment vertical="top"/>
    </xf>
    <xf numFmtId="0" fontId="9" fillId="0" borderId="3" xfId="34" applyFont="1" applyBorder="1">
      <alignment vertical="top"/>
    </xf>
    <xf numFmtId="0" fontId="10" fillId="0" borderId="4" xfId="35" applyFont="1" applyBorder="1">
      <alignment vertical="top"/>
    </xf>
    <xf numFmtId="0" fontId="11" fillId="0" borderId="5" xfId="36" applyFont="1" applyBorder="1">
      <alignment vertical="top"/>
    </xf>
    <xf numFmtId="0" fontId="11" fillId="0" borderId="0" xfId="37" applyFont="1">
      <alignment vertical="top"/>
    </xf>
    <xf numFmtId="0" fontId="12" fillId="30" borderId="1" xfId="38" applyFont="1" applyFill="1" applyBorder="1">
      <alignment vertical="top"/>
    </xf>
    <xf numFmtId="0" fontId="13" fillId="0" borderId="6" xfId="39" applyFont="1" applyBorder="1">
      <alignment vertical="top"/>
    </xf>
    <xf numFmtId="0" fontId="14" fillId="31" borderId="0" xfId="40" applyFont="1" applyFill="1">
      <alignment vertical="top"/>
    </xf>
    <xf numFmtId="0" fontId="6" fillId="32" borderId="7" xfId="41" applyFont="0" applyFill="1" applyBorder="1">
      <alignment vertical="top"/>
    </xf>
    <xf numFmtId="0" fontId="15" fillId="27" borderId="8" xfId="42" applyFont="1" applyFill="1" applyBorder="1">
      <alignment vertical="top"/>
    </xf>
    <xf numFmtId="9" fontId="6" fillId="0" borderId="0" xfId="43" applyFont="0" applyNumberFormat="1">
      <alignment vertical="top"/>
    </xf>
    <xf numFmtId="0" fontId="16" fillId="0" borderId="0" xfId="44" applyFont="1">
      <alignment vertical="top"/>
    </xf>
    <xf numFmtId="0" fontId="17" fillId="0" borderId="9" xfId="45" applyFont="1" applyBorder="1">
      <alignment vertical="top"/>
    </xf>
    <xf numFmtId="0" fontId="18" fillId="0" borderId="0" xfId="46" applyFont="1">
      <alignment vertical="top"/>
    </xf>
    <xf numFmtId="0" fontId="19" fillId="0" borderId="10" xfId="0" applyFont="1" applyBorder="1">
      <alignment horizontal="center" vertical="center" wrapText="1"/>
      <protection locked="0"/>
    </xf>
    <xf numFmtId="0" fontId="19" fillId="0" borderId="10" xfId="0" applyFont="1" applyBorder="1">
      <alignment horizontal="right" vertical="center"/>
      <protection locked="0"/>
    </xf>
    <xf numFmtId="0" fontId="19" fillId="0" borderId="10" xfId="0" applyFont="1" applyBorder="1">
      <alignment horizontal="right" vertical="center"/>
      <protection locked="0"/>
    </xf>
    <xf numFmtId="0" fontId="19" fillId="0" borderId="10" xfId="0" applyFont="1" applyBorder="1">
      <alignment horizontal="center" vertical="center"/>
      <protection locked="0"/>
    </xf>
    <xf numFmtId="0" fontId="19" fillId="0" borderId="10" xfId="0" applyFont="1" applyBorder="1">
      <alignment horizontal="center" vertical="center"/>
      <protection locked="0"/>
    </xf>
    <xf numFmtId="0" fontId="19" fillId="0" borderId="10" xfId="0" applyFont="1" applyBorder="1">
      <alignment horizontal="right" vertical="center" shrinkToFit="1"/>
      <protection locked="0"/>
    </xf>
    <xf numFmtId="0" fontId="19" fillId="4" borderId="10" xfId="0" applyFont="1" applyFill="1" applyBorder="1">
      <alignment horizontal="right" vertical="center" shrinkToFit="1"/>
      <protection locked="0"/>
    </xf>
    <xf numFmtId="0" fontId="20" fillId="0" borderId="11" xfId="0" applyFont="1" applyBorder="1">
      <alignment horizontal="right" vertical="center" shrinkToFit="1"/>
    </xf>
    <xf numFmtId="0" fontId="19" fillId="4" borderId="0" xfId="0" applyFont="1" applyFill="1">
      <alignment horizontal="right" vertical="center" shrinkToFit="1"/>
      <protection locked="0"/>
    </xf>
    <xf numFmtId="0" fontId="21" fillId="0" borderId="0" xfId="0" applyFont="1">
      <alignment shrinkToFit="1"/>
    </xf>
    <xf numFmtId="0" fontId="19" fillId="0" borderId="10" xfId="0" applyFont="1" applyBorder="1">
      <alignment horizontal="right" vertical="center" shrinkToFit="1"/>
      <protection locked="0"/>
    </xf>
    <xf numFmtId="0" fontId="22" fillId="4" borderId="10" xfId="0" applyFont="1" applyFill="1" applyBorder="1">
      <alignment horizontal="right" vertical="center" shrinkToFit="1"/>
      <protection locked="0"/>
    </xf>
    <xf numFmtId="0" fontId="20" fillId="33" borderId="11" xfId="0" applyFont="1" applyFill="1" applyBorder="1">
      <alignment horizontal="right" vertical="center" shrinkToFit="1"/>
    </xf>
    <xf numFmtId="0" fontId="20" fillId="0" borderId="0" xfId="0" applyFont="1">
      <alignment horizontal="right" vertical="center" shrinkToFit="1"/>
    </xf>
    <xf numFmtId="0" fontId="21" fillId="0" borderId="0" xfId="0" applyFont="1"/>
    <xf numFmtId="0" fontId="20" fillId="0" borderId="11" xfId="0" applyFont="1" applyBorder="1">
      <alignment horizontal="right" vertical="center" shrinkToFit="1"/>
    </xf>
    <xf numFmtId="0" fontId="23" fillId="0" borderId="0" xfId="0" applyFont="1"/>
    <xf numFmtId="0" fontId="24" fillId="4" borderId="10" xfId="0" applyFont="1" applyFill="1" applyBorder="1">
      <alignment horizontal="right" vertical="center" shrinkToFit="1"/>
      <protection locked="0"/>
    </xf>
    <xf numFmtId="0" fontId="23" fillId="0" borderId="0" xfId="0" applyFont="1"/>
    <xf numFmtId="0" fontId="19" fillId="0" borderId="10" xfId="0" applyFont="1" applyBorder="1">
      <alignment horizontal="center" vertical="center" wrapText="1"/>
      <protection locked="0"/>
    </xf>
    <xf numFmtId="0" fontId="19" fillId="0" borderId="12" xfId="0" applyFont="1" applyBorder="1">
      <alignment horizontal="right" vertical="center"/>
      <protection locked="0"/>
    </xf>
    <xf numFmtId="171" fontId="19" fillId="0" borderId="10" xfId="0" applyFont="1" applyBorder="1" applyNumberFormat="1">
      <alignment horizontal="right" vertical="center"/>
      <protection locked="0"/>
    </xf>
    <xf numFmtId="171" fontId="19" fillId="4" borderId="10" xfId="0" applyFont="1" applyFill="1" applyBorder="1" applyNumberFormat="1">
      <alignment horizontal="right" vertical="center"/>
      <protection locked="0"/>
    </xf>
    <xf numFmtId="171" fontId="19" fillId="0" borderId="10" xfId="0" applyFont="1" applyBorder="1" applyNumberFormat="1">
      <alignment horizontal="right" vertical="center"/>
      <protection locked="0"/>
    </xf>
    <xf numFmtId="171" fontId="19" fillId="34" borderId="10" xfId="0" applyFont="1" applyFill="1" applyBorder="1" applyNumberFormat="1">
      <alignment horizontal="right" vertical="center"/>
      <protection locked="0"/>
    </xf>
    <xf numFmtId="171" fontId="22" fillId="4" borderId="10" xfId="0" applyFont="1" applyFill="1" applyBorder="1" applyNumberFormat="1">
      <alignment horizontal="right" vertical="center"/>
      <protection locked="0"/>
    </xf>
    <xf numFmtId="171" fontId="19" fillId="4" borderId="10" xfId="0" applyFont="1" applyFill="1" applyBorder="1" applyNumberFormat="1">
      <alignment horizontal="right" vertical="center"/>
      <protection locked="0"/>
    </xf>
    <xf numFmtId="171" fontId="19" fillId="0" borderId="12" xfId="0" applyFont="1" applyBorder="1" applyNumberFormat="1">
      <alignment horizontal="right" vertical="center"/>
      <protection locked="0"/>
    </xf>
    <xf numFmtId="171" fontId="19" fillId="4" borderId="12" xfId="0" applyFont="1" applyFill="1" applyBorder="1" applyNumberFormat="1">
      <alignment horizontal="right" vertical="center"/>
      <protection locked="0"/>
    </xf>
    <xf numFmtId="0" fontId="19" fillId="0" borderId="12" xfId="0" applyFont="1" applyBorder="1">
      <alignment horizontal="center" vertical="center"/>
      <protection locked="0"/>
    </xf>
    <xf numFmtId="0" fontId="23" fillId="0" borderId="0" xfId="0" applyFont="1"/>
    <xf numFmtId="0" fontId="23" fillId="0" borderId="0" xfId="0" applyFont="1"/>
    <xf numFmtId="0" fontId="19" fillId="0" borderId="13" xfId="0" applyFont="1" applyBorder="1">
      <alignment horizontal="right" vertical="center"/>
      <protection locked="0"/>
    </xf>
    <xf numFmtId="0" fontId="0" fillId="0" borderId="11" xfId="0" applyFont="1" applyBorder="1"/>
    <xf numFmtId="0" fontId="21" fillId="0" borderId="13" xfId="0" applyFont="1" applyBorder="1">
      <alignment horizontal="right"/>
    </xf>
    <xf numFmtId="171" fontId="21" fillId="0" borderId="13" xfId="0" applyFont="1" applyBorder="1" applyNumberFormat="1">
      <alignment horizontal="right"/>
    </xf>
    <xf numFmtId="171" fontId="21" fillId="4" borderId="13" xfId="0" applyFont="1" applyFill="1" applyBorder="1" applyNumberFormat="1">
      <alignment horizontal="right"/>
    </xf>
    <xf numFmtId="0" fontId="19" fillId="0" borderId="11" xfId="0" applyFont="1" applyBorder="1">
      <alignment horizontal="right" vertical="center"/>
      <protection locked="0"/>
    </xf>
    <xf numFmtId="171" fontId="0" fillId="0" borderId="11" xfId="0" applyFont="1" applyBorder="1" applyNumberFormat="1"/>
    <xf numFmtId="171" fontId="21" fillId="4" borderId="11" xfId="0" applyFont="1" applyFill="1" applyBorder="1" applyNumberFormat="1">
      <alignment wrapText="1"/>
    </xf>
    <xf numFmtId="171" fontId="25" fillId="4" borderId="10" xfId="0" applyFont="1" applyFill="1" applyBorder="1" applyNumberFormat="1">
      <alignment horizontal="right" vertical="center"/>
      <protection locked="0"/>
    </xf>
    <xf numFmtId="0" fontId="25" fillId="0" borderId="0" xfId="0" applyFont="1">
      <alignment horizontal="right"/>
    </xf>
    <xf numFmtId="0" fontId="25" fillId="0" borderId="14" xfId="0" applyFont="1" applyBorder="1"/>
    <xf numFmtId="0" fontId="26" fillId="0" borderId="0" xfId="0" applyFont="1">
      <alignment horizontal="right" vertical="center"/>
    </xf>
    <xf numFmtId="0" fontId="21" fillId="0" borderId="0" xfId="0" applyFont="1"/>
    <xf numFmtId="0" fontId="25" fillId="0" borderId="0" xfId="0" applyFont="1"/>
    <xf numFmtId="0" fontId="27" fillId="0" borderId="0" xfId="0" applyFont="1">
      <alignment horizontal="center" vertical="center"/>
      <protection locked="0"/>
    </xf>
    <xf numFmtId="0" fontId="19" fillId="0" borderId="10" xfId="0" applyFont="1" applyBorder="1">
      <alignment horizontal="center" vertical="center" wrapText="1"/>
      <protection locked="0"/>
    </xf>
    <xf numFmtId="0" fontId="25" fillId="0" borderId="14" xfId="0" applyFont="1" applyBorder="1">
      <alignment horizontal="right"/>
    </xf>
    <xf numFmtId="0" fontId="25" fillId="4" borderId="14" xfId="0" applyFont="1" applyFill="1" applyBorder="1">
      <alignment horizontal="left"/>
    </xf>
    <xf numFmtId="0" fontId="23" fillId="0" borderId="0" xfId="0" applyFont="1"/>
    <xf numFmtId="0" fontId="0" fillId="0" borderId="0" xfId="0" applyFont="1">
      <alignment wrapText="1"/>
    </xf>
    <xf numFmtId="0" fontId="27" fillId="0" borderId="0" xfId="0" applyFont="1">
      <alignment horizontal="center" vertical="center" wrapText="1"/>
      <protection locked="0"/>
    </xf>
    <xf numFmtId="0" fontId="19" fillId="0" borderId="10" xfId="0" applyFont="1" applyBorder="1">
      <alignment horizontal="center" vertical="center" wrapText="1"/>
      <protection locked="0"/>
    </xf>
    <xf numFmtId="0" fontId="19" fillId="0" borderId="10" xfId="0" applyFont="1" applyBorder="1">
      <alignment horizontal="center" vertical="center" wrapText="1"/>
      <protection locked="0"/>
    </xf>
    <xf numFmtId="0" fontId="19" fillId="0" borderId="10" xfId="0" applyFont="1" applyBorder="1">
      <alignment horizontal="center" vertical="center" wrapText="1"/>
      <protection locked="0"/>
    </xf>
    <xf numFmtId="0" fontId="19" fillId="0" borderId="10" xfId="0" applyFont="1" applyBorder="1">
      <alignment horizontal="center" vertical="center" wrapText="1"/>
      <protection locked="0"/>
    </xf>
    <xf numFmtId="0" fontId="19" fillId="0" borderId="10" xfId="0" applyFont="1" applyBorder="1">
      <alignment horizontal="right" vertical="center" wrapText="1"/>
      <protection locked="0"/>
    </xf>
    <xf numFmtId="171" fontId="19" fillId="0" borderId="10" xfId="0" applyFont="1" applyBorder="1" applyNumberFormat="1">
      <alignment horizontal="right" vertical="center" wrapText="1"/>
      <protection locked="0"/>
    </xf>
    <xf numFmtId="171" fontId="19" fillId="4" borderId="10" xfId="0" applyFont="1" applyFill="1" applyBorder="1" applyNumberFormat="1">
      <alignment horizontal="right" vertical="center" wrapText="1"/>
      <protection locked="0"/>
    </xf>
    <xf numFmtId="171" fontId="19" fillId="0" borderId="10" xfId="0" applyFont="1" applyBorder="1" applyNumberFormat="1">
      <alignment horizontal="right" vertical="center" wrapText="1"/>
      <protection locked="0"/>
    </xf>
    <xf numFmtId="171" fontId="19" fillId="34" borderId="10" xfId="0" applyFont="1" applyFill="1" applyBorder="1" applyNumberFormat="1">
      <alignment horizontal="right" vertical="center" wrapText="1"/>
      <protection locked="0"/>
    </xf>
    <xf numFmtId="171" fontId="22" fillId="4" borderId="10" xfId="0" applyFont="1" applyFill="1" applyBorder="1" applyNumberFormat="1">
      <alignment horizontal="right" vertical="center" wrapText="1"/>
      <protection locked="0"/>
    </xf>
    <xf numFmtId="0" fontId="21" fillId="0" borderId="0" xfId="0" applyFont="1">
      <alignment wrapText="1"/>
    </xf>
    <xf numFmtId="0" fontId="19" fillId="0" borderId="10" xfId="0" applyFont="1" applyBorder="1">
      <alignment horizontal="center" vertical="center" wrapText="1"/>
      <protection locked="0"/>
    </xf>
    <xf numFmtId="0" fontId="19" fillId="0" borderId="10" xfId="0" applyFont="1" applyBorder="1">
      <alignment horizontal="right" vertical="center" wrapText="1"/>
      <protection locked="0"/>
    </xf>
    <xf numFmtId="171" fontId="19" fillId="4" borderId="10" xfId="0" applyFont="1" applyFill="1" applyBorder="1" applyNumberFormat="1">
      <alignment horizontal="right" vertical="center" wrapText="1"/>
      <protection locked="0"/>
    </xf>
    <xf numFmtId="0" fontId="19" fillId="0" borderId="12" xfId="0" applyFont="1" applyBorder="1">
      <alignment horizontal="center" vertical="center" wrapText="1"/>
      <protection locked="0"/>
    </xf>
    <xf numFmtId="0" fontId="19" fillId="0" borderId="12" xfId="0" applyFont="1" applyBorder="1">
      <alignment horizontal="right" vertical="center" wrapText="1"/>
      <protection locked="0"/>
    </xf>
    <xf numFmtId="171" fontId="19" fillId="0" borderId="12" xfId="0" applyFont="1" applyBorder="1" applyNumberFormat="1">
      <alignment horizontal="right" vertical="center" wrapText="1"/>
      <protection locked="0"/>
    </xf>
    <xf numFmtId="171" fontId="19" fillId="4" borderId="12" xfId="0" applyFont="1" applyFill="1" applyBorder="1" applyNumberFormat="1">
      <alignment horizontal="right" vertical="center" wrapText="1"/>
      <protection locked="0"/>
    </xf>
    <xf numFmtId="0" fontId="21" fillId="0" borderId="13" xfId="0" applyFont="1" applyBorder="1">
      <alignment horizontal="right" wrapText="1"/>
    </xf>
    <xf numFmtId="0" fontId="19" fillId="0" borderId="13" xfId="0" applyFont="1" applyBorder="1">
      <alignment horizontal="right" vertical="center" wrapText="1"/>
      <protection locked="0"/>
    </xf>
    <xf numFmtId="171" fontId="21" fillId="0" borderId="13" xfId="0" applyFont="1" applyBorder="1" applyNumberFormat="1">
      <alignment horizontal="right" wrapText="1"/>
    </xf>
    <xf numFmtId="171" fontId="21" fillId="4" borderId="13" xfId="0" applyFont="1" applyFill="1" applyBorder="1" applyNumberFormat="1">
      <alignment horizontal="right" wrapText="1"/>
      <protection locked="0"/>
    </xf>
    <xf numFmtId="0" fontId="0" fillId="0" borderId="11" xfId="0" applyFont="1" applyBorder="1">
      <alignment wrapText="1"/>
    </xf>
    <xf numFmtId="0" fontId="19" fillId="0" borderId="11" xfId="0" applyFont="1" applyBorder="1">
      <alignment horizontal="right" vertical="center" wrapText="1"/>
      <protection locked="0"/>
    </xf>
    <xf numFmtId="171" fontId="0" fillId="0" borderId="11" xfId="0" applyFont="1" applyBorder="1" applyNumberFormat="1">
      <alignment wrapText="1"/>
    </xf>
    <xf numFmtId="171" fontId="21" fillId="4" borderId="11" xfId="0" applyFont="1" applyFill="1" applyBorder="1" applyNumberFormat="1">
      <alignment wrapText="1"/>
      <protection locked="0"/>
    </xf>
    <xf numFmtId="0" fontId="25" fillId="0" borderId="0" xfId="0" applyFont="1">
      <alignment wrapText="1"/>
    </xf>
    <xf numFmtId="0" fontId="25" fillId="0" borderId="14" xfId="0" applyFont="1" applyBorder="1">
      <alignment horizontal="right" wrapText="1"/>
    </xf>
    <xf numFmtId="171" fontId="25" fillId="4" borderId="10" xfId="0" applyFont="1" applyFill="1" applyBorder="1" applyNumberFormat="1">
      <alignment horizontal="right" vertical="center" wrapText="1"/>
      <protection locked="0"/>
    </xf>
    <xf numFmtId="0" fontId="25" fillId="0" borderId="0" xfId="0" applyFont="1">
      <alignment horizontal="right" wrapText="1"/>
    </xf>
    <xf numFmtId="0" fontId="25" fillId="4" borderId="14" xfId="0" applyFont="1" applyFill="1" applyBorder="1">
      <alignment horizontal="left" wrapText="1"/>
      <protection locked="0"/>
    </xf>
    <xf numFmtId="0" fontId="25" fillId="4" borderId="14" xfId="0" applyFont="1" applyFill="1" applyBorder="1">
      <alignment horizontal="left" wrapText="1"/>
    </xf>
    <xf numFmtId="0" fontId="25" fillId="0" borderId="14" xfId="0" applyFont="1" applyBorder="1">
      <alignment wrapText="1"/>
    </xf>
    <xf numFmtId="0" fontId="26" fillId="0" borderId="0" xfId="0" applyFont="1">
      <alignment horizontal="right" vertical="center" wrapText="1"/>
    </xf>
    <xf numFmtId="0" fontId="0" fillId="0" borderId="0" xfId="0" applyFont="1">
      <alignment wrapText="1"/>
    </xf>
    <xf numFmtId="0" fontId="19" fillId="0" borderId="10" xfId="0" applyFont="1" applyBorder="1">
      <alignment horizontal="right" vertical="center" wrapText="1" shrinkToFit="1"/>
      <protection locked="0"/>
    </xf>
    <xf numFmtId="0" fontId="19" fillId="4" borderId="10" xfId="0" applyFont="1" applyFill="1" applyBorder="1">
      <alignment horizontal="right" vertical="center" wrapText="1" shrinkToFit="1"/>
      <protection locked="0"/>
    </xf>
    <xf numFmtId="0" fontId="20" fillId="0" borderId="11" xfId="0" applyFont="1" applyBorder="1">
      <alignment horizontal="right" vertical="center" wrapText="1" shrinkToFit="1"/>
    </xf>
    <xf numFmtId="0" fontId="19" fillId="4" borderId="0" xfId="0" applyFont="1" applyFill="1">
      <alignment horizontal="right" vertical="center" wrapText="1" shrinkToFit="1"/>
      <protection locked="0"/>
    </xf>
    <xf numFmtId="0" fontId="20" fillId="0" borderId="11" xfId="0" applyFont="1" applyBorder="1">
      <alignment horizontal="right" vertical="center" wrapText="1" shrinkToFit="1"/>
    </xf>
    <xf numFmtId="0" fontId="21" fillId="0" borderId="0" xfId="0" applyFont="1">
      <alignment wrapText="1" shrinkToFit="1"/>
    </xf>
    <xf numFmtId="0" fontId="24" fillId="4" borderId="10" xfId="0" applyFont="1" applyFill="1" applyBorder="1">
      <alignment horizontal="right" vertical="center" wrapText="1" shrinkToFit="1"/>
      <protection locked="0"/>
    </xf>
    <xf numFmtId="0" fontId="19" fillId="0" borderId="10" xfId="0" applyFont="1" applyBorder="1">
      <alignment horizontal="right" vertical="center" wrapText="1" shrinkToFit="1"/>
      <protection locked="0"/>
    </xf>
    <xf numFmtId="0" fontId="22" fillId="4" borderId="10" xfId="0" applyFont="1" applyFill="1" applyBorder="1">
      <alignment horizontal="right" vertical="center" wrapText="1" shrinkToFit="1"/>
      <protection locked="0"/>
    </xf>
    <xf numFmtId="0" fontId="20" fillId="33" borderId="11" xfId="0" applyFont="1" applyFill="1" applyBorder="1">
      <alignment horizontal="right" vertical="center" wrapText="1" shrinkToFit="1"/>
    </xf>
    <xf numFmtId="0" fontId="20" fillId="0" borderId="0" xfId="0" applyFont="1">
      <alignment horizontal="right" vertical="center" wrapText="1" shrinkToFit="1"/>
    </xf>
    <xf numFmtId="0" fontId="23" fillId="0" borderId="0" xfId="0" applyFont="1">
      <alignment wrapText="1"/>
    </xf>
    <xf numFmtId="0" fontId="0" fillId="0" borderId="0" xfId="0" applyFont="1">
      <alignment wrapText="1"/>
    </xf>
    <xf numFmtId="0" fontId="23" fillId="0" borderId="0" xfId="0" applyFont="1">
      <alignment wrapText="1"/>
    </xf>
    <xf numFmtId="0" fontId="21" fillId="0" borderId="0" xfId="0" applyFont="1">
      <alignment wrapText="1"/>
    </xf>
    <xf numFmtId="0" fontId="23" fillId="0" borderId="0" xfId="0" applyFont="1">
      <alignment wrapText="1"/>
    </xf>
    <xf numFmtId="0" fontId="23" fillId="0" borderId="0" xfId="0" applyFont="1">
      <alignment wrapText="1"/>
    </xf>
    <xf numFmtId="0" fontId="0" fillId="0" borderId="0" xfId="0" applyFont="1">
      <alignment wrapText="1"/>
    </xf>
    <xf numFmtId="0" fontId="23" fillId="0" borderId="0" xfId="0" applyFont="1">
      <alignment wrapText="1"/>
    </xf>
  </cellXfs>
  <cellStyles count="47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DengXian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9F29935-8095-21A1-DFE8-B1E10C830388}" mc:Ignorable="x14ac xr xr2 xr3">
  <dimension ref="A1:X53"/>
  <sheetViews>
    <sheetView showGridLines="0" workbookViewId="0" tabSelected="1">
      <pane xSplit="3" ySplit="5" topLeftCell="D6" activePane="bottomRight" state="frozen"/>
      <selection pane="bottomLeft" activeCell="A6" sqref="A6"/>
      <selection pane="topRight" activeCell="D1" sqref="D1"/>
      <selection pane="bottomRight" activeCell="A1" sqref="A1"/>
    </sheetView>
  </sheetViews>
  <sheetFormatPr defaultColWidth="8.875" customHeight="1" defaultRowHeight="15"/>
  <cols>
    <col min="1" max="1" width="2.625" customWidth="1"/>
    <col min="2" max="2" width="11.875" customWidth="1"/>
    <col min="3" max="3" width="20.375" customWidth="1"/>
    <col min="4" max="4" width="25.125" customWidth="1"/>
    <col min="5" max="5" width="17.25390625" customWidth="1"/>
    <col min="6" max="21" width="14.50390625" customWidth="1"/>
  </cols>
  <sheetData>
    <row customHeight="1" ht="2.25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</row>
    <row customHeight="1" ht="22.5">
      <c r="A2" s="98"/>
      <c r="B2" s="99" t="s">
        <v>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8"/>
      <c r="W2" s="98"/>
      <c r="X2" s="98"/>
    </row>
    <row customHeight="1" ht="28.5">
      <c r="A3" s="98"/>
      <c r="B3" s="94" t="s">
        <v>1</v>
      </c>
      <c r="C3" s="94" t="s">
        <v>2</v>
      </c>
      <c r="D3" s="47" t="s">
        <v>3</v>
      </c>
      <c r="E3" s="47" t="s">
        <v>4</v>
      </c>
      <c r="F3" s="47" t="s">
        <v>5</v>
      </c>
      <c r="G3" s="47" t="s">
        <v>6</v>
      </c>
      <c r="H3" s="47" t="s">
        <v>7</v>
      </c>
      <c r="I3" s="47" t="s">
        <v>8</v>
      </c>
      <c r="J3" s="47" t="s">
        <v>9</v>
      </c>
      <c r="K3" s="66" t="s">
        <v>10</v>
      </c>
      <c r="L3" s="66" t="s">
        <v>11</v>
      </c>
      <c r="M3" s="47" t="s">
        <v>12</v>
      </c>
      <c r="N3" s="47" t="s">
        <v>13</v>
      </c>
      <c r="O3" s="47" t="s">
        <v>14</v>
      </c>
      <c r="P3" s="47" t="s">
        <v>15</v>
      </c>
      <c r="Q3" s="47" t="s">
        <v>16</v>
      </c>
      <c r="R3" s="47" t="s">
        <v>17</v>
      </c>
      <c r="S3" s="47" t="s">
        <v>18</v>
      </c>
      <c r="T3" s="47" t="s">
        <v>19</v>
      </c>
      <c r="U3" s="47" t="s">
        <v>20</v>
      </c>
      <c r="V3" s="98"/>
      <c r="W3" s="98"/>
      <c r="X3" s="98"/>
    </row>
    <row customHeight="1" ht="16.5">
      <c r="A4" s="98"/>
      <c r="B4" s="94"/>
      <c r="C4" s="94"/>
      <c r="D4" s="47" t="s">
        <v>21</v>
      </c>
      <c r="E4" s="47" t="s">
        <v>21</v>
      </c>
      <c r="F4" s="47" t="s">
        <v>21</v>
      </c>
      <c r="G4" s="47" t="s">
        <v>21</v>
      </c>
      <c r="H4" s="47" t="s">
        <v>21</v>
      </c>
      <c r="I4" s="47" t="s">
        <v>21</v>
      </c>
      <c r="J4" s="47" t="s">
        <v>22</v>
      </c>
      <c r="K4" s="47" t="s">
        <v>21</v>
      </c>
      <c r="L4" s="47" t="s">
        <v>21</v>
      </c>
      <c r="M4" s="47" t="s">
        <v>21</v>
      </c>
      <c r="N4" s="47" t="s">
        <v>21</v>
      </c>
      <c r="O4" s="47" t="s">
        <v>21</v>
      </c>
      <c r="P4" s="47" t="s">
        <v>21</v>
      </c>
      <c r="Q4" s="47" t="s">
        <v>21</v>
      </c>
      <c r="R4" s="47" t="s">
        <v>23</v>
      </c>
      <c r="S4" s="47" t="s">
        <v>21</v>
      </c>
      <c r="T4" s="47" t="s">
        <v>24</v>
      </c>
      <c r="U4" s="47" t="s">
        <v>21</v>
      </c>
      <c r="V4" s="98"/>
      <c r="W4" s="98"/>
      <c r="X4" s="98"/>
    </row>
    <row customHeight="1" ht="16.5">
      <c r="A5" s="98"/>
      <c r="B5" s="94"/>
      <c r="C5" s="94"/>
      <c r="D5" s="47" t="s">
        <v>25</v>
      </c>
      <c r="E5" s="47" t="s">
        <v>26</v>
      </c>
      <c r="F5" s="47" t="s">
        <v>27</v>
      </c>
      <c r="G5" s="47" t="s">
        <v>28</v>
      </c>
      <c r="H5" s="47" t="s">
        <v>29</v>
      </c>
      <c r="I5" s="47" t="s">
        <v>30</v>
      </c>
      <c r="J5" s="47" t="s">
        <v>31</v>
      </c>
      <c r="K5" s="47" t="s">
        <v>32</v>
      </c>
      <c r="L5" s="47" t="s">
        <v>33</v>
      </c>
      <c r="M5" s="47" t="s">
        <v>34</v>
      </c>
      <c r="N5" s="47" t="s">
        <v>35</v>
      </c>
      <c r="O5" s="47" t="s">
        <v>36</v>
      </c>
      <c r="P5" s="47" t="s">
        <v>37</v>
      </c>
      <c r="Q5" s="47" t="s">
        <v>38</v>
      </c>
      <c r="R5" s="47" t="s">
        <v>39</v>
      </c>
      <c r="S5" s="47" t="s">
        <v>40</v>
      </c>
      <c r="T5" s="47" t="s">
        <v>41</v>
      </c>
      <c r="U5" s="47">
        <v>0</v>
      </c>
      <c r="V5" s="98"/>
      <c r="W5" s="98"/>
      <c r="X5" s="98"/>
    </row>
    <row customHeight="1" ht="15">
      <c r="A6" s="98"/>
      <c r="B6" s="103" t="s">
        <v>42</v>
      </c>
      <c r="C6" s="104" t="s">
        <v>43</v>
      </c>
      <c r="D6" s="105">
        <f>_xlfn.IFERROR(D7+D8+D11+D12+D13,"")</f>
        <v>8880</v>
      </c>
      <c r="E6" s="105">
        <f>E7+E8+E11+E12+E13</f>
        <v>363360</v>
      </c>
      <c r="F6" s="105">
        <f>F7+F8+F11+F12+F13</f>
        <v>0</v>
      </c>
      <c r="G6" s="105">
        <f>G7+G8+G11+G12+G13</f>
        <v>11208</v>
      </c>
      <c r="H6" s="105">
        <f>H7+H8+H11+H12+H13</f>
        <v>0</v>
      </c>
      <c r="I6" s="105">
        <f>I7+I8+I11+I12+I13</f>
        <v>0</v>
      </c>
      <c r="J6" s="105"/>
      <c r="K6" s="105">
        <f>K7+K8+K11+K12+K13</f>
        <v>1011</v>
      </c>
      <c r="L6" s="105">
        <f>L7+L8+L11+L12+L13</f>
        <v>0</v>
      </c>
      <c r="M6" s="105">
        <f>M7+M8+M11+M12+M13</f>
        <v>0</v>
      </c>
      <c r="N6" s="105">
        <f>N7+N8+N11+N12+N13</f>
        <v>179</v>
      </c>
      <c r="O6" s="105">
        <f>O7+O8+O11+O12+O13</f>
        <v>0</v>
      </c>
      <c r="P6" s="105">
        <f>P7+P8+P11+P12+P13</f>
        <v>0</v>
      </c>
      <c r="Q6" s="105">
        <f>Q7+Q8+Q11+Q12+Q13</f>
        <v>0</v>
      </c>
      <c r="R6" s="105">
        <f>R7+R8+R11+R12+R13</f>
        <v>0</v>
      </c>
      <c r="S6" s="105">
        <f>S7+S8+S11+S12+S13</f>
        <v>365</v>
      </c>
      <c r="T6" s="105"/>
      <c r="U6" s="105"/>
      <c r="V6" s="98"/>
      <c r="W6" s="98"/>
      <c r="X6" s="98"/>
    </row>
    <row customHeight="1" ht="15">
      <c r="A7" s="98"/>
      <c r="B7" s="103" t="s">
        <v>44</v>
      </c>
      <c r="C7" s="104" t="s">
        <v>45</v>
      </c>
      <c r="D7" s="106">
        <v>0</v>
      </c>
      <c r="E7" s="106"/>
      <c r="F7" s="106"/>
      <c r="G7" s="106"/>
      <c r="H7" s="106"/>
      <c r="I7" s="106"/>
      <c r="J7" s="106"/>
      <c r="K7" s="106"/>
      <c r="L7" s="106"/>
      <c r="M7" s="106"/>
      <c r="N7" s="106">
        <v>0</v>
      </c>
      <c r="O7" s="106"/>
      <c r="P7" s="106"/>
      <c r="Q7" s="106"/>
      <c r="R7" s="106"/>
      <c r="S7" s="106"/>
      <c r="T7" s="106"/>
      <c r="U7" s="106"/>
      <c r="V7" s="98"/>
      <c r="W7" s="98"/>
      <c r="X7" s="98"/>
    </row>
    <row customHeight="1" ht="15">
      <c r="A8" s="98"/>
      <c r="B8" s="103" t="s">
        <v>46</v>
      </c>
      <c r="C8" s="104" t="s">
        <v>47</v>
      </c>
      <c r="D8" s="106">
        <v>8880</v>
      </c>
      <c r="E8" s="106">
        <v>363360</v>
      </c>
      <c r="F8" s="106"/>
      <c r="G8" s="106">
        <v>11208</v>
      </c>
      <c r="H8" s="106"/>
      <c r="I8" s="106"/>
      <c r="J8" s="106"/>
      <c r="K8" s="106">
        <v>1011</v>
      </c>
      <c r="L8" s="106"/>
      <c r="M8" s="106"/>
      <c r="N8" s="106">
        <v>179</v>
      </c>
      <c r="O8" s="106"/>
      <c r="P8" s="106"/>
      <c r="Q8" s="106"/>
      <c r="R8" s="106"/>
      <c r="S8" s="106">
        <v>365</v>
      </c>
      <c r="T8" s="106"/>
      <c r="U8" s="106"/>
      <c r="V8" s="98"/>
      <c r="W8" s="98"/>
      <c r="X8" s="98"/>
    </row>
    <row customHeight="1" ht="15">
      <c r="A9" s="98"/>
      <c r="B9" s="103" t="s">
        <v>48</v>
      </c>
      <c r="C9" s="104" t="s">
        <v>49</v>
      </c>
      <c r="D9" s="106"/>
      <c r="E9" s="105"/>
      <c r="F9" s="105"/>
      <c r="G9" s="105"/>
      <c r="H9" s="105"/>
      <c r="I9" s="105"/>
      <c r="J9" s="105"/>
      <c r="K9" s="106">
        <v>1011</v>
      </c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98"/>
      <c r="W9" s="98"/>
      <c r="X9" s="98"/>
    </row>
    <row customHeight="1" ht="15">
      <c r="A10" s="98"/>
      <c r="B10" s="103" t="s">
        <v>50</v>
      </c>
      <c r="C10" s="104" t="s">
        <v>51</v>
      </c>
      <c r="D10" s="107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98"/>
      <c r="W10" s="98"/>
      <c r="X10" s="98"/>
    </row>
    <row customHeight="1" ht="15">
      <c r="A11" s="98"/>
      <c r="B11" s="103" t="s">
        <v>52</v>
      </c>
      <c r="C11" s="104" t="s">
        <v>53</v>
      </c>
      <c r="D11" s="107"/>
      <c r="E11" s="105"/>
      <c r="F11" s="105"/>
      <c r="G11" s="105"/>
      <c r="H11" s="105"/>
      <c r="I11" s="105"/>
      <c r="J11" s="105"/>
      <c r="K11" s="106"/>
      <c r="L11" s="106"/>
      <c r="M11" s="105"/>
      <c r="N11" s="105"/>
      <c r="O11" s="105"/>
      <c r="P11" s="105"/>
      <c r="Q11" s="105"/>
      <c r="R11" s="105"/>
      <c r="S11" s="105"/>
      <c r="T11" s="105"/>
      <c r="U11" s="105"/>
      <c r="V11" s="98"/>
      <c r="W11" s="98"/>
      <c r="X11" s="98"/>
    </row>
    <row customHeight="1" ht="15">
      <c r="A12" s="98"/>
      <c r="B12" s="103" t="s">
        <v>54</v>
      </c>
      <c r="C12" s="104" t="s">
        <v>55</v>
      </c>
      <c r="D12" s="107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98"/>
      <c r="W12" s="98"/>
      <c r="X12" s="98"/>
    </row>
    <row customHeight="1" ht="15">
      <c r="A13" s="98"/>
      <c r="B13" s="103" t="s">
        <v>56</v>
      </c>
      <c r="C13" s="104" t="s">
        <v>57</v>
      </c>
      <c r="D13" s="107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98"/>
      <c r="W13" s="98"/>
      <c r="X13" s="98"/>
    </row>
    <row customHeight="1" ht="15">
      <c r="A14" s="98"/>
      <c r="B14" s="103" t="s">
        <v>58</v>
      </c>
      <c r="C14" s="104" t="s">
        <v>59</v>
      </c>
      <c r="D14" s="105">
        <f>D6-D16</f>
        <v>-136.581700000001</v>
      </c>
      <c r="E14" s="105">
        <f>E6-E16</f>
        <v>215959.6667</v>
      </c>
      <c r="F14" s="105">
        <f>F6-F16</f>
        <v>0</v>
      </c>
      <c r="G14" s="105">
        <f>G6-G16</f>
        <v>-2895.3896</v>
      </c>
      <c r="H14" s="105">
        <f>H6-H16</f>
        <v>-207.232300000001</v>
      </c>
      <c r="I14" s="105">
        <f>I6-I16</f>
        <v>0</v>
      </c>
      <c r="J14" s="105"/>
      <c r="K14" s="105">
        <f>K6-K16</f>
        <v>1289.4678</v>
      </c>
      <c r="L14" s="105">
        <f>L6-L16</f>
        <v>2246.33070000001</v>
      </c>
      <c r="M14" s="105">
        <f>M6-M16</f>
        <v>0</v>
      </c>
      <c r="N14" s="105">
        <f>N6-N16</f>
        <v>-3603.2405810269</v>
      </c>
      <c r="O14" s="105">
        <f>O6-O16</f>
        <v>0</v>
      </c>
      <c r="P14" s="105">
        <f>P6-P16</f>
        <v>0</v>
      </c>
      <c r="Q14" s="105">
        <f>Q6-Q16</f>
        <v>0</v>
      </c>
      <c r="R14" s="105">
        <f>R6-R16</f>
        <v>0</v>
      </c>
      <c r="S14" s="105">
        <f>S6-S16</f>
        <v>0</v>
      </c>
      <c r="T14" s="105">
        <f>T6-T16</f>
        <v>0</v>
      </c>
      <c r="U14" s="105">
        <f>U6-U16</f>
        <v>0</v>
      </c>
      <c r="V14" s="98"/>
      <c r="W14" s="98"/>
      <c r="X14" s="98"/>
    </row>
    <row customHeight="1" ht="15">
      <c r="A15" s="98"/>
      <c r="B15" s="103" t="s">
        <v>60</v>
      </c>
      <c r="C15" s="104" t="s">
        <v>61</v>
      </c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98"/>
      <c r="W15" s="98"/>
      <c r="X15" s="98"/>
    </row>
    <row customHeight="1" ht="15">
      <c r="A16" s="98"/>
      <c r="B16" s="103" t="s">
        <v>62</v>
      </c>
      <c r="C16" s="104" t="s">
        <v>63</v>
      </c>
      <c r="D16" s="108">
        <f>SUM(D17,D22,D41,D45)</f>
        <v>9016.5817</v>
      </c>
      <c r="E16" s="105">
        <f>SUM(E17,E22,E41,E45)</f>
        <v>147400.3333</v>
      </c>
      <c r="F16" s="105">
        <f>SUM(F17,F22,F41,F45)</f>
        <v>0</v>
      </c>
      <c r="G16" s="105">
        <f>SUM(G17,G22,G41,G45)</f>
        <v>14103.3896</v>
      </c>
      <c r="H16" s="105">
        <f>SUM(H17,H22,H41,H45)</f>
        <v>207.232300000001</v>
      </c>
      <c r="I16" s="105">
        <f>SUM(I17,I22,I41,I45)</f>
        <v>0</v>
      </c>
      <c r="J16" s="105"/>
      <c r="K16" s="105">
        <f>SUM(K17,K22,K41,K45)</f>
        <v>-278.4678</v>
      </c>
      <c r="L16" s="105">
        <f>SUM(L17,L22,L41,L45)</f>
        <v>-2246.33070000001</v>
      </c>
      <c r="M16" s="105">
        <f>SUM(M17,M22,M41,M45)</f>
        <v>0</v>
      </c>
      <c r="N16" s="105">
        <f>SUM(N17,N22,N41,N45)</f>
        <v>3782.2405810269</v>
      </c>
      <c r="O16" s="105">
        <f>SUM(O17,O22,O41,O45)</f>
        <v>0</v>
      </c>
      <c r="P16" s="105">
        <f>SUM(P17,P22,P41,P45)</f>
        <v>0</v>
      </c>
      <c r="Q16" s="105">
        <f>SUM(Q17,Q22,Q41,Q45)</f>
        <v>0</v>
      </c>
      <c r="R16" s="105">
        <f>SUM(R17,R22,R41,R45)</f>
        <v>0</v>
      </c>
      <c r="S16" s="105">
        <f>SUM(S17,S22,S41,S45)</f>
        <v>365</v>
      </c>
      <c r="T16" s="105"/>
      <c r="U16" s="105"/>
      <c r="V16" s="98"/>
      <c r="W16" s="98"/>
      <c r="X16" s="98"/>
    </row>
    <row customHeight="1" ht="15">
      <c r="A17" s="98"/>
      <c r="B17" s="103" t="s">
        <v>64</v>
      </c>
      <c r="C17" s="104" t="s">
        <v>65</v>
      </c>
      <c r="D17" s="108">
        <f>SUM(D18:D21)</f>
        <v>9015</v>
      </c>
      <c r="E17" s="105">
        <f>SUM(E18:E21)</f>
        <v>0</v>
      </c>
      <c r="F17" s="105">
        <f>SUM(F18:F21)</f>
        <v>0</v>
      </c>
      <c r="G17" s="105">
        <f>SUM(G18:G21)</f>
        <v>7796</v>
      </c>
      <c r="H17" s="105">
        <f>SUM(H18:H21)</f>
        <v>0</v>
      </c>
      <c r="I17" s="105">
        <f>SUM(I18:I21)</f>
        <v>0</v>
      </c>
      <c r="J17" s="105"/>
      <c r="K17" s="105">
        <f>SUM(K18:K21)</f>
        <v>0</v>
      </c>
      <c r="L17" s="105">
        <f>SUM(L18:L21)</f>
        <v>0</v>
      </c>
      <c r="M17" s="105">
        <f>SUM(M18:M21)</f>
        <v>0</v>
      </c>
      <c r="N17" s="105">
        <f>SUM(N18:N21)</f>
        <v>0</v>
      </c>
      <c r="O17" s="105">
        <f>SUM(O18:O21)</f>
        <v>0</v>
      </c>
      <c r="P17" s="105">
        <f>SUM(P18:P21)</f>
        <v>0</v>
      </c>
      <c r="Q17" s="105">
        <f>SUM(Q18:Q21)</f>
        <v>0</v>
      </c>
      <c r="R17" s="105">
        <f>SUM(R18:R21)</f>
        <v>0</v>
      </c>
      <c r="S17" s="105">
        <f>SUM(S18:S21)</f>
        <v>0</v>
      </c>
      <c r="T17" s="105"/>
      <c r="U17" s="105"/>
      <c r="V17" s="98"/>
      <c r="W17" s="98"/>
      <c r="X17" s="98"/>
    </row>
    <row customHeight="1" ht="15">
      <c r="A18" s="98"/>
      <c r="B18" s="103" t="s">
        <v>66</v>
      </c>
      <c r="C18" s="104" t="s">
        <v>67</v>
      </c>
      <c r="D18" s="106">
        <v>7796</v>
      </c>
      <c r="E18" s="106"/>
      <c r="F18" s="106"/>
      <c r="G18" s="106">
        <v>7796</v>
      </c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>
        <v>8880</v>
      </c>
      <c r="V18" s="98"/>
      <c r="W18" s="98"/>
      <c r="X18" s="98"/>
    </row>
    <row customHeight="1" ht="15">
      <c r="A19" s="98"/>
      <c r="B19" s="103" t="s">
        <v>68</v>
      </c>
      <c r="C19" s="104" t="s">
        <v>69</v>
      </c>
      <c r="D19" s="106">
        <v>1219</v>
      </c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>
        <v>363360</v>
      </c>
      <c r="V19" s="98"/>
      <c r="W19" s="98"/>
      <c r="X19" s="98"/>
    </row>
    <row customHeight="1" ht="15">
      <c r="A20" s="98"/>
      <c r="B20" s="103" t="s">
        <v>70</v>
      </c>
      <c r="C20" s="104" t="s">
        <v>71</v>
      </c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>
        <f>J8</f>
        <v>0</v>
      </c>
      <c r="V20" s="98"/>
      <c r="W20" s="98"/>
      <c r="X20" s="98"/>
    </row>
    <row customHeight="1" ht="15">
      <c r="A21" s="98"/>
      <c r="B21" s="103" t="s">
        <v>72</v>
      </c>
      <c r="C21" s="104" t="s">
        <v>73</v>
      </c>
      <c r="D21" s="105"/>
      <c r="E21" s="105"/>
      <c r="F21" s="105"/>
      <c r="G21" s="106"/>
      <c r="H21" s="105"/>
      <c r="I21" s="105"/>
      <c r="J21" s="105"/>
      <c r="K21" s="105"/>
      <c r="L21" s="105"/>
      <c r="M21" s="105"/>
      <c r="N21" s="106"/>
      <c r="O21" s="105"/>
      <c r="P21" s="105"/>
      <c r="Q21" s="105"/>
      <c r="R21" s="105"/>
      <c r="S21" s="105"/>
      <c r="T21" s="105"/>
      <c r="U21" s="105">
        <f>K8</f>
        <v>1011</v>
      </c>
      <c r="V21" s="98"/>
      <c r="W21" s="98"/>
      <c r="X21" s="98"/>
    </row>
    <row customHeight="1" ht="15">
      <c r="A22" s="98"/>
      <c r="B22" s="103" t="s">
        <v>74</v>
      </c>
      <c r="C22" s="104" t="s">
        <v>75</v>
      </c>
      <c r="D22" s="105">
        <f>SUM(D23:D40)</f>
        <v>1.5817</v>
      </c>
      <c r="E22" s="105">
        <f>SUM(E23:E40)</f>
        <v>147400.3333</v>
      </c>
      <c r="F22" s="105">
        <f>SUM(F23:F40)</f>
        <v>0</v>
      </c>
      <c r="G22" s="105">
        <f>SUM(G23:G40)</f>
        <v>6307.3896</v>
      </c>
      <c r="H22" s="105">
        <f>SUM(H23:H40)</f>
        <v>207.232300000001</v>
      </c>
      <c r="I22" s="105">
        <f>SUM(I23:I40)</f>
        <v>0</v>
      </c>
      <c r="J22" s="105"/>
      <c r="K22" s="105">
        <f>SUM(K23:K40)</f>
        <v>-278.4678</v>
      </c>
      <c r="L22" s="105">
        <f>SUM(L23:L40)</f>
        <v>-2246.33070000001</v>
      </c>
      <c r="M22" s="105">
        <f>SUM(M23:M40)</f>
        <v>0</v>
      </c>
      <c r="N22" s="105">
        <f>SUM(N23:N40)</f>
        <v>3782.2405810269</v>
      </c>
      <c r="O22" s="105">
        <f>SUM(O23:O40)</f>
        <v>0</v>
      </c>
      <c r="P22" s="105">
        <f>SUM(P23:P40)</f>
        <v>0</v>
      </c>
      <c r="Q22" s="105">
        <f>SUM(Q23:Q40)</f>
        <v>0</v>
      </c>
      <c r="R22" s="105">
        <f>SUM(R23:R40)</f>
        <v>0</v>
      </c>
      <c r="S22" s="105">
        <f>SUM(S23:S40)</f>
        <v>365</v>
      </c>
      <c r="T22" s="105"/>
      <c r="U22" s="105"/>
      <c r="V22" s="98"/>
      <c r="W22" s="98"/>
      <c r="X22" s="98"/>
    </row>
    <row customHeight="1" ht="15">
      <c r="A23" s="98"/>
      <c r="B23" s="103" t="s">
        <v>76</v>
      </c>
      <c r="C23" s="104" t="s">
        <v>77</v>
      </c>
      <c r="D23" s="106">
        <v>0</v>
      </c>
      <c r="E23" s="106">
        <v>41584.8691999996</v>
      </c>
      <c r="F23" s="106"/>
      <c r="G23" s="106">
        <v>219.831099999999</v>
      </c>
      <c r="H23" s="106">
        <v>69.2323000000015</v>
      </c>
      <c r="I23" s="106"/>
      <c r="J23" s="106"/>
      <c r="K23" s="106"/>
      <c r="L23" s="106">
        <v>297.0265</v>
      </c>
      <c r="M23" s="106"/>
      <c r="N23" s="106">
        <v>58.2740915269001</v>
      </c>
      <c r="O23" s="106"/>
      <c r="P23" s="106"/>
      <c r="Q23" s="106"/>
      <c r="R23" s="106"/>
      <c r="S23" s="106"/>
      <c r="T23" s="106"/>
      <c r="U23" s="106">
        <v>9585</v>
      </c>
      <c r="V23" s="98"/>
      <c r="W23" s="98"/>
      <c r="X23" s="98"/>
    </row>
    <row customHeight="1" ht="15">
      <c r="A24" s="98"/>
      <c r="B24" s="103" t="s">
        <v>78</v>
      </c>
      <c r="C24" s="104" t="s">
        <v>79</v>
      </c>
      <c r="D24" s="106">
        <v>0</v>
      </c>
      <c r="E24" s="106">
        <v>2607.20120000001</v>
      </c>
      <c r="F24" s="106"/>
      <c r="G24" s="106"/>
      <c r="H24" s="106"/>
      <c r="I24" s="106"/>
      <c r="J24" s="106"/>
      <c r="K24" s="106"/>
      <c r="L24" s="106">
        <v>16.7739999999999</v>
      </c>
      <c r="M24" s="106"/>
      <c r="N24" s="106"/>
      <c r="O24" s="106"/>
      <c r="P24" s="106"/>
      <c r="Q24" s="106"/>
      <c r="R24" s="106"/>
      <c r="S24" s="106"/>
      <c r="T24" s="106"/>
      <c r="U24" s="106">
        <v>790</v>
      </c>
      <c r="V24" s="98"/>
      <c r="W24" s="98"/>
      <c r="X24" s="98"/>
    </row>
    <row customHeight="1" ht="15">
      <c r="A25" s="98"/>
      <c r="B25" s="103" t="s">
        <v>80</v>
      </c>
      <c r="C25" s="104" t="s">
        <v>81</v>
      </c>
      <c r="D25" s="107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98"/>
      <c r="W25" s="98"/>
      <c r="X25" s="98"/>
    </row>
    <row customHeight="1" ht="15">
      <c r="A26" s="98"/>
      <c r="B26" s="103" t="s">
        <v>82</v>
      </c>
      <c r="C26" s="104" t="s">
        <v>83</v>
      </c>
      <c r="D26" s="106">
        <v>1.5817</v>
      </c>
      <c r="E26" s="106">
        <v>75993.2129</v>
      </c>
      <c r="F26" s="106"/>
      <c r="G26" s="106">
        <v>5893.3085</v>
      </c>
      <c r="H26" s="106"/>
      <c r="I26" s="106"/>
      <c r="J26" s="106"/>
      <c r="K26" s="106">
        <v>-1118.8008</v>
      </c>
      <c r="L26" s="106">
        <v>-2801.8842</v>
      </c>
      <c r="M26" s="106"/>
      <c r="N26" s="106">
        <v>9.7064</v>
      </c>
      <c r="O26" s="106"/>
      <c r="P26" s="106"/>
      <c r="Q26" s="106"/>
      <c r="R26" s="106"/>
      <c r="S26" s="106">
        <v>365</v>
      </c>
      <c r="T26" s="106"/>
      <c r="U26" s="106">
        <v>4763</v>
      </c>
      <c r="V26" s="98"/>
      <c r="W26" s="98"/>
      <c r="X26" s="98"/>
    </row>
    <row customHeight="1" ht="15">
      <c r="A27" s="98"/>
      <c r="B27" s="103" t="s">
        <v>84</v>
      </c>
      <c r="C27" s="104" t="s">
        <v>85</v>
      </c>
      <c r="D27" s="106">
        <v>0</v>
      </c>
      <c r="E27" s="106">
        <v>0</v>
      </c>
      <c r="F27" s="106"/>
      <c r="G27" s="106">
        <v>0</v>
      </c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98"/>
      <c r="W27" s="98"/>
      <c r="X27" s="98"/>
    </row>
    <row customHeight="1" ht="15">
      <c r="A28" s="98"/>
      <c r="B28" s="103" t="s">
        <v>86</v>
      </c>
      <c r="C28" s="104" t="s">
        <v>87</v>
      </c>
      <c r="D28" s="106">
        <v>0</v>
      </c>
      <c r="E28" s="109">
        <v>0</v>
      </c>
      <c r="F28" s="109"/>
      <c r="G28" s="109">
        <v>0</v>
      </c>
      <c r="H28" s="109">
        <v>0</v>
      </c>
      <c r="I28" s="109"/>
      <c r="J28" s="109"/>
      <c r="K28" s="109">
        <v>456.183</v>
      </c>
      <c r="L28" s="109">
        <v>187.233</v>
      </c>
      <c r="M28" s="109"/>
      <c r="N28" s="109">
        <v>166.140583</v>
      </c>
      <c r="O28" s="106"/>
      <c r="P28" s="106"/>
      <c r="Q28" s="106"/>
      <c r="R28" s="106"/>
      <c r="S28" s="106"/>
      <c r="T28" s="106"/>
      <c r="U28" s="106">
        <v>3340</v>
      </c>
      <c r="V28" s="98"/>
      <c r="W28" s="98"/>
      <c r="X28" s="98"/>
    </row>
    <row s="91" customFormat="1" customHeight="1" ht="15">
      <c r="A29" s="110"/>
      <c r="B29" s="111" t="s">
        <v>88</v>
      </c>
      <c r="C29" s="112" t="s">
        <v>89</v>
      </c>
      <c r="D29" s="106">
        <v>0</v>
      </c>
      <c r="E29" s="109">
        <v>0</v>
      </c>
      <c r="F29" s="109"/>
      <c r="G29" s="109">
        <v>0</v>
      </c>
      <c r="H29" s="109"/>
      <c r="I29" s="109"/>
      <c r="J29" s="109"/>
      <c r="K29" s="109"/>
      <c r="L29" s="109">
        <v>0</v>
      </c>
      <c r="M29" s="109"/>
      <c r="N29" s="109"/>
      <c r="O29" s="106"/>
      <c r="P29" s="106"/>
      <c r="Q29" s="106"/>
      <c r="R29" s="106"/>
      <c r="S29" s="106"/>
      <c r="T29" s="106"/>
      <c r="U29" s="106">
        <v>0</v>
      </c>
      <c r="V29" s="110"/>
      <c r="W29" s="110"/>
      <c r="X29" s="110"/>
    </row>
    <row s="91" customFormat="1" customHeight="1" ht="15">
      <c r="A30" s="110"/>
      <c r="B30" s="111" t="s">
        <v>90</v>
      </c>
      <c r="C30" s="112" t="s">
        <v>91</v>
      </c>
      <c r="D30" s="107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6"/>
      <c r="P30" s="106"/>
      <c r="Q30" s="106"/>
      <c r="R30" s="106"/>
      <c r="S30" s="106"/>
      <c r="T30" s="106"/>
      <c r="U30" s="106"/>
      <c r="V30" s="110"/>
      <c r="W30" s="110"/>
      <c r="X30" s="110"/>
    </row>
    <row s="91" customFormat="1" customHeight="1" ht="15">
      <c r="A31" s="110"/>
      <c r="B31" s="111" t="s">
        <v>92</v>
      </c>
      <c r="C31" s="112" t="s">
        <v>93</v>
      </c>
      <c r="D31" s="107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6"/>
      <c r="P31" s="106"/>
      <c r="Q31" s="106"/>
      <c r="R31" s="106"/>
      <c r="S31" s="106"/>
      <c r="T31" s="106"/>
      <c r="U31" s="106"/>
      <c r="V31" s="110"/>
      <c r="W31" s="110"/>
      <c r="X31" s="110"/>
    </row>
    <row s="91" customFormat="1" customHeight="1" ht="15">
      <c r="A32" s="110"/>
      <c r="B32" s="111" t="s">
        <v>94</v>
      </c>
      <c r="C32" s="112" t="s">
        <v>95</v>
      </c>
      <c r="D32" s="108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6"/>
      <c r="P32" s="106"/>
      <c r="Q32" s="106"/>
      <c r="R32" s="106"/>
      <c r="S32" s="106"/>
      <c r="T32" s="106"/>
      <c r="U32" s="106"/>
      <c r="V32" s="110"/>
      <c r="W32" s="110"/>
      <c r="X32" s="110"/>
    </row>
    <row s="91" customFormat="1" customHeight="1" ht="15">
      <c r="A33" s="110"/>
      <c r="B33" s="111" t="s">
        <v>96</v>
      </c>
      <c r="C33" s="112" t="s">
        <v>97</v>
      </c>
      <c r="D33" s="108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6"/>
      <c r="P33" s="106"/>
      <c r="Q33" s="106"/>
      <c r="R33" s="106"/>
      <c r="S33" s="106"/>
      <c r="T33" s="106"/>
      <c r="U33" s="106">
        <v>471</v>
      </c>
      <c r="V33" s="110"/>
      <c r="W33" s="110"/>
      <c r="X33" s="110"/>
    </row>
    <row customHeight="1" ht="15">
      <c r="A34" s="98"/>
      <c r="B34" s="103" t="s">
        <v>98</v>
      </c>
      <c r="C34" s="104" t="s">
        <v>99</v>
      </c>
      <c r="D34" s="108"/>
      <c r="E34" s="109">
        <v>6945.29999999993</v>
      </c>
      <c r="F34" s="109"/>
      <c r="G34" s="109">
        <v>52.0900000000256</v>
      </c>
      <c r="H34" s="109"/>
      <c r="I34" s="109"/>
      <c r="J34" s="109"/>
      <c r="K34" s="109"/>
      <c r="L34" s="109">
        <v>54.5199999999895</v>
      </c>
      <c r="M34" s="109"/>
      <c r="N34" s="109">
        <v>20.281846</v>
      </c>
      <c r="O34" s="106"/>
      <c r="P34" s="106"/>
      <c r="Q34" s="106"/>
      <c r="R34" s="106"/>
      <c r="S34" s="106"/>
      <c r="T34" s="106"/>
      <c r="U34" s="106">
        <v>2061</v>
      </c>
      <c r="V34" s="98"/>
      <c r="W34" s="98"/>
      <c r="X34" s="98"/>
    </row>
    <row customHeight="1" ht="15">
      <c r="A35" s="98"/>
      <c r="B35" s="103" t="s">
        <v>100</v>
      </c>
      <c r="C35" s="104" t="s">
        <v>101</v>
      </c>
      <c r="D35" s="108"/>
      <c r="E35" s="109">
        <v>9480.75</v>
      </c>
      <c r="F35" s="109"/>
      <c r="G35" s="109">
        <v>142.159999999974</v>
      </c>
      <c r="H35" s="109"/>
      <c r="I35" s="109"/>
      <c r="J35" s="109"/>
      <c r="K35" s="109">
        <v>384.15</v>
      </c>
      <c r="L35" s="109">
        <v>0</v>
      </c>
      <c r="M35" s="109"/>
      <c r="N35" s="109">
        <v>18.8376605</v>
      </c>
      <c r="O35" s="106"/>
      <c r="P35" s="106"/>
      <c r="Q35" s="106"/>
      <c r="R35" s="106"/>
      <c r="S35" s="106"/>
      <c r="T35" s="106"/>
      <c r="U35" s="106">
        <v>4379</v>
      </c>
      <c r="V35" s="98"/>
      <c r="W35" s="98"/>
      <c r="X35" s="98"/>
    </row>
    <row customHeight="1" ht="15">
      <c r="A36" s="98"/>
      <c r="B36" s="103" t="s">
        <v>102</v>
      </c>
      <c r="C36" s="104" t="s">
        <v>103</v>
      </c>
      <c r="D36" s="108"/>
      <c r="E36" s="109">
        <v>0</v>
      </c>
      <c r="F36" s="109"/>
      <c r="G36" s="109">
        <v>0</v>
      </c>
      <c r="H36" s="109"/>
      <c r="I36" s="109"/>
      <c r="J36" s="109"/>
      <c r="K36" s="109">
        <v>0</v>
      </c>
      <c r="L36" s="109">
        <v>0</v>
      </c>
      <c r="M36" s="109"/>
      <c r="N36" s="109">
        <v>0</v>
      </c>
      <c r="O36" s="106"/>
      <c r="P36" s="106"/>
      <c r="Q36" s="106"/>
      <c r="R36" s="106"/>
      <c r="S36" s="106"/>
      <c r="T36" s="106"/>
      <c r="U36" s="106">
        <v>2759</v>
      </c>
      <c r="V36" s="98"/>
      <c r="W36" s="98"/>
      <c r="X36" s="98"/>
    </row>
    <row customHeight="1" ht="15">
      <c r="A37" s="98"/>
      <c r="B37" s="103" t="s">
        <v>104</v>
      </c>
      <c r="C37" s="104" t="s">
        <v>105</v>
      </c>
      <c r="D37" s="108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98"/>
      <c r="W37" s="98"/>
      <c r="X37" s="98"/>
    </row>
    <row customHeight="1" ht="15">
      <c r="A38" s="98"/>
      <c r="B38" s="103" t="s">
        <v>106</v>
      </c>
      <c r="C38" s="104" t="s">
        <v>107</v>
      </c>
      <c r="D38" s="108"/>
      <c r="E38" s="106">
        <v>2517</v>
      </c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98"/>
      <c r="W38" s="98"/>
      <c r="X38" s="98"/>
    </row>
    <row customHeight="1" ht="15">
      <c r="A39" s="98"/>
      <c r="B39" s="103" t="s">
        <v>108</v>
      </c>
      <c r="C39" s="104" t="s">
        <v>109</v>
      </c>
      <c r="D39" s="108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98"/>
      <c r="W39" s="98"/>
      <c r="X39" s="98"/>
    </row>
    <row customHeight="1" ht="15">
      <c r="A40" s="98"/>
      <c r="B40" s="103" t="s">
        <v>110</v>
      </c>
      <c r="C40" s="104" t="s">
        <v>111</v>
      </c>
      <c r="D40" s="106">
        <v>0</v>
      </c>
      <c r="E40" s="106">
        <v>8272</v>
      </c>
      <c r="F40" s="106"/>
      <c r="G40" s="106">
        <v>0</v>
      </c>
      <c r="H40" s="106">
        <v>138</v>
      </c>
      <c r="I40" s="106"/>
      <c r="J40" s="106"/>
      <c r="K40" s="106"/>
      <c r="L40" s="106">
        <v>0</v>
      </c>
      <c r="M40" s="106"/>
      <c r="N40" s="106">
        <v>3509</v>
      </c>
      <c r="O40" s="106"/>
      <c r="P40" s="106"/>
      <c r="Q40" s="106"/>
      <c r="R40" s="106"/>
      <c r="S40" s="106"/>
      <c r="T40" s="106"/>
      <c r="U40" s="106"/>
      <c r="V40" s="98"/>
      <c r="W40" s="98"/>
      <c r="X40" s="98"/>
    </row>
    <row customHeight="1" ht="15">
      <c r="A41" s="98"/>
      <c r="B41" s="103" t="s">
        <v>112</v>
      </c>
      <c r="C41" s="104" t="s">
        <v>113</v>
      </c>
      <c r="D41" s="105">
        <f>SUM(D42:D44)</f>
        <v>0</v>
      </c>
      <c r="E41" s="105">
        <f>SUM(E42:E44)</f>
        <v>0</v>
      </c>
      <c r="F41" s="105">
        <f>SUM(F42:F44)</f>
        <v>0</v>
      </c>
      <c r="G41" s="105">
        <f>SUM(G42:G44)</f>
        <v>0</v>
      </c>
      <c r="H41" s="105">
        <f>SUM(H42:H44)</f>
        <v>0</v>
      </c>
      <c r="I41" s="105">
        <f>SUM(I42:I44)</f>
        <v>0</v>
      </c>
      <c r="J41" s="105"/>
      <c r="K41" s="105">
        <f>SUM(K42:K44)</f>
        <v>0</v>
      </c>
      <c r="L41" s="105">
        <f>SUM(L42:L44)</f>
        <v>0</v>
      </c>
      <c r="M41" s="105">
        <f>SUM(M42:M44)</f>
        <v>0</v>
      </c>
      <c r="N41" s="105">
        <f>SUM(N42:N44)</f>
        <v>0</v>
      </c>
      <c r="O41" s="105">
        <f>SUM(O42:O44)</f>
        <v>0</v>
      </c>
      <c r="P41" s="105">
        <f>SUM(P42:P44)</f>
        <v>0</v>
      </c>
      <c r="Q41" s="105">
        <f>SUM(Q42:Q44)</f>
        <v>0</v>
      </c>
      <c r="R41" s="105">
        <f>SUM(R42:R44)</f>
        <v>0</v>
      </c>
      <c r="S41" s="105">
        <f>SUM(S42:S44)</f>
        <v>0</v>
      </c>
      <c r="T41" s="105"/>
      <c r="U41" s="105"/>
      <c r="V41" s="98"/>
      <c r="W41" s="98"/>
      <c r="X41" s="98"/>
    </row>
    <row customHeight="1" ht="15">
      <c r="A42" s="98"/>
      <c r="B42" s="103" t="s">
        <v>114</v>
      </c>
      <c r="C42" s="104" t="s">
        <v>115</v>
      </c>
      <c r="D42" s="106">
        <v>0</v>
      </c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98"/>
      <c r="W42" s="98"/>
      <c r="X42" s="98"/>
    </row>
    <row customHeight="1" ht="15">
      <c r="A43" s="98"/>
      <c r="B43" s="103" t="s">
        <v>116</v>
      </c>
      <c r="C43" s="104" t="s">
        <v>117</v>
      </c>
      <c r="D43" s="106">
        <v>0</v>
      </c>
      <c r="E43" s="106"/>
      <c r="F43" s="106"/>
      <c r="G43" s="106"/>
      <c r="H43" s="106"/>
      <c r="I43" s="106"/>
      <c r="J43" s="106"/>
      <c r="K43" s="106"/>
      <c r="L43" s="106">
        <v>0</v>
      </c>
      <c r="M43" s="106"/>
      <c r="N43" s="106"/>
      <c r="O43" s="106"/>
      <c r="P43" s="106"/>
      <c r="Q43" s="106"/>
      <c r="R43" s="106"/>
      <c r="S43" s="106"/>
      <c r="T43" s="106"/>
      <c r="U43" s="106"/>
      <c r="V43" s="98"/>
      <c r="W43" s="98"/>
      <c r="X43" s="98"/>
    </row>
    <row customHeight="1" ht="15">
      <c r="A44" s="98"/>
      <c r="B44" s="103" t="s">
        <v>118</v>
      </c>
      <c r="C44" s="104" t="s">
        <v>119</v>
      </c>
      <c r="D44" s="113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98"/>
      <c r="W44" s="98"/>
      <c r="X44" s="98"/>
    </row>
    <row customHeight="1" ht="14.25">
      <c r="A45" s="98"/>
      <c r="B45" s="114" t="s">
        <v>120</v>
      </c>
      <c r="C45" s="115" t="s">
        <v>121</v>
      </c>
      <c r="D45" s="116"/>
      <c r="E45" s="116"/>
      <c r="F45" s="116"/>
      <c r="G45" s="116"/>
      <c r="H45" s="116"/>
      <c r="I45" s="116"/>
      <c r="J45" s="117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7"/>
      <c r="V45" s="98"/>
      <c r="W45" s="98"/>
      <c r="X45" s="98"/>
    </row>
    <row customHeight="1" ht="15">
      <c r="A46" s="98"/>
      <c r="B46" s="118"/>
      <c r="C46" s="119" t="s">
        <v>122</v>
      </c>
      <c r="D46" s="120"/>
      <c r="E46" s="120"/>
      <c r="F46" s="120"/>
      <c r="G46" s="120"/>
      <c r="H46" s="120"/>
      <c r="I46" s="120"/>
      <c r="J46" s="121">
        <v>92096</v>
      </c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98"/>
      <c r="W46" s="98"/>
      <c r="X46" s="98"/>
    </row>
    <row customHeight="1" ht="15">
      <c r="A47" s="98"/>
      <c r="B47" s="122"/>
      <c r="C47" s="123" t="s">
        <v>123</v>
      </c>
      <c r="D47" s="124"/>
      <c r="E47" s="124"/>
      <c r="F47" s="124"/>
      <c r="G47" s="124"/>
      <c r="H47" s="124"/>
      <c r="I47" s="124"/>
      <c r="J47" s="125">
        <v>139328</v>
      </c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98"/>
      <c r="W47" s="98"/>
      <c r="X47" s="98"/>
    </row>
    <row s="92" customFormat="1" customHeight="1" ht="15">
      <c r="A48" s="126"/>
      <c r="B48" s="127" t="s">
        <v>124</v>
      </c>
      <c r="C48" s="127"/>
      <c r="D48" s="128">
        <v>0</v>
      </c>
      <c r="E48" s="126"/>
      <c r="F48" s="126"/>
      <c r="G48" s="126"/>
      <c r="H48" s="126"/>
      <c r="I48" s="126"/>
      <c r="J48" s="129" t="s">
        <v>125</v>
      </c>
      <c r="K48" s="130">
        <v>0</v>
      </c>
      <c r="L48" s="131"/>
      <c r="M48" s="132"/>
      <c r="N48" s="126"/>
      <c r="O48" s="126"/>
      <c r="P48" s="126"/>
      <c r="Q48" s="126"/>
      <c r="R48" s="133" t="s">
        <v>126</v>
      </c>
      <c r="S48" s="130">
        <v>0</v>
      </c>
      <c r="T48" s="131"/>
      <c r="U48" s="132"/>
      <c r="V48" s="126"/>
      <c r="W48" s="126"/>
      <c r="X48" s="126"/>
    </row>
    <row customHeight="1" ht="15">
      <c r="A49" s="98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</row>
    <row customHeight="1" ht="15">
      <c r="A50" s="98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</row>
    <row customHeight="1" ht="15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</row>
    <row customHeight="1" ht="15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</row>
    <row customHeight="1" ht="15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</row>
  </sheetData>
  <mergeCells count="6">
    <mergeCell ref="B2:U2"/>
    <mergeCell ref="B3:B5"/>
    <mergeCell ref="C3:C5"/>
    <mergeCell ref="B48:C48"/>
    <mergeCell ref="K48:L48"/>
    <mergeCell ref="S48:T48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4A8CDE8-5DB8-2B11-8DF8-9072802DA15A}" mc:Ignorable="x14ac xr xr2 xr3">
  <dimension ref="A1:V230"/>
  <sheetViews>
    <sheetView zoomScale="85" workbookViewId="0">
      <pane xSplit="2" ySplit="4" topLeftCell="C14" activePane="bottomRight" state="frozen"/>
      <selection pane="bottomLeft" activeCell="A5" sqref="A5"/>
      <selection pane="topRight" activeCell="C1" sqref="C1"/>
      <selection pane="bottomRight" activeCell="A1" sqref="A1"/>
    </sheetView>
  </sheetViews>
  <sheetFormatPr customHeight="1" defaultRowHeight="15"/>
  <cols>
    <col min="2" max="2" width="24.625" customWidth="1"/>
  </cols>
  <sheetData>
    <row customHeight="1" ht="15">
      <c r="A1" s="134" t="s">
        <v>127</v>
      </c>
      <c r="B1" s="98"/>
      <c r="C1" s="98">
        <v>-1</v>
      </c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</row>
    <row customHeight="1" ht="26.25">
      <c r="A2" s="98"/>
      <c r="B2" s="94" t="s">
        <v>2</v>
      </c>
      <c r="C2" s="47" t="s">
        <v>3</v>
      </c>
      <c r="D2" s="47" t="s">
        <v>4</v>
      </c>
      <c r="E2" s="47" t="s">
        <v>5</v>
      </c>
      <c r="F2" s="47" t="s">
        <v>6</v>
      </c>
      <c r="G2" s="47" t="s">
        <v>7</v>
      </c>
      <c r="H2" s="47" t="s">
        <v>8</v>
      </c>
      <c r="I2" s="47" t="s">
        <v>9</v>
      </c>
      <c r="J2" s="47" t="s">
        <v>10</v>
      </c>
      <c r="K2" s="47" t="s">
        <v>11</v>
      </c>
      <c r="L2" s="47" t="s">
        <v>12</v>
      </c>
      <c r="M2" s="47" t="s">
        <v>13</v>
      </c>
      <c r="N2" s="47" t="s">
        <v>14</v>
      </c>
      <c r="O2" s="47" t="s">
        <v>15</v>
      </c>
      <c r="P2" s="47" t="s">
        <v>16</v>
      </c>
      <c r="Q2" s="47" t="s">
        <v>17</v>
      </c>
      <c r="R2" s="47" t="s">
        <v>18</v>
      </c>
      <c r="S2" s="47" t="s">
        <v>19</v>
      </c>
      <c r="T2" s="47" t="s">
        <v>20</v>
      </c>
      <c r="U2" s="98"/>
      <c r="V2" s="98"/>
    </row>
    <row customHeight="1" ht="15">
      <c r="A3" s="98"/>
      <c r="B3" s="94"/>
      <c r="C3" s="47" t="s">
        <v>21</v>
      </c>
      <c r="D3" s="47" t="s">
        <v>21</v>
      </c>
      <c r="E3" s="47" t="s">
        <v>21</v>
      </c>
      <c r="F3" s="47" t="s">
        <v>21</v>
      </c>
      <c r="G3" s="47" t="s">
        <v>21</v>
      </c>
      <c r="H3" s="47" t="s">
        <v>21</v>
      </c>
      <c r="I3" s="47" t="s">
        <v>22</v>
      </c>
      <c r="J3" s="47" t="s">
        <v>21</v>
      </c>
      <c r="K3" s="47" t="s">
        <v>21</v>
      </c>
      <c r="L3" s="47" t="s">
        <v>21</v>
      </c>
      <c r="M3" s="47" t="s">
        <v>21</v>
      </c>
      <c r="N3" s="47" t="s">
        <v>21</v>
      </c>
      <c r="O3" s="47" t="s">
        <v>21</v>
      </c>
      <c r="P3" s="47" t="s">
        <v>21</v>
      </c>
      <c r="Q3" s="47" t="s">
        <v>23</v>
      </c>
      <c r="R3" s="47" t="s">
        <v>21</v>
      </c>
      <c r="S3" s="47" t="s">
        <v>24</v>
      </c>
      <c r="T3" s="47" t="s">
        <v>21</v>
      </c>
      <c r="U3" s="98"/>
      <c r="V3" s="98"/>
    </row>
    <row customHeight="1" ht="15">
      <c r="A4" s="98"/>
      <c r="B4" s="94"/>
      <c r="C4" s="47" t="s">
        <v>25</v>
      </c>
      <c r="D4" s="47" t="s">
        <v>26</v>
      </c>
      <c r="E4" s="47" t="s">
        <v>27</v>
      </c>
      <c r="F4" s="47" t="s">
        <v>28</v>
      </c>
      <c r="G4" s="47" t="s">
        <v>29</v>
      </c>
      <c r="H4" s="47" t="s">
        <v>30</v>
      </c>
      <c r="I4" s="47" t="s">
        <v>31</v>
      </c>
      <c r="J4" s="47" t="s">
        <v>32</v>
      </c>
      <c r="K4" s="47" t="s">
        <v>33</v>
      </c>
      <c r="L4" s="47" t="s">
        <v>34</v>
      </c>
      <c r="M4" s="47" t="s">
        <v>35</v>
      </c>
      <c r="N4" s="47" t="s">
        <v>36</v>
      </c>
      <c r="O4" s="47" t="s">
        <v>37</v>
      </c>
      <c r="P4" s="47" t="s">
        <v>38</v>
      </c>
      <c r="Q4" s="47" t="s">
        <v>39</v>
      </c>
      <c r="R4" s="47" t="s">
        <v>40</v>
      </c>
      <c r="S4" s="47" t="s">
        <v>41</v>
      </c>
      <c r="T4" s="47">
        <v>0</v>
      </c>
      <c r="U4" s="98"/>
      <c r="V4" s="98"/>
    </row>
    <row customHeight="1" ht="15">
      <c r="A5" s="98"/>
      <c r="B5" s="104" t="s">
        <v>43</v>
      </c>
      <c r="C5" s="135">
        <v>452155</v>
      </c>
      <c r="D5" s="135">
        <v>11595403</v>
      </c>
      <c r="E5" s="135">
        <v>0</v>
      </c>
      <c r="F5" s="135">
        <v>363461</v>
      </c>
      <c r="G5" s="135">
        <v>22052</v>
      </c>
      <c r="H5" s="135">
        <v>0</v>
      </c>
      <c r="I5" s="135">
        <v>27549341</v>
      </c>
      <c r="J5" s="135">
        <v>31521</v>
      </c>
      <c r="K5" s="135">
        <v>47039</v>
      </c>
      <c r="L5" s="135">
        <v>0</v>
      </c>
      <c r="M5" s="135">
        <v>13084</v>
      </c>
      <c r="N5" s="135">
        <v>0</v>
      </c>
      <c r="O5" s="135">
        <v>0</v>
      </c>
      <c r="P5" s="135">
        <v>0</v>
      </c>
      <c r="Q5" s="135">
        <v>0</v>
      </c>
      <c r="R5" s="135">
        <v>12044</v>
      </c>
      <c r="S5" s="135"/>
      <c r="T5" s="135"/>
      <c r="U5" s="98"/>
      <c r="V5" s="98"/>
    </row>
    <row customHeight="1" ht="15">
      <c r="A6" s="98"/>
      <c r="B6" s="104" t="s">
        <v>45</v>
      </c>
      <c r="C6" s="136">
        <v>767</v>
      </c>
      <c r="D6" s="136">
        <v>9551</v>
      </c>
      <c r="E6" s="136"/>
      <c r="F6" s="136">
        <v>12887</v>
      </c>
      <c r="G6" s="136"/>
      <c r="H6" s="136"/>
      <c r="I6" s="137"/>
      <c r="J6" s="136"/>
      <c r="K6" s="136">
        <v>10810</v>
      </c>
      <c r="L6" s="136"/>
      <c r="M6" s="136">
        <v>4455</v>
      </c>
      <c r="N6" s="136"/>
      <c r="O6" s="136"/>
      <c r="P6" s="136"/>
      <c r="Q6" s="136"/>
      <c r="R6" s="136"/>
      <c r="S6" s="136"/>
      <c r="T6" s="136"/>
      <c r="U6" s="98"/>
      <c r="V6" s="98"/>
    </row>
    <row customHeight="1" ht="15">
      <c r="A7" s="98"/>
      <c r="B7" s="104"/>
      <c r="C7" s="138"/>
      <c r="D7" s="136"/>
      <c r="E7" s="136"/>
      <c r="F7" s="136"/>
      <c r="G7" s="136"/>
      <c r="H7" s="136"/>
      <c r="I7" s="137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98"/>
      <c r="V7" s="98"/>
    </row>
    <row customHeight="1" ht="15">
      <c r="A8" s="98"/>
      <c r="B8" s="104" t="s">
        <v>47</v>
      </c>
      <c r="C8" s="139"/>
      <c r="D8" s="136">
        <v>11585852</v>
      </c>
      <c r="E8" s="136"/>
      <c r="F8" s="136">
        <v>350574</v>
      </c>
      <c r="G8" s="136">
        <v>22052</v>
      </c>
      <c r="H8" s="136"/>
      <c r="I8" s="140"/>
      <c r="J8" s="136">
        <v>67750</v>
      </c>
      <c r="K8" s="136"/>
      <c r="L8" s="136"/>
      <c r="M8" s="136">
        <v>8629</v>
      </c>
      <c r="N8" s="136"/>
      <c r="O8" s="136"/>
      <c r="P8" s="136"/>
      <c r="Q8" s="136"/>
      <c r="R8" s="136">
        <v>12044</v>
      </c>
      <c r="S8" s="136"/>
      <c r="T8" s="136"/>
      <c r="U8" s="98"/>
      <c r="V8" s="98"/>
    </row>
    <row customHeight="1" ht="15">
      <c r="A9" s="98"/>
      <c r="B9" s="104" t="s">
        <v>49</v>
      </c>
      <c r="C9" s="135"/>
      <c r="D9" s="135"/>
      <c r="E9" s="135"/>
      <c r="F9" s="135"/>
      <c r="G9" s="135"/>
      <c r="H9" s="135"/>
      <c r="I9" s="135"/>
      <c r="J9" s="137">
        <v>1011</v>
      </c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98"/>
      <c r="V9" s="98"/>
    </row>
    <row customHeight="1" ht="15">
      <c r="A10" s="98"/>
      <c r="B10" s="104"/>
      <c r="C10" s="135"/>
      <c r="D10" s="135"/>
      <c r="E10" s="135"/>
      <c r="F10" s="135"/>
      <c r="G10" s="135"/>
      <c r="H10" s="135"/>
      <c r="I10" s="135"/>
      <c r="J10" s="137">
        <v>0</v>
      </c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98"/>
      <c r="V10" s="98"/>
    </row>
    <row customHeight="1" ht="15">
      <c r="A11" s="98"/>
      <c r="B11" s="104" t="s">
        <v>51</v>
      </c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98"/>
      <c r="V11" s="98"/>
    </row>
    <row customHeight="1" ht="15">
      <c r="A12" s="98"/>
      <c r="B12" s="104" t="s">
        <v>53</v>
      </c>
      <c r="C12" s="135"/>
      <c r="D12" s="135"/>
      <c r="E12" s="135"/>
      <c r="F12" s="135"/>
      <c r="G12" s="135"/>
      <c r="H12" s="135"/>
      <c r="I12" s="135"/>
      <c r="J12" s="135">
        <v>-36229</v>
      </c>
      <c r="K12" s="135">
        <v>36229</v>
      </c>
      <c r="L12" s="135"/>
      <c r="M12" s="135"/>
      <c r="N12" s="135"/>
      <c r="O12" s="135"/>
      <c r="P12" s="135"/>
      <c r="Q12" s="135"/>
      <c r="R12" s="135"/>
      <c r="S12" s="135"/>
      <c r="T12" s="135"/>
      <c r="U12" s="98"/>
      <c r="V12" s="98"/>
    </row>
    <row customHeight="1" ht="15">
      <c r="A13" s="98"/>
      <c r="B13" s="104" t="s">
        <v>55</v>
      </c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98"/>
      <c r="V13" s="98"/>
    </row>
    <row customHeight="1" ht="15">
      <c r="A14" s="98"/>
      <c r="B14" s="104" t="s">
        <v>57</v>
      </c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98"/>
      <c r="V14" s="98"/>
    </row>
    <row customHeight="1" ht="15">
      <c r="A15" s="98"/>
      <c r="B15" s="104" t="s">
        <v>59</v>
      </c>
      <c r="C15" s="136">
        <v>168029</v>
      </c>
      <c r="D15" s="136">
        <v>2287029</v>
      </c>
      <c r="E15" s="136"/>
      <c r="F15" s="136">
        <v>55880</v>
      </c>
      <c r="G15" s="136"/>
      <c r="H15" s="136"/>
      <c r="I15" s="136">
        <v>6093401</v>
      </c>
      <c r="J15" s="136">
        <v>29760</v>
      </c>
      <c r="K15" s="136">
        <v>21655</v>
      </c>
      <c r="L15" s="136"/>
      <c r="M15" s="136">
        <v>118</v>
      </c>
      <c r="N15" s="136"/>
      <c r="O15" s="136"/>
      <c r="P15" s="136"/>
      <c r="Q15" s="136"/>
      <c r="R15" s="136"/>
      <c r="S15" s="136"/>
      <c r="T15" s="136"/>
      <c r="U15" s="98"/>
      <c r="V15" s="98"/>
    </row>
    <row customHeight="1" ht="15">
      <c r="A16" s="98"/>
      <c r="B16" s="104" t="s">
        <v>61</v>
      </c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98"/>
      <c r="V16" s="98"/>
    </row>
    <row customHeight="1" ht="15">
      <c r="A17" s="98"/>
      <c r="B17" s="104" t="s">
        <v>63</v>
      </c>
      <c r="C17" s="135">
        <v>284126</v>
      </c>
      <c r="D17" s="135">
        <v>9308374</v>
      </c>
      <c r="E17" s="135">
        <v>0</v>
      </c>
      <c r="F17" s="135">
        <v>307581</v>
      </c>
      <c r="G17" s="135">
        <v>22052</v>
      </c>
      <c r="H17" s="135">
        <v>0</v>
      </c>
      <c r="I17" s="135">
        <v>21455940</v>
      </c>
      <c r="J17" s="135">
        <v>1761</v>
      </c>
      <c r="K17" s="135">
        <v>25384</v>
      </c>
      <c r="L17" s="135">
        <v>0</v>
      </c>
      <c r="M17" s="135">
        <v>12966</v>
      </c>
      <c r="N17" s="135">
        <v>0</v>
      </c>
      <c r="O17" s="135">
        <v>0</v>
      </c>
      <c r="P17" s="135">
        <v>0</v>
      </c>
      <c r="Q17" s="135">
        <v>0</v>
      </c>
      <c r="R17" s="135">
        <v>12044</v>
      </c>
      <c r="S17" s="135"/>
      <c r="T17" s="135"/>
      <c r="U17" s="98"/>
      <c r="V17" s="98"/>
    </row>
    <row customHeight="1" ht="15">
      <c r="A18" s="98"/>
      <c r="B18" s="104" t="s">
        <v>65</v>
      </c>
      <c r="C18" s="135">
        <v>271856</v>
      </c>
      <c r="D18" s="135">
        <v>0</v>
      </c>
      <c r="E18" s="135">
        <v>0</v>
      </c>
      <c r="F18" s="135">
        <v>68976</v>
      </c>
      <c r="G18" s="135">
        <v>0</v>
      </c>
      <c r="H18" s="135">
        <v>0</v>
      </c>
      <c r="I18" s="135">
        <v>3425714</v>
      </c>
      <c r="J18" s="135">
        <v>0</v>
      </c>
      <c r="K18" s="135">
        <v>0</v>
      </c>
      <c r="L18" s="135">
        <v>0</v>
      </c>
      <c r="M18" s="135">
        <v>4969</v>
      </c>
      <c r="N18" s="135">
        <v>0</v>
      </c>
      <c r="O18" s="135">
        <v>0</v>
      </c>
      <c r="P18" s="135">
        <v>0</v>
      </c>
      <c r="Q18" s="135">
        <v>0</v>
      </c>
      <c r="R18" s="135">
        <v>0</v>
      </c>
      <c r="S18" s="135"/>
      <c r="T18" s="135"/>
      <c r="U18" s="98"/>
      <c r="V18" s="98"/>
    </row>
    <row customHeight="1" ht="15">
      <c r="A19" s="98"/>
      <c r="B19" s="104" t="s">
        <v>67</v>
      </c>
      <c r="C19" s="141"/>
      <c r="D19" s="136"/>
      <c r="E19" s="136"/>
      <c r="F19" s="136"/>
      <c r="G19" s="136"/>
      <c r="H19" s="136"/>
      <c r="I19" s="137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>
        <v>451388</v>
      </c>
      <c r="U19" s="98"/>
      <c r="V19" s="98"/>
    </row>
    <row customHeight="1" ht="15">
      <c r="A20" s="98"/>
      <c r="B20" s="104" t="s">
        <v>69</v>
      </c>
      <c r="C20" s="136">
        <v>7495</v>
      </c>
      <c r="D20" s="136"/>
      <c r="E20" s="136"/>
      <c r="F20" s="136"/>
      <c r="G20" s="136"/>
      <c r="H20" s="136"/>
      <c r="I20" s="137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>
        <v>11585852</v>
      </c>
      <c r="U20" s="134" t="s">
        <v>128</v>
      </c>
      <c r="V20" s="98"/>
    </row>
    <row customHeight="1" ht="15">
      <c r="A21" s="98"/>
      <c r="B21" s="104"/>
      <c r="C21" s="136"/>
      <c r="D21" s="136"/>
      <c r="E21" s="136"/>
      <c r="F21" s="136"/>
      <c r="G21" s="136"/>
      <c r="H21" s="136"/>
      <c r="I21" s="137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4" t="s">
        <v>129</v>
      </c>
      <c r="V21" s="98"/>
    </row>
    <row customHeight="1" ht="15">
      <c r="A22" s="98"/>
      <c r="B22" s="104" t="s">
        <v>71</v>
      </c>
      <c r="C22" s="135"/>
      <c r="D22" s="135"/>
      <c r="E22" s="135"/>
      <c r="F22" s="135"/>
      <c r="G22" s="135"/>
      <c r="H22" s="135"/>
      <c r="I22" s="137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>
        <v>0</v>
      </c>
      <c r="U22" s="98"/>
      <c r="V22" s="98"/>
    </row>
    <row customHeight="1" ht="15">
      <c r="A23" s="98"/>
      <c r="B23" s="104"/>
      <c r="C23" s="135"/>
      <c r="D23" s="135"/>
      <c r="E23" s="135"/>
      <c r="F23" s="135"/>
      <c r="G23" s="135"/>
      <c r="H23" s="135"/>
      <c r="I23" s="137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98"/>
      <c r="V23" s="98"/>
    </row>
    <row customHeight="1" ht="15">
      <c r="A24" s="98"/>
      <c r="B24" s="104" t="s">
        <v>73</v>
      </c>
      <c r="C24" s="135"/>
      <c r="D24" s="135"/>
      <c r="E24" s="135"/>
      <c r="F24" s="135">
        <v>68976</v>
      </c>
      <c r="G24" s="135"/>
      <c r="H24" s="135"/>
      <c r="I24" s="137"/>
      <c r="J24" s="135"/>
      <c r="K24" s="135"/>
      <c r="L24" s="135"/>
      <c r="M24" s="135">
        <v>4969</v>
      </c>
      <c r="N24" s="135"/>
      <c r="O24" s="135"/>
      <c r="P24" s="135"/>
      <c r="Q24" s="135"/>
      <c r="R24" s="135"/>
      <c r="S24" s="135"/>
      <c r="T24" s="135">
        <v>67750</v>
      </c>
      <c r="U24" s="98"/>
      <c r="V24" s="98"/>
    </row>
    <row customHeight="1" ht="15">
      <c r="A25" s="98"/>
      <c r="B25" s="104" t="s">
        <v>75</v>
      </c>
      <c r="C25" s="142">
        <v>1517</v>
      </c>
      <c r="D25" s="135">
        <v>5985147</v>
      </c>
      <c r="E25" s="135">
        <v>0</v>
      </c>
      <c r="F25" s="135">
        <v>208019</v>
      </c>
      <c r="G25" s="135">
        <v>22052</v>
      </c>
      <c r="H25" s="135">
        <v>0</v>
      </c>
      <c r="I25" s="135">
        <v>9779545</v>
      </c>
      <c r="J25" s="135">
        <v>1761</v>
      </c>
      <c r="K25" s="135">
        <v>-22338</v>
      </c>
      <c r="L25" s="135">
        <v>0</v>
      </c>
      <c r="M25" s="135">
        <v>7997</v>
      </c>
      <c r="N25" s="135">
        <v>0</v>
      </c>
      <c r="O25" s="135">
        <v>0</v>
      </c>
      <c r="P25" s="135">
        <v>0</v>
      </c>
      <c r="Q25" s="135">
        <v>0</v>
      </c>
      <c r="R25" s="135">
        <v>12044</v>
      </c>
      <c r="S25" s="135"/>
      <c r="T25" s="135"/>
      <c r="U25" s="134"/>
      <c r="V25" s="98"/>
    </row>
    <row customHeight="1" ht="15">
      <c r="A26" s="98"/>
      <c r="B26" s="104" t="s">
        <v>77</v>
      </c>
      <c r="C26" s="137">
        <v>0</v>
      </c>
      <c r="D26" s="137">
        <v>41584.8691999996</v>
      </c>
      <c r="E26" s="136"/>
      <c r="F26" s="137">
        <v>219.831099999999</v>
      </c>
      <c r="G26" s="137">
        <v>69.2323000000015</v>
      </c>
      <c r="H26" s="136"/>
      <c r="I26" s="137"/>
      <c r="J26" s="136"/>
      <c r="K26" s="137">
        <v>297.0265</v>
      </c>
      <c r="L26" s="136"/>
      <c r="M26" s="137">
        <v>58.2740915269001</v>
      </c>
      <c r="N26" s="136"/>
      <c r="O26" s="136"/>
      <c r="P26" s="136"/>
      <c r="Q26" s="136"/>
      <c r="R26" s="136"/>
      <c r="S26" s="136"/>
      <c r="T26" s="137">
        <v>9585</v>
      </c>
      <c r="U26" s="134"/>
      <c r="V26" s="98"/>
    </row>
    <row customHeight="1" ht="15">
      <c r="A27" s="98"/>
      <c r="B27" s="104" t="s">
        <v>79</v>
      </c>
      <c r="C27" s="137">
        <v>0</v>
      </c>
      <c r="D27" s="137">
        <v>2607.20120000001</v>
      </c>
      <c r="E27" s="136"/>
      <c r="F27" s="136"/>
      <c r="G27" s="136"/>
      <c r="H27" s="136"/>
      <c r="I27" s="136"/>
      <c r="J27" s="136"/>
      <c r="K27" s="137">
        <v>16.7739999999999</v>
      </c>
      <c r="L27" s="136"/>
      <c r="M27" s="136"/>
      <c r="N27" s="136"/>
      <c r="O27" s="136"/>
      <c r="P27" s="136"/>
      <c r="Q27" s="136"/>
      <c r="R27" s="136"/>
      <c r="S27" s="136"/>
      <c r="T27" s="137">
        <v>790</v>
      </c>
      <c r="U27" s="98"/>
      <c r="V27" s="98"/>
    </row>
    <row customHeight="1" ht="15">
      <c r="A28" s="98"/>
      <c r="B28" s="104" t="s">
        <v>81</v>
      </c>
      <c r="C28" s="136"/>
      <c r="D28" s="136"/>
      <c r="E28" s="136"/>
      <c r="F28" s="136"/>
      <c r="G28" s="136"/>
      <c r="H28" s="136"/>
      <c r="I28" s="137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98"/>
      <c r="V28" s="98"/>
    </row>
    <row customHeight="1" ht="15">
      <c r="A29" s="98"/>
      <c r="B29" s="104" t="s">
        <v>83</v>
      </c>
      <c r="C29" s="137">
        <v>0</v>
      </c>
      <c r="D29" s="137"/>
      <c r="E29" s="136"/>
      <c r="F29" s="137"/>
      <c r="G29" s="136"/>
      <c r="H29" s="136"/>
      <c r="I29" s="137"/>
      <c r="J29" s="137"/>
      <c r="K29" s="137"/>
      <c r="L29" s="136"/>
      <c r="M29" s="137"/>
      <c r="N29" s="136"/>
      <c r="O29" s="136"/>
      <c r="P29" s="136"/>
      <c r="Q29" s="136"/>
      <c r="R29" s="137"/>
      <c r="S29" s="136"/>
      <c r="T29" s="137">
        <v>4763</v>
      </c>
      <c r="U29" s="98"/>
      <c r="V29" s="98"/>
    </row>
    <row customHeight="1" ht="15">
      <c r="A30" s="98"/>
      <c r="B30" s="104" t="s">
        <v>85</v>
      </c>
      <c r="C30" s="136"/>
      <c r="D30" s="137"/>
      <c r="E30" s="136"/>
      <c r="F30" s="136"/>
      <c r="G30" s="136"/>
      <c r="H30" s="136"/>
      <c r="I30" s="137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98"/>
      <c r="V30" s="98"/>
    </row>
    <row customHeight="1" ht="15">
      <c r="A31" s="98"/>
      <c r="B31" s="104" t="s">
        <v>87</v>
      </c>
      <c r="C31" s="136"/>
      <c r="D31" s="137">
        <v>31402</v>
      </c>
      <c r="E31" s="143"/>
      <c r="F31" s="144">
        <v>382353</v>
      </c>
      <c r="G31" s="144">
        <v>70522</v>
      </c>
      <c r="H31" s="143"/>
      <c r="I31" s="137"/>
      <c r="J31" s="144">
        <v>456183</v>
      </c>
      <c r="K31" s="144">
        <v>187233</v>
      </c>
      <c r="L31" s="143"/>
      <c r="M31" s="144">
        <v>228529</v>
      </c>
      <c r="N31" s="136"/>
      <c r="O31" s="136"/>
      <c r="P31" s="136"/>
      <c r="Q31" s="136"/>
      <c r="R31" s="136"/>
      <c r="S31" s="136"/>
      <c r="T31" s="137">
        <v>3340</v>
      </c>
      <c r="U31" s="98"/>
      <c r="V31" s="98"/>
    </row>
    <row customHeight="1" ht="15">
      <c r="A32" s="98"/>
      <c r="B32" s="104"/>
      <c r="C32" s="136"/>
      <c r="D32" s="145"/>
      <c r="E32" s="143"/>
      <c r="F32" s="145"/>
      <c r="G32" s="144">
        <v>600986</v>
      </c>
      <c r="H32" s="143"/>
      <c r="I32" s="145"/>
      <c r="J32" s="145"/>
      <c r="K32" s="145"/>
      <c r="L32" s="143"/>
      <c r="M32" s="145"/>
      <c r="N32" s="136"/>
      <c r="O32" s="136"/>
      <c r="P32" s="136"/>
      <c r="Q32" s="136"/>
      <c r="R32" s="136"/>
      <c r="S32" s="136"/>
      <c r="T32" s="145"/>
      <c r="U32" s="98"/>
      <c r="V32" s="98"/>
    </row>
    <row customHeight="1" ht="15">
      <c r="A33" s="98"/>
      <c r="B33" s="112" t="s">
        <v>89</v>
      </c>
      <c r="C33" s="136"/>
      <c r="D33" s="137"/>
      <c r="E33" s="143"/>
      <c r="F33" s="137"/>
      <c r="G33" s="143"/>
      <c r="H33" s="143"/>
      <c r="I33" s="137"/>
      <c r="J33" s="143"/>
      <c r="K33" s="137"/>
      <c r="L33" s="143"/>
      <c r="M33" s="143"/>
      <c r="N33" s="136"/>
      <c r="O33" s="136"/>
      <c r="P33" s="136"/>
      <c r="Q33" s="136"/>
      <c r="R33" s="136"/>
      <c r="S33" s="136"/>
      <c r="T33" s="137"/>
      <c r="U33" s="98"/>
      <c r="V33" s="98"/>
    </row>
    <row customHeight="1" ht="15">
      <c r="A34" s="98"/>
      <c r="B34" s="112" t="s">
        <v>91</v>
      </c>
      <c r="C34" s="136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36"/>
      <c r="O34" s="136"/>
      <c r="P34" s="136"/>
      <c r="Q34" s="136"/>
      <c r="R34" s="136"/>
      <c r="S34" s="136"/>
      <c r="T34" s="136">
        <v>24534</v>
      </c>
      <c r="U34" s="98"/>
      <c r="V34" s="98"/>
    </row>
    <row customHeight="1" ht="15">
      <c r="A35" s="98"/>
      <c r="B35" s="112" t="s">
        <v>93</v>
      </c>
      <c r="C35" s="136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36"/>
      <c r="O35" s="136"/>
      <c r="P35" s="136"/>
      <c r="Q35" s="136"/>
      <c r="R35" s="136"/>
      <c r="S35" s="136"/>
      <c r="T35" s="136"/>
      <c r="U35" s="98"/>
      <c r="V35" s="98"/>
    </row>
    <row customHeight="1" ht="15">
      <c r="A36" s="98"/>
      <c r="B36" s="112" t="s">
        <v>95</v>
      </c>
      <c r="C36" s="136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36"/>
      <c r="O36" s="136"/>
      <c r="P36" s="136"/>
      <c r="Q36" s="136"/>
      <c r="R36" s="136"/>
      <c r="S36" s="136"/>
      <c r="T36" s="136"/>
      <c r="U36" s="98"/>
      <c r="V36" s="98"/>
    </row>
    <row customHeight="1" ht="15">
      <c r="A37" s="98"/>
      <c r="B37" s="112" t="s">
        <v>97</v>
      </c>
      <c r="C37" s="136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36"/>
      <c r="O37" s="136"/>
      <c r="P37" s="136"/>
      <c r="Q37" s="136"/>
      <c r="R37" s="136"/>
      <c r="S37" s="136"/>
      <c r="T37" s="137">
        <v>471</v>
      </c>
      <c r="U37" s="98"/>
      <c r="V37" s="98"/>
    </row>
    <row customHeight="1" ht="15">
      <c r="A38" s="98"/>
      <c r="B38" s="104" t="s">
        <v>99</v>
      </c>
      <c r="C38" s="136"/>
      <c r="D38" s="137">
        <v>436.459999999999</v>
      </c>
      <c r="E38" s="143"/>
      <c r="F38" s="137">
        <v>52.0900000000256</v>
      </c>
      <c r="G38" s="143"/>
      <c r="H38" s="143"/>
      <c r="I38" s="137"/>
      <c r="J38" s="143"/>
      <c r="K38" s="137">
        <v>54.5199999999895</v>
      </c>
      <c r="L38" s="143"/>
      <c r="M38" s="137">
        <v>27898</v>
      </c>
      <c r="N38" s="136"/>
      <c r="O38" s="136"/>
      <c r="P38" s="136"/>
      <c r="Q38" s="136"/>
      <c r="R38" s="136"/>
      <c r="S38" s="136"/>
      <c r="T38" s="137">
        <v>2061</v>
      </c>
      <c r="U38" s="98"/>
      <c r="V38" s="98"/>
    </row>
    <row customHeight="1" ht="15">
      <c r="A39" s="98"/>
      <c r="B39" s="104"/>
      <c r="C39" s="136"/>
      <c r="D39" s="137">
        <v>6945.29999999993</v>
      </c>
      <c r="E39" s="143"/>
      <c r="F39" s="145"/>
      <c r="G39" s="143"/>
      <c r="H39" s="143"/>
      <c r="I39" s="145"/>
      <c r="J39" s="143"/>
      <c r="K39" s="145"/>
      <c r="L39" s="143"/>
      <c r="M39" s="145"/>
      <c r="N39" s="136"/>
      <c r="O39" s="136"/>
      <c r="P39" s="136"/>
      <c r="Q39" s="136"/>
      <c r="R39" s="136"/>
      <c r="S39" s="136"/>
      <c r="T39" s="145"/>
      <c r="U39" s="98"/>
      <c r="V39" s="98"/>
    </row>
    <row customHeight="1" ht="15">
      <c r="A40" s="98"/>
      <c r="B40" s="104" t="s">
        <v>101</v>
      </c>
      <c r="C40" s="136"/>
      <c r="D40" s="137">
        <v>9480.75</v>
      </c>
      <c r="E40" s="143"/>
      <c r="F40" s="137">
        <v>142.159999999974</v>
      </c>
      <c r="G40" s="143"/>
      <c r="H40" s="143"/>
      <c r="I40" s="137"/>
      <c r="J40" s="137">
        <v>384.15</v>
      </c>
      <c r="K40" s="137">
        <v>0</v>
      </c>
      <c r="L40" s="143"/>
      <c r="M40" s="137">
        <v>25911.5</v>
      </c>
      <c r="N40" s="136"/>
      <c r="O40" s="136"/>
      <c r="P40" s="136"/>
      <c r="Q40" s="136"/>
      <c r="R40" s="136"/>
      <c r="S40" s="136"/>
      <c r="T40" s="137">
        <v>4379</v>
      </c>
      <c r="U40" s="98"/>
      <c r="V40" s="98"/>
    </row>
    <row customHeight="1" ht="15">
      <c r="A41" s="98"/>
      <c r="B41" s="104" t="s">
        <v>103</v>
      </c>
      <c r="C41" s="136"/>
      <c r="D41" s="137"/>
      <c r="E41" s="143"/>
      <c r="F41" s="137"/>
      <c r="G41" s="143"/>
      <c r="H41" s="143"/>
      <c r="I41" s="137"/>
      <c r="J41" s="137"/>
      <c r="K41" s="137"/>
      <c r="L41" s="143"/>
      <c r="M41" s="137"/>
      <c r="N41" s="136"/>
      <c r="O41" s="136"/>
      <c r="P41" s="136"/>
      <c r="Q41" s="136"/>
      <c r="R41" s="136"/>
      <c r="S41" s="136"/>
      <c r="T41" s="137"/>
      <c r="U41" s="98"/>
      <c r="V41" s="98"/>
    </row>
    <row customHeight="1" ht="15">
      <c r="A42" s="98"/>
      <c r="B42" s="104" t="s">
        <v>105</v>
      </c>
      <c r="C42" s="136"/>
      <c r="D42" s="136"/>
      <c r="E42" s="136"/>
      <c r="F42" s="136"/>
      <c r="G42" s="136"/>
      <c r="H42" s="136"/>
      <c r="I42" s="137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98"/>
      <c r="V42" s="98"/>
    </row>
    <row customHeight="1" ht="15">
      <c r="A43" s="98"/>
      <c r="B43" s="104" t="s">
        <v>107</v>
      </c>
      <c r="C43" s="136"/>
      <c r="D43" s="137">
        <v>2517</v>
      </c>
      <c r="E43" s="136"/>
      <c r="F43" s="136"/>
      <c r="G43" s="136"/>
      <c r="H43" s="136"/>
      <c r="I43" s="137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98"/>
      <c r="V43" s="98"/>
    </row>
    <row customHeight="1" ht="15">
      <c r="A44" s="98"/>
      <c r="B44" s="104" t="s">
        <v>109</v>
      </c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98"/>
      <c r="V44" s="98"/>
    </row>
    <row customHeight="1" ht="15">
      <c r="A45" s="98"/>
      <c r="B45" s="104" t="s">
        <v>111</v>
      </c>
      <c r="C45" s="137">
        <v>0</v>
      </c>
      <c r="D45" s="137">
        <v>8272</v>
      </c>
      <c r="E45" s="136"/>
      <c r="F45" s="137" t="s">
        <v>130</v>
      </c>
      <c r="G45" s="137"/>
      <c r="H45" s="136"/>
      <c r="I45" s="136"/>
      <c r="J45" s="136"/>
      <c r="K45" s="137">
        <v>0</v>
      </c>
      <c r="L45" s="136"/>
      <c r="M45" s="144">
        <v>3509</v>
      </c>
      <c r="N45" s="136"/>
      <c r="O45" s="136"/>
      <c r="P45" s="136"/>
      <c r="Q45" s="136"/>
      <c r="R45" s="136"/>
      <c r="S45" s="136"/>
      <c r="T45" s="137"/>
      <c r="U45" s="98"/>
      <c r="V45" s="98"/>
    </row>
    <row customHeight="1" ht="15">
      <c r="A46" s="98"/>
      <c r="B46" s="104"/>
      <c r="C46" s="145"/>
      <c r="D46" s="137"/>
      <c r="E46" s="136"/>
      <c r="F46" s="137">
        <v>0</v>
      </c>
      <c r="G46" s="137">
        <v>138</v>
      </c>
      <c r="H46" s="136"/>
      <c r="I46" s="136"/>
      <c r="J46" s="136"/>
      <c r="K46" s="137">
        <v>0</v>
      </c>
      <c r="L46" s="136"/>
      <c r="M46" s="145"/>
      <c r="N46" s="136"/>
      <c r="O46" s="136"/>
      <c r="P46" s="136"/>
      <c r="Q46" s="136"/>
      <c r="R46" s="136"/>
      <c r="S46" s="136"/>
      <c r="T46" s="145"/>
      <c r="U46" s="98"/>
      <c r="V46" s="98"/>
    </row>
    <row customHeight="1" ht="15">
      <c r="A47" s="98"/>
      <c r="B47" s="104" t="s">
        <v>113</v>
      </c>
      <c r="C47" s="136">
        <v>10753</v>
      </c>
      <c r="D47" s="136">
        <v>3323227</v>
      </c>
      <c r="E47" s="136">
        <v>0</v>
      </c>
      <c r="F47" s="136">
        <v>30586</v>
      </c>
      <c r="G47" s="136">
        <v>0</v>
      </c>
      <c r="H47" s="136">
        <v>0</v>
      </c>
      <c r="I47" s="136">
        <v>8184788</v>
      </c>
      <c r="J47" s="136">
        <v>0</v>
      </c>
      <c r="K47" s="136">
        <v>47722</v>
      </c>
      <c r="L47" s="136">
        <v>0</v>
      </c>
      <c r="M47" s="136">
        <v>0</v>
      </c>
      <c r="N47" s="136">
        <v>0</v>
      </c>
      <c r="O47" s="136">
        <v>0</v>
      </c>
      <c r="P47" s="136">
        <v>0</v>
      </c>
      <c r="Q47" s="136">
        <v>0</v>
      </c>
      <c r="R47" s="136">
        <v>0</v>
      </c>
      <c r="S47" s="136"/>
      <c r="T47" s="136"/>
      <c r="U47" s="98"/>
      <c r="V47" s="98"/>
    </row>
    <row customHeight="1" ht="15">
      <c r="A48" s="98"/>
      <c r="B48" s="104" t="s">
        <v>115</v>
      </c>
      <c r="C48" s="137"/>
      <c r="D48" s="137"/>
      <c r="E48" s="137"/>
      <c r="F48" s="136"/>
      <c r="G48" s="136"/>
      <c r="H48" s="136"/>
      <c r="I48" s="137"/>
      <c r="J48" s="136"/>
      <c r="K48" s="136">
        <v>826</v>
      </c>
      <c r="L48" s="136"/>
      <c r="M48" s="136"/>
      <c r="N48" s="136"/>
      <c r="O48" s="136"/>
      <c r="P48" s="136"/>
      <c r="Q48" s="136"/>
      <c r="R48" s="136"/>
      <c r="S48" s="136"/>
      <c r="T48" s="136">
        <v>423441</v>
      </c>
      <c r="U48" s="98"/>
      <c r="V48" s="98"/>
    </row>
    <row customHeight="1" ht="15">
      <c r="A49" s="98"/>
      <c r="B49" s="104"/>
      <c r="C49" s="137"/>
      <c r="D49" s="137"/>
      <c r="E49" s="137"/>
      <c r="F49" s="136"/>
      <c r="G49" s="136"/>
      <c r="H49" s="136"/>
      <c r="I49" s="137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98"/>
      <c r="V49" s="98"/>
    </row>
    <row customHeight="1" ht="15">
      <c r="A50" s="98"/>
      <c r="B50" s="104"/>
      <c r="C50" s="137"/>
      <c r="D50" s="137"/>
      <c r="E50" s="137"/>
      <c r="F50" s="136"/>
      <c r="G50" s="136"/>
      <c r="H50" s="136"/>
      <c r="I50" s="137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98"/>
      <c r="V50" s="98"/>
    </row>
    <row customHeight="1" ht="15">
      <c r="A51" s="98"/>
      <c r="B51" s="104" t="s">
        <v>117</v>
      </c>
      <c r="C51" s="136">
        <v>2577</v>
      </c>
      <c r="D51" s="136"/>
      <c r="E51" s="136"/>
      <c r="F51" s="136"/>
      <c r="G51" s="136"/>
      <c r="H51" s="136"/>
      <c r="I51" s="137"/>
      <c r="J51" s="136"/>
      <c r="K51" s="137"/>
      <c r="L51" s="136"/>
      <c r="M51" s="136"/>
      <c r="N51" s="136"/>
      <c r="O51" s="136"/>
      <c r="P51" s="136"/>
      <c r="Q51" s="136"/>
      <c r="R51" s="136"/>
      <c r="S51" s="136"/>
      <c r="T51" s="136">
        <v>423441</v>
      </c>
      <c r="U51" s="98"/>
      <c r="V51" s="98"/>
    </row>
    <row customHeight="1" ht="15">
      <c r="A52" s="98"/>
      <c r="B52" s="104" t="s">
        <v>119</v>
      </c>
      <c r="C52" s="136">
        <v>7112</v>
      </c>
      <c r="D52" s="136">
        <v>3323227</v>
      </c>
      <c r="E52" s="136"/>
      <c r="F52" s="136">
        <v>30586</v>
      </c>
      <c r="G52" s="136"/>
      <c r="H52" s="136"/>
      <c r="I52" s="137"/>
      <c r="J52" s="136"/>
      <c r="K52" s="136">
        <v>43229</v>
      </c>
      <c r="L52" s="136"/>
      <c r="M52" s="136"/>
      <c r="N52" s="136"/>
      <c r="O52" s="136"/>
      <c r="P52" s="136"/>
      <c r="Q52" s="136"/>
      <c r="R52" s="136"/>
      <c r="S52" s="136"/>
      <c r="T52" s="136">
        <v>423441</v>
      </c>
      <c r="U52" s="98"/>
      <c r="V52" s="98"/>
    </row>
    <row customHeight="1" ht="15">
      <c r="A53" s="98"/>
      <c r="B53" s="104"/>
      <c r="C53" s="136"/>
      <c r="D53" s="136"/>
      <c r="E53" s="136"/>
      <c r="F53" s="136"/>
      <c r="G53" s="136"/>
      <c r="H53" s="136"/>
      <c r="I53" s="137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98"/>
      <c r="V53" s="98"/>
    </row>
    <row customHeight="1" ht="15">
      <c r="A54" s="98"/>
      <c r="B54" s="104"/>
      <c r="C54" s="136"/>
      <c r="D54" s="136"/>
      <c r="E54" s="136"/>
      <c r="F54" s="136"/>
      <c r="G54" s="136"/>
      <c r="H54" s="136"/>
      <c r="I54" s="137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98"/>
      <c r="V54" s="98"/>
    </row>
    <row customHeight="1" ht="15">
      <c r="A55" s="98"/>
      <c r="B55" s="104"/>
      <c r="C55" s="136"/>
      <c r="D55" s="136"/>
      <c r="E55" s="136"/>
      <c r="F55" s="136"/>
      <c r="G55" s="136"/>
      <c r="H55" s="136"/>
      <c r="I55" s="137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98"/>
      <c r="V55" s="98"/>
    </row>
    <row customHeight="1" ht="15">
      <c r="A56" s="98"/>
      <c r="B56" s="104"/>
      <c r="C56" s="136"/>
      <c r="D56" s="136"/>
      <c r="E56" s="136"/>
      <c r="F56" s="136"/>
      <c r="G56" s="136"/>
      <c r="H56" s="136"/>
      <c r="I56" s="137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98"/>
      <c r="V56" s="98"/>
    </row>
    <row customHeight="1" ht="15">
      <c r="A57" s="98"/>
      <c r="B57" s="104" t="s">
        <v>121</v>
      </c>
      <c r="C57" s="135"/>
      <c r="D57" s="135"/>
      <c r="E57" s="135"/>
      <c r="F57" s="135"/>
      <c r="G57" s="135"/>
      <c r="H57" s="135"/>
      <c r="I57" s="135">
        <v>65893</v>
      </c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>
        <v>423441</v>
      </c>
      <c r="U57" s="98"/>
      <c r="V57" s="98"/>
    </row>
    <row customHeight="1" ht="15">
      <c r="A58" s="98"/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</row>
    <row customHeight="1" ht="1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</row>
    <row customHeight="1" ht="15">
      <c r="A60" s="98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</row>
    <row customHeight="1" ht="15">
      <c r="A61" s="98">
        <f>SUM(A62:A88)</f>
        <v>0</v>
      </c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</row>
    <row customHeight="1" ht="15">
      <c r="A62" s="146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</row>
    <row customHeight="1" ht="15">
      <c r="A63" s="147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</row>
    <row customHeight="1" ht="15">
      <c r="A64" s="147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</row>
    <row customHeight="1" ht="15">
      <c r="A65" s="147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</row>
    <row customHeight="1" ht="15">
      <c r="A66" s="147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</row>
    <row customHeight="1" ht="15">
      <c r="A67" s="147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</row>
    <row customHeight="1" ht="15">
      <c r="A68" s="147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</row>
    <row customHeight="1" ht="15">
      <c r="A69" s="147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</row>
    <row customHeight="1" ht="15">
      <c r="A70" s="147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</row>
    <row customHeight="1" ht="15">
      <c r="A71" s="147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</row>
    <row customHeight="1" ht="15">
      <c r="A72" s="147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</row>
    <row customHeight="1" ht="15">
      <c r="A73" s="147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</row>
    <row customHeight="1" ht="15">
      <c r="A74" s="147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</row>
    <row customHeight="1" ht="15">
      <c r="A75" s="147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</row>
    <row customHeight="1" ht="15">
      <c r="A76" s="147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</row>
    <row customHeight="1" ht="15">
      <c r="A77" s="147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</row>
    <row customHeight="1" ht="15">
      <c r="A78" s="147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</row>
    <row customHeight="1" ht="15">
      <c r="A79" s="147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</row>
    <row customHeight="1" ht="15">
      <c r="A80" s="147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</row>
    <row customHeight="1" ht="15">
      <c r="A81" s="147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</row>
    <row customHeight="1" ht="15">
      <c r="A82" s="147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</row>
    <row customHeight="1" ht="15">
      <c r="A83" s="147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</row>
    <row customHeight="1" ht="15">
      <c r="A84" s="147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</row>
    <row customHeight="1" ht="15">
      <c r="A85" s="147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</row>
    <row customHeight="1" ht="15">
      <c r="A86" s="147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</row>
    <row customHeight="1" ht="15">
      <c r="A87" s="147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</row>
    <row customHeight="1" ht="15">
      <c r="A88" s="147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</row>
    <row customHeight="1" ht="15">
      <c r="A89" s="98">
        <f>_xlfn.IFERROR(A90+A91,"")</f>
        <v>0</v>
      </c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</row>
    <row customHeight="1" ht="15">
      <c r="A90" s="146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</row>
    <row customHeight="1" ht="15">
      <c r="A91" s="146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</row>
    <row customHeight="1" ht="15">
      <c r="A92" s="98">
        <f>_xlfn.IFERROR(A93+A94,"")</f>
        <v>1011</v>
      </c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</row>
    <row customHeight="1" ht="15">
      <c r="A93" s="146">
        <v>1011</v>
      </c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</row>
    <row customHeight="1" ht="15">
      <c r="A94" s="146">
        <v>0</v>
      </c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</row>
    <row customHeight="1" ht="15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</row>
    <row customHeight="1" ht="15">
      <c r="A96" s="148">
        <v>7796</v>
      </c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</row>
    <row customHeight="1" ht="15">
      <c r="A97" s="98">
        <f>_xlfn.IFERROR(A98+A99,"")</f>
        <v>1219</v>
      </c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</row>
    <row customHeight="1" ht="15">
      <c r="A98" s="146">
        <v>1219</v>
      </c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</row>
    <row customHeight="1" ht="15">
      <c r="A99" s="146">
        <v>0</v>
      </c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</row>
    <row customHeight="1" ht="15">
      <c r="A100" s="146">
        <f>_xlfn.IFERROR(A101+A102,"")</f>
        <v>1.5817</v>
      </c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</row>
    <row customHeight="1" ht="15">
      <c r="A101" s="146">
        <v>1.5814</v>
      </c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</row>
    <row customHeight="1" ht="15">
      <c r="A102" s="146">
        <v>0.0003</v>
      </c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149"/>
      <c r="M102" s="98"/>
      <c r="N102" s="98"/>
      <c r="O102" s="98"/>
      <c r="P102" s="98"/>
      <c r="Q102" s="98"/>
      <c r="R102" s="98"/>
      <c r="S102" s="98"/>
      <c r="T102" s="98"/>
      <c r="U102" s="98"/>
      <c r="V102" s="98"/>
    </row>
    <row customHeight="1" ht="15">
      <c r="A103" s="98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149"/>
      <c r="M103" s="98"/>
      <c r="N103" s="98"/>
      <c r="O103" s="98"/>
      <c r="P103" s="98"/>
      <c r="Q103" s="98"/>
      <c r="R103" s="98"/>
      <c r="S103" s="98"/>
      <c r="T103" s="98"/>
      <c r="U103" s="98"/>
      <c r="V103" s="98"/>
    </row>
    <row customHeight="1" ht="15">
      <c r="A104" s="146"/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</row>
    <row customHeight="1" ht="15">
      <c r="A105" s="98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</row>
    <row customHeight="1" ht="15">
      <c r="A106" s="146">
        <v>0</v>
      </c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</row>
    <row customHeight="1" ht="15">
      <c r="A107" s="98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</row>
    <row customHeight="1" ht="15">
      <c r="A108" s="146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</row>
    <row customHeight="1" ht="15">
      <c r="A109" s="98">
        <f>_xlfn.IFERROR(A110+A111,"")</f>
        <v>0</v>
      </c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</row>
    <row customHeight="1" ht="15">
      <c r="A110" s="146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</row>
    <row customHeight="1" ht="15">
      <c r="A111" s="146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</row>
    <row customHeight="1" ht="15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</row>
    <row customHeight="1" ht="15">
      <c r="A113" s="150">
        <v>8880</v>
      </c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</row>
    <row customHeight="1" ht="15">
      <c r="A114" s="151">
        <v>1.5814</v>
      </c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</row>
    <row customHeight="1" ht="15">
      <c r="A115" s="151">
        <v>0.0003</v>
      </c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</row>
    <row customHeight="1" ht="15">
      <c r="A116" s="151">
        <v>75014.5656</v>
      </c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</row>
    <row customHeight="1" ht="15">
      <c r="A117" s="151">
        <v>978.6473</v>
      </c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</row>
    <row customHeight="1" ht="15">
      <c r="A118" s="146">
        <v>5893.3085</v>
      </c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</row>
    <row customHeight="1" ht="15">
      <c r="A119" s="146">
        <v>0</v>
      </c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</row>
    <row customHeight="1" ht="15">
      <c r="A120" s="146">
        <v>1118.8008</v>
      </c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</row>
    <row customHeight="1" ht="15">
      <c r="A121" s="146">
        <v>2801.8842</v>
      </c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</row>
    <row customHeight="1" ht="15">
      <c r="A122" s="151">
        <v>9.7064</v>
      </c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</row>
    <row customHeight="1" ht="15">
      <c r="A123" s="150">
        <v>365</v>
      </c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</row>
    <row customHeight="1" ht="15">
      <c r="A124" s="150">
        <v>4763</v>
      </c>
      <c r="B124" s="152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</row>
    <row customHeight="1" ht="15">
      <c r="A125" s="150" t="s">
        <v>131</v>
      </c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</row>
    <row customHeight="1" ht="15">
      <c r="A126" s="150">
        <v>0</v>
      </c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</row>
    <row customHeight="1" ht="15">
      <c r="A127" s="150">
        <v>41584.8691999996</v>
      </c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</row>
    <row customHeight="1" ht="15">
      <c r="A128" s="150">
        <v>219.831099999999</v>
      </c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</row>
    <row customHeight="1" ht="15">
      <c r="A129" s="150">
        <v>69.2323000000015</v>
      </c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</row>
    <row customHeight="1" ht="15">
      <c r="A130" s="150">
        <v>297.0265</v>
      </c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</row>
    <row customHeight="1" ht="15">
      <c r="A131" s="150">
        <v>58.2740915269001</v>
      </c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</row>
    <row customHeight="1" ht="15">
      <c r="A132" s="150">
        <v>9585</v>
      </c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</row>
    <row customHeight="1" ht="15">
      <c r="A133" s="150" t="s">
        <v>132</v>
      </c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</row>
    <row customHeight="1" ht="15">
      <c r="A134" s="150">
        <v>0</v>
      </c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</row>
    <row customHeight="1" ht="15">
      <c r="A135" s="150">
        <v>2607.20120000001</v>
      </c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</row>
    <row customHeight="1" ht="15">
      <c r="A136" s="150">
        <v>16.7739999999999</v>
      </c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</row>
    <row customHeight="1" ht="15">
      <c r="A137" s="150">
        <v>790</v>
      </c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</row>
    <row customHeight="1" ht="15">
      <c r="A138" s="150" t="s">
        <v>133</v>
      </c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</row>
    <row customHeight="1" ht="15">
      <c r="A139" s="150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</row>
    <row customHeight="1" ht="15">
      <c r="A140" s="150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</row>
    <row customHeight="1" ht="15">
      <c r="A141" s="150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</row>
    <row customHeight="1" ht="15">
      <c r="A142" s="150" t="s">
        <v>134</v>
      </c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</row>
    <row customHeight="1" ht="15">
      <c r="A143" s="150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</row>
    <row customHeight="1" ht="15">
      <c r="A144" s="150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</row>
    <row customHeight="1" ht="15">
      <c r="A145" s="150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</row>
    <row customHeight="1" ht="15">
      <c r="A146" s="150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</row>
    <row customHeight="1" ht="15">
      <c r="A147" s="150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</row>
    <row customHeight="1" ht="15">
      <c r="A148" s="146">
        <v>456183</v>
      </c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</row>
    <row customHeight="1" ht="15">
      <c r="A149" s="146">
        <v>187233</v>
      </c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</row>
    <row customHeight="1" ht="15">
      <c r="A150" s="146">
        <v>228529</v>
      </c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</row>
    <row customHeight="1" ht="15">
      <c r="A151" s="150">
        <v>3340</v>
      </c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</row>
    <row customHeight="1" ht="15">
      <c r="A152" s="150" t="s">
        <v>135</v>
      </c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</row>
    <row customHeight="1" ht="15">
      <c r="A153" s="150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</row>
    <row customHeight="1" ht="15">
      <c r="A154" s="150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</row>
    <row customHeight="1" ht="15">
      <c r="A155" s="150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</row>
    <row customHeight="1" ht="15">
      <c r="A156" s="150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</row>
    <row customHeight="1" ht="15">
      <c r="A157" s="150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</row>
    <row customHeight="1" ht="15">
      <c r="A158" s="150" t="s">
        <v>136</v>
      </c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</row>
    <row customHeight="1" ht="15">
      <c r="A159" s="146">
        <v>0</v>
      </c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</row>
    <row customHeight="1" ht="15">
      <c r="A160" s="150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</row>
    <row customHeight="1" ht="15">
      <c r="A161" s="146">
        <v>6945.29999999993</v>
      </c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</row>
    <row customHeight="1" ht="15">
      <c r="A162" s="146">
        <v>52.0900000000256</v>
      </c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</row>
    <row customHeight="1" ht="15">
      <c r="A163" s="146">
        <v>54.5199999999895</v>
      </c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</row>
    <row customHeight="1" ht="15">
      <c r="A164" s="146">
        <v>27898</v>
      </c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</row>
    <row customHeight="1" ht="15">
      <c r="A165" s="150">
        <v>2061</v>
      </c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</row>
    <row customHeight="1" ht="15">
      <c r="A166" s="150" t="s">
        <v>137</v>
      </c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</row>
    <row customHeight="1" ht="15">
      <c r="A167" s="146">
        <v>9480.75</v>
      </c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</row>
    <row customHeight="1" ht="15">
      <c r="A168" s="146">
        <v>142.159999999974</v>
      </c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</row>
    <row customHeight="1" ht="15">
      <c r="A169" s="146">
        <v>384.15</v>
      </c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</row>
    <row customHeight="1" ht="15">
      <c r="A170" s="146">
        <v>0</v>
      </c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</row>
    <row customHeight="1" ht="15">
      <c r="A171" s="146">
        <v>25911.5</v>
      </c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</row>
    <row customHeight="1" ht="15">
      <c r="A172" s="150">
        <v>4379</v>
      </c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</row>
    <row customHeight="1" ht="15">
      <c r="A173" s="150" t="s">
        <v>138</v>
      </c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</row>
    <row customHeight="1" ht="15">
      <c r="A174" s="146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</row>
    <row customHeight="1" ht="15">
      <c r="A175" s="146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</row>
    <row customHeight="1" ht="15">
      <c r="A176" s="146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</row>
    <row customHeight="1" ht="15">
      <c r="A177" s="150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</row>
    <row customHeight="1" ht="15">
      <c r="A178" s="146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</row>
    <row customHeight="1" ht="15">
      <c r="A179" s="150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</row>
    <row customHeight="1" ht="15">
      <c r="A180" s="146" t="s">
        <v>139</v>
      </c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</row>
    <row customHeight="1" ht="15">
      <c r="A181" s="146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</row>
    <row customHeight="1" ht="15">
      <c r="A182" s="146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</row>
    <row customHeight="1" ht="15">
      <c r="A183" s="146" t="s">
        <v>140</v>
      </c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</row>
    <row customHeight="1" ht="15">
      <c r="A184" s="146">
        <v>141866</v>
      </c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</row>
    <row customHeight="1" ht="15">
      <c r="A185" s="146">
        <v>221494</v>
      </c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</row>
    <row customHeight="1" ht="15">
      <c r="A186" s="146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</row>
    <row customHeight="1" ht="15">
      <c r="A187" s="146" t="s">
        <v>141</v>
      </c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</row>
    <row customHeight="1" ht="15">
      <c r="A188" s="146">
        <v>5456</v>
      </c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</row>
    <row customHeight="1" ht="15">
      <c r="A189" s="146">
        <v>2759</v>
      </c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</row>
    <row customHeight="1" ht="15">
      <c r="A190" s="146">
        <v>2993</v>
      </c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</row>
    <row customHeight="1" ht="15">
      <c r="A191" s="146" t="s">
        <v>142</v>
      </c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</row>
    <row customHeight="1" ht="15">
      <c r="A192" s="146">
        <v>1011</v>
      </c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</row>
    <row customHeight="1" ht="15">
      <c r="A193" s="146">
        <v>0</v>
      </c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</row>
    <row customHeight="1" ht="15">
      <c r="A194" s="146" t="s">
        <v>143</v>
      </c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</row>
    <row customHeight="1" ht="15">
      <c r="A195" s="146">
        <v>120</v>
      </c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</row>
    <row customHeight="1" ht="15">
      <c r="A196" s="146">
        <v>0</v>
      </c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</row>
    <row customHeight="1" ht="15">
      <c r="A197" s="146">
        <v>3</v>
      </c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</row>
    <row customHeight="1" ht="15">
      <c r="A198" s="146">
        <v>30</v>
      </c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</row>
    <row customHeight="1" ht="15">
      <c r="A199" s="146">
        <v>0</v>
      </c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</row>
    <row customHeight="1" ht="15">
      <c r="A200" s="146">
        <v>21</v>
      </c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</row>
    <row customHeight="1" ht="15">
      <c r="A201" s="146">
        <v>5</v>
      </c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</row>
    <row customHeight="1" ht="15">
      <c r="A202" s="146">
        <v>0</v>
      </c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</row>
    <row customHeight="1" ht="15">
      <c r="A203" s="146">
        <v>0</v>
      </c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</row>
    <row customHeight="1" ht="15">
      <c r="A204" s="146" t="s">
        <v>144</v>
      </c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</row>
    <row customHeight="1" ht="15">
      <c r="A205" s="146">
        <v>365</v>
      </c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</row>
    <row customHeight="1" ht="15">
      <c r="A206" s="146">
        <v>0</v>
      </c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</row>
    <row customHeight="1" ht="15">
      <c r="A207" s="146" t="s">
        <v>122</v>
      </c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</row>
    <row customHeight="1" ht="15">
      <c r="A208" s="146">
        <v>0</v>
      </c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</row>
    <row customHeight="1" ht="15">
      <c r="A209" s="146">
        <v>9.2096</v>
      </c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</row>
    <row customHeight="1" ht="15">
      <c r="A210" s="146" t="s">
        <v>145</v>
      </c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</row>
    <row customHeight="1" ht="15">
      <c r="A211" s="153">
        <v>139328</v>
      </c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</row>
    <row customHeight="1" ht="15">
      <c r="A212" s="146" t="s">
        <v>146</v>
      </c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</row>
    <row customHeight="1" ht="15">
      <c r="A213" s="146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</row>
    <row customHeight="1" ht="15">
      <c r="A214" s="146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</row>
    <row customHeight="1" ht="15">
      <c r="A215" s="146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</row>
    <row customHeight="1" ht="15">
      <c r="A216" s="146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</row>
    <row customHeight="1" ht="15">
      <c r="A217" s="146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</row>
    <row customHeight="1" ht="15">
      <c r="A218" s="146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</row>
    <row customHeight="1" ht="15">
      <c r="A219" s="146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</row>
    <row customHeight="1" ht="15">
      <c r="A220" s="146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</row>
    <row customHeight="1" ht="15">
      <c r="A221" s="146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</row>
    <row customHeight="1" ht="15">
      <c r="A222" s="146" t="s">
        <v>147</v>
      </c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</row>
    <row customHeight="1" ht="15">
      <c r="A223" s="146">
        <v>7796</v>
      </c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</row>
    <row customHeight="1" ht="15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</row>
    <row customHeight="1" ht="15">
      <c r="A225" s="146" t="s">
        <v>148</v>
      </c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</row>
    <row customHeight="1" ht="15">
      <c r="A226" s="146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</row>
    <row customHeight="1" ht="15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</row>
    <row customHeight="1" ht="15">
      <c r="A228" s="153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</row>
    <row customHeight="1" ht="15">
      <c r="A229" s="153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</row>
    <row customHeight="1" ht="15">
      <c r="A230" s="153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</row>
  </sheetData>
  <mergeCells count="1">
    <mergeCell ref="B2:B4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892D528-47F8-55E8-A3E8-D8F9B980ED63}" mc:Ignorable="x14ac xr xr2 xr3">
  <dimension ref="A1:A27"/>
  <sheetViews>
    <sheetView topLeftCell="A1" workbookViewId="0">
      <selection activeCell="A25" sqref="A25"/>
    </sheetView>
  </sheetViews>
  <sheetFormatPr customHeight="1" defaultRowHeight="15.600000000000001"/>
  <cols>
    <col min="1" max="1" width="75.875" customWidth="1"/>
  </cols>
  <sheetData>
    <row customHeight="1" ht="15.75">
      <c r="A1" s="137"/>
    </row>
    <row customHeight="1" ht="15.75">
      <c r="A2" s="137"/>
    </row>
    <row customHeight="1" ht="15.75">
      <c r="A3" s="137"/>
    </row>
    <row customHeight="1" ht="15.75">
      <c r="A4" s="147"/>
    </row>
    <row customHeight="1" ht="15.75">
      <c r="A5" s="147" t="s">
        <v>149</v>
      </c>
    </row>
    <row customHeight="1" ht="15.75">
      <c r="A6" s="147"/>
    </row>
    <row customHeight="1" ht="15.75">
      <c r="A7" s="147"/>
    </row>
    <row customHeight="1" ht="15.75">
      <c r="A8" s="147"/>
    </row>
    <row customHeight="1" ht="15.75">
      <c r="A9" s="147"/>
    </row>
    <row customHeight="1" ht="15.75">
      <c r="A10" s="147"/>
    </row>
    <row customHeight="1" ht="15.75">
      <c r="A11" s="147"/>
    </row>
    <row customHeight="1" ht="15.75">
      <c r="A12" s="147"/>
    </row>
    <row customHeight="1" ht="15.75">
      <c r="A13" s="147"/>
    </row>
    <row customHeight="1" ht="15.75">
      <c r="A14" s="147"/>
    </row>
    <row customHeight="1" ht="15.75">
      <c r="A15" s="147"/>
    </row>
    <row customHeight="1" ht="15.75">
      <c r="A16" s="147"/>
    </row>
    <row customHeight="1" ht="15.75">
      <c r="A17" s="147"/>
    </row>
    <row customHeight="1" ht="15.75">
      <c r="A18" s="147"/>
    </row>
    <row customHeight="1" ht="15.75">
      <c r="A19" s="147"/>
    </row>
    <row customHeight="1" ht="15.75">
      <c r="A20" s="147"/>
    </row>
    <row customHeight="1" ht="15.75">
      <c r="A21" s="147"/>
    </row>
    <row customHeight="1" ht="15.75">
      <c r="A22" s="147"/>
    </row>
    <row customHeight="1" ht="15.75">
      <c r="A23" s="147"/>
    </row>
    <row customHeight="1" ht="15.75">
      <c r="A24" s="147"/>
    </row>
    <row customHeight="1" ht="15.75">
      <c r="A25" s="147"/>
    </row>
    <row customHeight="1" ht="15.75">
      <c r="A26" s="147"/>
    </row>
    <row customHeight="1" ht="15.75">
      <c r="A27" s="147"/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榆炼全厂能耗日报表</vt:lpstr>
      <vt:lpstr>取值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cp:lastPrinted>2022-01-13T02:32:05Z</cp:lastPrinted>
  <dcterms:created xsi:type="dcterms:W3CDTF">2022-03-03T01:14:37Z</dcterms:created>
  <dcterms:modified xsi:type="dcterms:W3CDTF">2022-07-12T03:43:02Z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{55CB4BC6-5386-419E-9818-B944C7D35B02}</vt:lpwstr>
  </property>
</Properties>
</file>