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油田气物料动态台账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L75" authorId="0">
      <text>
        <r>
          <rPr>
            <b/>
            <sz val="9"/>
            <color indexed="81"/>
            <rFont val="宋体"/>
            <family val="2"/>
          </rPr>
          <t>#Input("油田气科技公司_生产计划部_物料动态台账_填报人_备注",":key{{dw}}")</t>
        </r>
      </text>
    </comment>
  </commentList>
</comments>
</file>

<file path=xl/sharedStrings.xml><?xml version="1.0" encoding="utf-8"?>
<sst xmlns="http://schemas.openxmlformats.org/spreadsheetml/2006/main" count="299" uniqueCount="146">
  <si>
    <t>油田气化工科技公司物料动态台账</t>
  </si>
  <si>
    <t>日期：</t>
  </si>
  <si>
    <t>2026-01-07</t>
  </si>
  <si>
    <t>储罐库存信息</t>
  </si>
  <si>
    <t>罐区</t>
  </si>
  <si>
    <t>罐号</t>
  </si>
  <si>
    <t>液位（米）</t>
  </si>
  <si>
    <t>液位（%）</t>
  </si>
  <si>
    <t>储量(吨)</t>
  </si>
  <si>
    <t>空量(吨)</t>
  </si>
  <si>
    <t>原料成品罐区</t>
  </si>
  <si>
    <t>甲醇</t>
  </si>
  <si>
    <t>聚四氢呋喃</t>
  </si>
  <si>
    <t>V-001A</t>
  </si>
  <si>
    <t>V-008A</t>
  </si>
  <si>
    <t>V-001B</t>
  </si>
  <si>
    <t>V-008B</t>
  </si>
  <si>
    <t>合计</t>
  </si>
  <si>
    <t>/</t>
  </si>
  <si>
    <t>V-008C</t>
  </si>
  <si>
    <t>碳酸二甲酯</t>
  </si>
  <si>
    <t>V-008D</t>
  </si>
  <si>
    <t>V-002</t>
  </si>
  <si>
    <t>V-008E</t>
  </si>
  <si>
    <t>四氢呋喃</t>
  </si>
  <si>
    <t>V-008F</t>
  </si>
  <si>
    <t>V-003A</t>
  </si>
  <si>
    <t>V-008G</t>
  </si>
  <si>
    <t>V-003B</t>
  </si>
  <si>
    <t>V-008H</t>
  </si>
  <si>
    <t>V-008I</t>
  </si>
  <si>
    <t>正丁醇</t>
  </si>
  <si>
    <t>V-004</t>
  </si>
  <si>
    <t>1,4-丁二醇</t>
  </si>
  <si>
    <t>醋酐</t>
  </si>
  <si>
    <t>V-009A</t>
  </si>
  <si>
    <t>V-005A</t>
  </si>
  <si>
    <t>V-009B</t>
  </si>
  <si>
    <t>V-005B</t>
  </si>
  <si>
    <t>V-009C</t>
  </si>
  <si>
    <t>聚酯级乙二醇</t>
  </si>
  <si>
    <t>粗乙醇</t>
  </si>
  <si>
    <t>V-006A</t>
  </si>
  <si>
    <t>V-010</t>
  </si>
  <si>
    <t>V-006B</t>
  </si>
  <si>
    <t>混合醇</t>
  </si>
  <si>
    <t>V-011</t>
  </si>
  <si>
    <t>轻质多元醇</t>
  </si>
  <si>
    <t>副产油</t>
  </si>
  <si>
    <t>V-007</t>
  </si>
  <si>
    <t>V-012</t>
  </si>
  <si>
    <t>焦油</t>
  </si>
  <si>
    <t>原料煤</t>
  </si>
  <si>
    <t>筒仓A</t>
  </si>
  <si>
    <t>V-013</t>
  </si>
  <si>
    <t>筒仓B</t>
  </si>
  <si>
    <t>乙二醇中间罐区</t>
  </si>
  <si>
    <t>TK-001A</t>
  </si>
  <si>
    <t>BDO中间罐区</t>
  </si>
  <si>
    <t>循环BYD储罐</t>
  </si>
  <si>
    <t>TK-001B</t>
  </si>
  <si>
    <t>V-401</t>
  </si>
  <si>
    <t>粗BYD储罐</t>
  </si>
  <si>
    <t>V-402</t>
  </si>
  <si>
    <t>TK-002</t>
  </si>
  <si>
    <t>BYD产品储罐</t>
  </si>
  <si>
    <t>V-403A</t>
  </si>
  <si>
    <t>TK-005</t>
  </si>
  <si>
    <t>V-403B</t>
  </si>
  <si>
    <t>TK-006</t>
  </si>
  <si>
    <t>粗BDO储罐</t>
  </si>
  <si>
    <t>V-404A</t>
  </si>
  <si>
    <t>TK-009</t>
  </si>
  <si>
    <t>V-404B</t>
  </si>
  <si>
    <t>多元醇</t>
  </si>
  <si>
    <t>TK-013</t>
  </si>
  <si>
    <t>BDO产品储罐</t>
  </si>
  <si>
    <t>PTMEG中间罐区</t>
  </si>
  <si>
    <t>BDO储罐</t>
  </si>
  <si>
    <t>V-407A</t>
  </si>
  <si>
    <t>TK-800</t>
  </si>
  <si>
    <t>V-407B</t>
  </si>
  <si>
    <t>醋酐罐</t>
  </si>
  <si>
    <t>TK-102</t>
  </si>
  <si>
    <t>软化BYD产品罐</t>
  </si>
  <si>
    <t>甲醇罐</t>
  </si>
  <si>
    <t>V-408A</t>
  </si>
  <si>
    <t>TK-202</t>
  </si>
  <si>
    <t>V-408B</t>
  </si>
  <si>
    <t>四氢呋喃产品罐</t>
  </si>
  <si>
    <t>TK-880A</t>
  </si>
  <si>
    <t>废液罐区</t>
  </si>
  <si>
    <t>油类废液储罐</t>
  </si>
  <si>
    <t>TK-880B</t>
  </si>
  <si>
    <t>TK-001</t>
  </si>
  <si>
    <t>醇类废液储罐</t>
  </si>
  <si>
    <t>副产油罐</t>
  </si>
  <si>
    <t>TK-760</t>
  </si>
  <si>
    <t>甲醛罐区</t>
  </si>
  <si>
    <t>甲醛储罐</t>
  </si>
  <si>
    <t>PTMEG产品罐</t>
  </si>
  <si>
    <t>TK-330A</t>
  </si>
  <si>
    <t>TK-330B</t>
  </si>
  <si>
    <t>V-001C</t>
  </si>
  <si>
    <t>TK-330C</t>
  </si>
  <si>
    <t>V-001D</t>
  </si>
  <si>
    <t>产品外购/物料消耗</t>
  </si>
  <si>
    <t>外购甲醇（吨）</t>
  </si>
  <si>
    <t>产品产量</t>
  </si>
  <si>
    <t>BDO产量（吨）</t>
  </si>
  <si>
    <t>外购燃料煤（吨）</t>
  </si>
  <si>
    <t>聚酯级乙二醇产量（吨）</t>
  </si>
  <si>
    <t>外购醋酐（吨）</t>
  </si>
  <si>
    <t>甲醛（37%）用量（吨）</t>
  </si>
  <si>
    <t>轻质多元醇产量（吨）</t>
  </si>
  <si>
    <t>引黄水用量（吨）</t>
  </si>
  <si>
    <t>PTMEG产量（吨）</t>
  </si>
  <si>
    <r>
      <t>天然气用量(Nm</t>
    </r>
    <r>
      <rPr>
        <charset val="134"/>
        <rFont val="宋体"/>
        <sz val="10"/>
      </rPr>
      <t>3</t>
    </r>
    <r>
      <rPr>
        <charset val="134"/>
        <rFont val="仿宋"/>
        <sz val="10"/>
      </rPr>
      <t>)</t>
    </r>
  </si>
  <si>
    <t>甲醇库存</t>
  </si>
  <si>
    <t>物料动态</t>
  </si>
  <si>
    <t>产品销售</t>
  </si>
  <si>
    <t>BDO销售量（吨）</t>
  </si>
  <si>
    <t>总库存</t>
  </si>
  <si>
    <t>甲醛库存（37%）</t>
  </si>
  <si>
    <t>聚酯级乙二醇销售量（吨）</t>
  </si>
  <si>
    <t>BDO库存</t>
  </si>
  <si>
    <t>PT合格品销售量（吨）</t>
  </si>
  <si>
    <t>聚酯级乙二醇库存</t>
  </si>
  <si>
    <t>混合醇销售量（吨）</t>
  </si>
  <si>
    <t>轻质多元醇库存</t>
  </si>
  <si>
    <t>PT过渡料销售量（吨）</t>
  </si>
  <si>
    <t>副产油销售量（吨）</t>
  </si>
  <si>
    <t>PTMEG库存</t>
  </si>
  <si>
    <t>轻质多元醇销售量（吨）</t>
  </si>
  <si>
    <t>四氢呋喃库存</t>
  </si>
  <si>
    <t>含水混合醇A类(TK-001)（吨）</t>
  </si>
  <si>
    <t>混合醇库存</t>
  </si>
  <si>
    <t>含水混合醇B类(TK-002)（吨）</t>
  </si>
  <si>
    <t>燃料煤库存</t>
  </si>
  <si>
    <t>填报人：</t>
  </si>
  <si>
    <t>V-005</t>
  </si>
  <si>
    <t>7.140135E-17</t>
  </si>
  <si>
    <t>1.177014E-19</t>
  </si>
  <si>
    <t>工业级乙二醇产量（吨）</t>
  </si>
  <si>
    <r>
      <rPr>
        <charset val="134"/>
        <rFont val="仿宋"/>
        <sz val="10"/>
      </rPr>
      <t>天然气用量(Nm</t>
    </r>
    <r>
      <rPr>
        <charset val="134"/>
        <rFont val="宋体"/>
        <sz val="10"/>
      </rPr>
      <t>3</t>
    </r>
    <r>
      <rPr>
        <charset val="134"/>
        <rFont val="仿宋"/>
        <sz val="10"/>
      </rPr>
      <t>)</t>
    </r>
  </si>
  <si>
    <t>工业级乙二醇销售量（吨）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</si>
</sst>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1" formatCode="0.00_ "/>
    <numFmt numFmtId="172" formatCode="0_ "/>
    <numFmt numFmtId="173" formatCode="0.00_);[Red]\(0.00\)"/>
    <numFmt numFmtId="174" formatCode="0.00;\-0.00"/>
    <numFmt numFmtId="175" formatCode="_(* #,##0.00_);_(* \(#,##0.00\);_(* &quot;-&quot;??_);_(@_)"/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</numFmts>
  <fonts count="32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0"/>
      <color auto="1"/>
      <name val="仿宋"/>
    </font>
    <font>
      <b/>
      <sz val="8"/>
      <color auto="1"/>
      <name val="宋体"/>
    </font>
    <font>
      <b/>
      <sz val="10"/>
      <color auto="1"/>
      <name val="宋体"/>
    </font>
    <font>
      <sz val="9"/>
      <color auto="1"/>
      <name val="仿宋"/>
    </font>
    <font>
      <sz val="11"/>
      <color rgb="FF000000"/>
      <name val="Calibri"/>
    </font>
    <font>
      <sz val="11"/>
      <color auto="1"/>
      <name val="Calibri"/>
      <scheme val="minor"/>
    </font>
    <font>
      <b/>
      <sz val="16"/>
      <color auto="1"/>
      <name val="黑体"/>
    </font>
    <font>
      <b/>
      <sz val="10"/>
      <color auto="1"/>
      <name val="仿宋"/>
    </font>
    <font>
      <sz val="10"/>
      <color theme="1"/>
      <name val="仿宋"/>
    </font>
    <font>
      <sz val="10"/>
      <color rgb="FF1632FF"/>
      <name val="仿宋"/>
    </font>
    <font>
      <sz val="12"/>
      <color auto="1"/>
      <name val="黑体"/>
    </font>
    <font>
      <sz val="10"/>
      <color auto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theme="9" tint="-0.25"/>
      </patternFill>
    </fill>
    <fill>
      <patternFill patternType="solid">
        <fgColor theme="8" tint="-0.5"/>
      </patternFill>
    </fill>
  </fills>
  <borders count="1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5" fontId="5" fillId="0" borderId="0" applyFont="0" applyFill="0" applyBorder="0" applyNumberFormat="1">
      <alignment vertical="top"/>
    </xf>
    <xf numFmtId="176" fontId="5" fillId="0" borderId="0" applyFont="0" applyFill="0" applyBorder="0" applyNumberFormat="1">
      <alignment vertical="top"/>
    </xf>
    <xf numFmtId="177" fontId="5" fillId="0" borderId="0" applyFont="0" applyFill="0" applyBorder="0" applyNumberFormat="1">
      <alignment vertical="top"/>
    </xf>
    <xf numFmtId="178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6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5" fontId="5" fillId="0" borderId="0" xfId="28" applyFont="0" applyNumberFormat="1">
      <alignment vertical="top"/>
    </xf>
    <xf numFmtId="176" fontId="5" fillId="0" borderId="0" xfId="29" applyFont="0" applyNumberFormat="1">
      <alignment vertical="top"/>
    </xf>
    <xf numFmtId="177" fontId="5" fillId="0" borderId="0" xfId="30" applyFont="0" applyNumberFormat="1">
      <alignment vertical="top"/>
    </xf>
    <xf numFmtId="178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49" fontId="20" fillId="0" borderId="10" xfId="0" applyFont="1" applyBorder="1" applyNumberFormat="1">
      <alignment horizontal="center" vertical="center"/>
    </xf>
    <xf numFmtId="49" fontId="20" fillId="33" borderId="10" xfId="0" applyFont="1" applyFill="1" applyBorder="1" applyNumberFormat="1">
      <alignment horizontal="center" vertical="center"/>
    </xf>
    <xf numFmtId="49" fontId="21" fillId="10" borderId="10" xfId="0" applyFont="1" applyFill="1" applyBorder="1" applyNumberFormat="1">
      <alignment horizontal="center" vertical="center" textRotation="255"/>
    </xf>
    <xf numFmtId="171" fontId="20" fillId="0" borderId="10" xfId="0" applyFont="1" applyBorder="1" applyNumberFormat="1">
      <alignment horizontal="center" vertical="center"/>
    </xf>
    <xf numFmtId="172" fontId="22" fillId="10" borderId="11" xfId="0" applyFont="1" applyFill="1" applyBorder="1" applyNumberFormat="1">
      <alignment horizontal="center" vertical="center" textRotation="255"/>
    </xf>
    <xf numFmtId="172" fontId="22" fillId="10" borderId="12" xfId="0" applyFont="1" applyFill="1" applyBorder="1" applyNumberFormat="1">
      <alignment horizontal="center" vertical="center" textRotation="255"/>
    </xf>
    <xf numFmtId="172" fontId="23" fillId="0" borderId="10" xfId="0" applyFont="1" applyBorder="1" applyNumberFormat="1">
      <alignment horizontal="center" vertical="center"/>
    </xf>
    <xf numFmtId="171" fontId="20" fillId="33" borderId="10" xfId="0" applyFont="1" applyFill="1" applyBorder="1" applyNumberFormat="1">
      <alignment horizontal="center" vertical="center"/>
    </xf>
    <xf numFmtId="0" fontId="24" fillId="7" borderId="0" xfId="0" applyFont="1" applyFill="1"/>
    <xf numFmtId="172" fontId="20" fillId="0" borderId="10" xfId="0" applyFont="1" applyBorder="1" applyNumberFormat="1">
      <alignment horizontal="center" vertical="center"/>
    </xf>
    <xf numFmtId="172" fontId="22" fillId="10" borderId="10" xfId="0" applyFont="1" applyFill="1" applyBorder="1" applyNumberFormat="1">
      <alignment horizontal="center" vertical="center" textRotation="255"/>
    </xf>
    <xf numFmtId="172" fontId="23" fillId="33" borderId="10" xfId="0" applyFont="1" applyFill="1" applyBorder="1" applyNumberFormat="1">
      <alignment horizontal="center" vertical="center"/>
    </xf>
    <xf numFmtId="172" fontId="23" fillId="0" borderId="13" xfId="0" applyFont="1" applyBorder="1" applyNumberFormat="1">
      <alignment horizontal="center" vertical="center"/>
    </xf>
    <xf numFmtId="172" fontId="23" fillId="0" borderId="14" xfId="0" applyFont="1" applyBorder="1" applyNumberFormat="1">
      <alignment horizontal="center" vertical="center"/>
    </xf>
    <xf numFmtId="172" fontId="20" fillId="0" borderId="13" xfId="0" applyFont="1" applyBorder="1" applyNumberFormat="1">
      <alignment horizontal="center" vertical="center"/>
    </xf>
    <xf numFmtId="172" fontId="20" fillId="0" borderId="14" xfId="0" applyFont="1" applyBorder="1" applyNumberFormat="1">
      <alignment horizontal="center" vertical="center"/>
    </xf>
    <xf numFmtId="172" fontId="20" fillId="33" borderId="10" xfId="0" applyFont="1" applyFill="1" applyBorder="1" applyNumberFormat="1">
      <alignment horizontal="center" vertical="center"/>
    </xf>
    <xf numFmtId="172" fontId="22" fillId="10" borderId="15" xfId="0" applyFont="1" applyFill="1" applyBorder="1" applyNumberFormat="1">
      <alignment horizontal="center" vertical="center" textRotation="255"/>
    </xf>
    <xf numFmtId="0" fontId="24" fillId="4" borderId="0" xfId="0" applyFont="1" applyFill="1"/>
    <xf numFmtId="0" fontId="24" fillId="0" borderId="0" xfId="0" applyFont="1"/>
    <xf numFmtId="0" fontId="24" fillId="34" borderId="0" xfId="0" applyFont="1" applyFill="1"/>
    <xf numFmtId="0" fontId="24" fillId="35" borderId="0" xfId="0" applyFont="1" applyFill="1"/>
    <xf numFmtId="0" fontId="25" fillId="0" borderId="0" xfId="0" applyFont="1">
      <alignment horizontal="center" vertical="center"/>
    </xf>
    <xf numFmtId="10" fontId="25" fillId="0" borderId="0" xfId="0" applyFont="1" applyNumberFormat="1">
      <alignment horizontal="center" vertical="center"/>
    </xf>
    <xf numFmtId="49" fontId="26" fillId="0" borderId="0" xfId="0" applyFont="1" applyNumberFormat="1">
      <alignment horizontal="center" vertical="center"/>
      <protection locked="0"/>
    </xf>
    <xf numFmtId="171" fontId="26" fillId="0" borderId="0" xfId="0" applyFont="1" applyNumberFormat="1">
      <alignment horizontal="center" vertical="center"/>
      <protection locked="0"/>
    </xf>
    <xf numFmtId="172" fontId="26" fillId="0" borderId="0" xfId="0" applyFont="1" applyNumberFormat="1">
      <alignment horizontal="center" vertical="center"/>
      <protection locked="0"/>
    </xf>
    <xf numFmtId="10" fontId="26" fillId="0" borderId="0" xfId="0" applyFont="1" applyNumberFormat="1">
      <alignment horizontal="center" vertical="center"/>
      <protection locked="0"/>
    </xf>
    <xf numFmtId="49" fontId="22" fillId="10" borderId="10" xfId="0" applyFont="1" applyFill="1" applyBorder="1" applyNumberFormat="1">
      <alignment horizontal="center" vertical="center" textRotation="255"/>
    </xf>
    <xf numFmtId="49" fontId="22" fillId="10" borderId="10" xfId="0" applyFont="1" applyFill="1" applyBorder="1" applyNumberFormat="1">
      <alignment horizontal="center" vertical="center"/>
    </xf>
    <xf numFmtId="171" fontId="22" fillId="10" borderId="10" xfId="0" applyFont="1" applyFill="1" applyBorder="1" applyNumberFormat="1">
      <alignment horizontal="center" vertical="center"/>
    </xf>
    <xf numFmtId="10" fontId="22" fillId="10" borderId="10" xfId="0" applyFont="1" applyFill="1" applyBorder="1" applyNumberFormat="1">
      <alignment horizontal="center" vertical="center"/>
    </xf>
    <xf numFmtId="172" fontId="22" fillId="10" borderId="10" xfId="0" applyFont="1" applyFill="1" applyBorder="1" applyNumberFormat="1">
      <alignment horizontal="center" vertical="center"/>
    </xf>
    <xf numFmtId="49" fontId="22" fillId="10" borderId="10" xfId="0" applyFont="1" applyFill="1" applyBorder="1" applyNumberFormat="1">
      <alignment horizontal="center" vertical="center" textRotation="255"/>
    </xf>
    <xf numFmtId="173" fontId="27" fillId="0" borderId="10" xfId="0" applyFont="1" applyBorder="1" applyNumberFormat="1">
      <alignment horizontal="center" vertical="center"/>
    </xf>
    <xf numFmtId="173" fontId="22" fillId="10" borderId="10" xfId="0" applyFont="1" applyFill="1" applyBorder="1" applyNumberFormat="1">
      <alignment horizontal="center" vertical="center" textRotation="255"/>
    </xf>
    <xf numFmtId="173" fontId="28" fillId="0" borderId="10" xfId="0" applyFont="1" applyBorder="1" applyNumberFormat="1">
      <alignment horizontal="center" vertical="center"/>
    </xf>
    <xf numFmtId="173" fontId="29" fillId="0" borderId="10" xfId="0" applyFont="1" applyBorder="1" applyNumberFormat="1">
      <alignment horizontal="center" vertical="center"/>
    </xf>
    <xf numFmtId="10" fontId="29" fillId="0" borderId="10" xfId="0" applyFont="1" applyBorder="1" applyNumberFormat="1">
      <alignment horizontal="center" vertical="center"/>
    </xf>
    <xf numFmtId="171" fontId="29" fillId="0" borderId="10" xfId="0" applyFont="1" applyBorder="1" applyNumberFormat="1">
      <alignment horizontal="center" vertical="center"/>
    </xf>
    <xf numFmtId="173" fontId="20" fillId="0" borderId="10" xfId="0" applyFont="1" applyBorder="1" applyNumberFormat="1">
      <alignment horizontal="center" vertical="center"/>
    </xf>
    <xf numFmtId="173" fontId="20" fillId="33" borderId="10" xfId="0" applyFont="1" applyFill="1" applyBorder="1" applyNumberFormat="1">
      <alignment horizontal="center" vertical="center"/>
    </xf>
    <xf numFmtId="173" fontId="29" fillId="33" borderId="10" xfId="0" applyFont="1" applyFill="1" applyBorder="1" applyNumberFormat="1">
      <alignment horizontal="center" vertical="center"/>
    </xf>
    <xf numFmtId="10" fontId="29" fillId="33" borderId="10" xfId="0" applyFont="1" applyFill="1" applyBorder="1" applyNumberFormat="1">
      <alignment horizontal="center" vertical="center"/>
    </xf>
    <xf numFmtId="171" fontId="29" fillId="33" borderId="10" xfId="0" applyFont="1" applyFill="1" applyBorder="1" applyNumberFormat="1">
      <alignment horizontal="center" vertical="center"/>
    </xf>
    <xf numFmtId="173" fontId="27" fillId="33" borderId="10" xfId="0" applyFont="1" applyFill="1" applyBorder="1" applyNumberFormat="1">
      <alignment horizontal="center" vertical="center"/>
    </xf>
    <xf numFmtId="49" fontId="21" fillId="10" borderId="10" xfId="0" applyFont="1" applyFill="1" applyBorder="1" applyNumberFormat="1">
      <alignment horizontal="center" vertical="center" textRotation="255"/>
    </xf>
    <xf numFmtId="49" fontId="29" fillId="0" borderId="10" xfId="0" applyFont="1" applyBorder="1" applyNumberFormat="1">
      <alignment horizontal="center" vertical="center"/>
    </xf>
    <xf numFmtId="10" fontId="30" fillId="0" borderId="0" xfId="0" applyFont="1" applyNumberFormat="1">
      <alignment horizontal="center" vertical="center"/>
      <protection locked="0"/>
    </xf>
    <xf numFmtId="172" fontId="30" fillId="0" borderId="0" xfId="0" applyFont="1" applyNumberFormat="1">
      <alignment horizontal="center" vertical="center"/>
      <protection locked="0"/>
    </xf>
    <xf numFmtId="0" fontId="31" fillId="0" borderId="0" xfId="0" applyFont="1">
      <alignment horizontal="center" vertical="center"/>
    </xf>
    <xf numFmtId="10" fontId="31" fillId="0" borderId="0" xfId="0" applyFont="1" applyNumberFormat="1">
      <alignment horizontal="center" vertical="center"/>
    </xf>
    <xf numFmtId="174" fontId="29" fillId="0" borderId="10" xfId="0" applyFont="1" applyBorder="1" applyNumberFormat="1">
      <alignment horizontal="center" vertical="center"/>
    </xf>
    <xf numFmtId="172" fontId="22" fillId="10" borderId="10" xfId="0" applyFont="1" applyFill="1" applyBorder="1" applyNumberFormat="1">
      <alignment horizontal="center" vertical="center" textRotation="255"/>
    </xf>
    <xf numFmtId="174" fontId="29" fillId="33" borderId="10" xfId="0" applyFont="1" applyFill="1" applyBorder="1" applyNumberFormat="1">
      <alignment horizontal="center" vertical="center"/>
    </xf>
    <xf numFmtId="10" fontId="20" fillId="0" borderId="0" xfId="0" applyFont="1" applyNumberFormat="1">
      <alignment horizontal="right" vertical="center"/>
    </xf>
    <xf numFmtId="0" fontId="20" fillId="0" borderId="0" xfId="0" applyFont="1">
      <alignment horizontal="left" vertical="center"/>
    </xf>
    <xf numFmtId="49" fontId="26" fillId="0" borderId="0" xfId="0" applyFont="1" applyNumberFormat="1">
      <alignment horizontal="center" vertical="center" wrapText="1"/>
      <protection locked="0"/>
    </xf>
    <xf numFmtId="171" fontId="26" fillId="0" borderId="0" xfId="0" applyFont="1" applyNumberFormat="1">
      <alignment horizontal="center" vertical="center" wrapText="1"/>
      <protection locked="0"/>
    </xf>
    <xf numFmtId="172" fontId="26" fillId="0" borderId="0" xfId="0" applyFont="1" applyNumberFormat="1">
      <alignment horizontal="center" vertical="center" wrapText="1"/>
      <protection locked="0"/>
    </xf>
    <xf numFmtId="0" fontId="25" fillId="0" borderId="0" xfId="0" applyFont="1">
      <alignment horizontal="center" vertical="center" wrapText="1"/>
    </xf>
    <xf numFmtId="10" fontId="26" fillId="0" borderId="0" xfId="0" applyFont="1" applyNumberFormat="1">
      <alignment horizontal="center" vertical="center" wrapText="1"/>
      <protection locked="0"/>
    </xf>
    <xf numFmtId="10" fontId="30" fillId="0" borderId="0" xfId="0" applyFont="1" applyNumberFormat="1">
      <alignment horizontal="center" vertical="center" wrapText="1"/>
      <protection locked="0"/>
    </xf>
    <xf numFmtId="172" fontId="30" fillId="0" borderId="0" xfId="0" applyFont="1" applyNumberFormat="1">
      <alignment horizontal="center" vertical="center" wrapText="1"/>
    </xf>
    <xf numFmtId="172" fontId="30" fillId="0" borderId="0" xfId="0" applyFont="1" applyNumberFormat="1">
      <alignment horizontal="center" vertical="center" wrapText="1"/>
      <protection locked="0"/>
    </xf>
    <xf numFmtId="49" fontId="22" fillId="10" borderId="10" xfId="0" applyFont="1" applyFill="1" applyBorder="1" applyNumberFormat="1">
      <alignment horizontal="center" vertical="center" textRotation="255" wrapText="1"/>
    </xf>
    <xf numFmtId="49" fontId="22" fillId="10" borderId="10" xfId="0" applyFont="1" applyFill="1" applyBorder="1" applyNumberFormat="1">
      <alignment horizontal="center" vertical="center" wrapText="1"/>
    </xf>
    <xf numFmtId="171" fontId="22" fillId="10" borderId="10" xfId="0" applyFont="1" applyFill="1" applyBorder="1" applyNumberFormat="1">
      <alignment horizontal="center" vertical="center" wrapText="1"/>
    </xf>
    <xf numFmtId="10" fontId="22" fillId="10" borderId="10" xfId="0" applyFont="1" applyFill="1" applyBorder="1" applyNumberFormat="1">
      <alignment horizontal="center" vertical="center" wrapText="1"/>
    </xf>
    <xf numFmtId="172" fontId="22" fillId="10" borderId="10" xfId="0" applyFont="1" applyFill="1" applyBorder="1" applyNumberFormat="1">
      <alignment horizontal="center" vertical="center" wrapText="1"/>
    </xf>
    <xf numFmtId="49" fontId="22" fillId="10" borderId="10" xfId="0" applyFont="1" applyFill="1" applyBorder="1" applyNumberFormat="1">
      <alignment horizontal="center" vertical="center" textRotation="255" wrapText="1"/>
    </xf>
    <xf numFmtId="173" fontId="27" fillId="0" borderId="10" xfId="0" applyFont="1" applyBorder="1" applyNumberFormat="1">
      <alignment horizontal="center" vertical="center" wrapText="1"/>
    </xf>
    <xf numFmtId="173" fontId="22" fillId="10" borderId="10" xfId="0" applyFont="1" applyFill="1" applyBorder="1" applyNumberFormat="1">
      <alignment horizontal="center" vertical="center" textRotation="255" wrapText="1"/>
    </xf>
    <xf numFmtId="173" fontId="28" fillId="0" borderId="10" xfId="0" applyFont="1" applyBorder="1" applyNumberFormat="1">
      <alignment horizontal="center" vertical="center" wrapText="1"/>
    </xf>
    <xf numFmtId="173" fontId="29" fillId="0" borderId="10" xfId="0" applyFont="1" applyBorder="1" applyNumberFormat="1">
      <alignment horizontal="center" vertical="center" wrapText="1"/>
    </xf>
    <xf numFmtId="10" fontId="29" fillId="0" borderId="10" xfId="0" applyFont="1" applyBorder="1" applyNumberFormat="1">
      <alignment horizontal="center" vertical="center" wrapText="1"/>
    </xf>
    <xf numFmtId="171" fontId="29" fillId="0" borderId="10" xfId="0" applyFont="1" applyBorder="1" applyNumberFormat="1">
      <alignment horizontal="center" vertical="center" wrapText="1"/>
    </xf>
    <xf numFmtId="173" fontId="20" fillId="0" borderId="10" xfId="0" applyFont="1" applyBorder="1" applyNumberFormat="1">
      <alignment horizontal="center" vertical="center" wrapText="1"/>
    </xf>
    <xf numFmtId="173" fontId="20" fillId="33" borderId="10" xfId="0" applyFont="1" applyFill="1" applyBorder="1" applyNumberFormat="1">
      <alignment horizontal="center" vertical="center" wrapText="1"/>
    </xf>
    <xf numFmtId="173" fontId="29" fillId="33" borderId="10" xfId="0" applyFont="1" applyFill="1" applyBorder="1" applyNumberFormat="1">
      <alignment horizontal="center" vertical="center" wrapText="1"/>
    </xf>
    <xf numFmtId="10" fontId="29" fillId="33" borderId="10" xfId="0" applyFont="1" applyFill="1" applyBorder="1" applyNumberFormat="1">
      <alignment horizontal="center" vertical="center" wrapText="1"/>
    </xf>
    <xf numFmtId="171" fontId="29" fillId="33" borderId="10" xfId="0" applyFont="1" applyFill="1" applyBorder="1" applyNumberFormat="1">
      <alignment horizontal="center" vertical="center" wrapText="1"/>
    </xf>
    <xf numFmtId="173" fontId="27" fillId="33" borderId="10" xfId="0" applyFont="1" applyFill="1" applyBorder="1" applyNumberFormat="1">
      <alignment horizontal="center" vertical="center" wrapText="1"/>
    </xf>
    <xf numFmtId="49" fontId="21" fillId="10" borderId="10" xfId="0" applyFont="1" applyFill="1" applyBorder="1" applyNumberFormat="1">
      <alignment horizontal="center" vertical="center" textRotation="255" wrapText="1"/>
    </xf>
    <xf numFmtId="49" fontId="20" fillId="0" borderId="10" xfId="0" applyFont="1" applyBorder="1" applyNumberFormat="1">
      <alignment horizontal="center" vertical="center" wrapText="1"/>
    </xf>
    <xf numFmtId="49" fontId="29" fillId="0" borderId="10" xfId="0" applyFont="1" applyBorder="1" applyNumberFormat="1">
      <alignment horizontal="center" vertical="center" wrapText="1"/>
    </xf>
    <xf numFmtId="172" fontId="22" fillId="10" borderId="10" xfId="0" applyFont="1" applyFill="1" applyBorder="1" applyNumberFormat="1">
      <alignment horizontal="center" vertical="center" textRotation="255" wrapText="1"/>
    </xf>
    <xf numFmtId="172" fontId="20" fillId="0" borderId="10" xfId="0" applyFont="1" applyBorder="1" applyNumberFormat="1">
      <alignment horizontal="center" vertical="center" wrapText="1"/>
    </xf>
    <xf numFmtId="0" fontId="31" fillId="0" borderId="0" xfId="0" applyFont="1">
      <alignment horizontal="center" vertical="center" wrapText="1"/>
    </xf>
    <xf numFmtId="10" fontId="31" fillId="0" borderId="0" xfId="0" applyFont="1" applyNumberFormat="1">
      <alignment horizontal="center" vertical="center" wrapText="1"/>
    </xf>
    <xf numFmtId="174" fontId="29" fillId="0" borderId="10" xfId="0" applyFont="1" applyBorder="1" applyNumberFormat="1">
      <alignment horizontal="center" vertical="center" wrapText="1"/>
    </xf>
    <xf numFmtId="172" fontId="22" fillId="10" borderId="10" xfId="0" applyFont="1" applyFill="1" applyBorder="1" applyNumberFormat="1">
      <alignment horizontal="center" vertical="center" textRotation="255" wrapText="1"/>
    </xf>
    <xf numFmtId="174" fontId="29" fillId="33" borderId="10" xfId="0" applyFont="1" applyFill="1" applyBorder="1" applyNumberFormat="1">
      <alignment horizontal="center" vertical="center" wrapText="1"/>
    </xf>
    <xf numFmtId="10" fontId="25" fillId="0" borderId="0" xfId="0" applyFont="1" applyNumberFormat="1">
      <alignment horizontal="center" vertical="center" wrapText="1"/>
    </xf>
    <xf numFmtId="10" fontId="20" fillId="0" borderId="0" xfId="0" applyFont="1" applyNumberFormat="1">
      <alignment horizontal="right" vertical="center" wrapText="1"/>
    </xf>
    <xf numFmtId="0" fontId="20" fillId="0" borderId="0" xfId="0" applyFont="1">
      <alignment horizontal="left" vertical="center" wrapText="1"/>
      <protection locked="0"/>
    </xf>
    <xf numFmtId="0" fontId="20" fillId="0" borderId="0" xfId="0" applyFont="1">
      <alignment horizontal="left" vertical="center" wrapText="1"/>
    </xf>
    <xf numFmtId="0" fontId="0" fillId="0" borderId="0" xfId="0" applyFont="1">
      <alignment wrapText="1"/>
    </xf>
    <xf numFmtId="49" fontId="20" fillId="33" borderId="10" xfId="0" applyFont="1" applyFill="1" applyBorder="1" applyNumberFormat="1">
      <alignment horizontal="center" vertical="center" wrapText="1"/>
    </xf>
    <xf numFmtId="49" fontId="21" fillId="10" borderId="10" xfId="0" applyFont="1" applyFill="1" applyBorder="1" applyNumberFormat="1">
      <alignment horizontal="center" vertical="center" textRotation="255" wrapText="1"/>
    </xf>
    <xf numFmtId="171" fontId="20" fillId="0" borderId="10" xfId="0" applyFont="1" applyBorder="1" applyNumberFormat="1">
      <alignment horizontal="center" vertical="center" wrapText="1"/>
    </xf>
    <xf numFmtId="172" fontId="22" fillId="10" borderId="11" xfId="0" applyFont="1" applyFill="1" applyBorder="1" applyNumberFormat="1">
      <alignment horizontal="center" vertical="center" textRotation="255" wrapText="1"/>
    </xf>
    <xf numFmtId="172" fontId="22" fillId="10" borderId="12" xfId="0" applyFont="1" applyFill="1" applyBorder="1" applyNumberFormat="1">
      <alignment horizontal="center" vertical="center" textRotation="255" wrapText="1"/>
    </xf>
    <xf numFmtId="172" fontId="23" fillId="0" borderId="10" xfId="0" applyFont="1" applyBorder="1" applyNumberFormat="1">
      <alignment horizontal="center" vertical="center" wrapText="1"/>
    </xf>
    <xf numFmtId="171" fontId="20" fillId="33" borderId="10" xfId="0" applyFont="1" applyFill="1" applyBorder="1" applyNumberFormat="1">
      <alignment horizontal="center" vertical="center" wrapText="1"/>
    </xf>
    <xf numFmtId="0" fontId="24" fillId="7" borderId="0" xfId="0" applyFont="1" applyFill="1">
      <alignment wrapText="1"/>
    </xf>
    <xf numFmtId="172" fontId="23" fillId="33" borderId="10" xfId="0" applyFont="1" applyFill="1" applyBorder="1" applyNumberFormat="1">
      <alignment horizontal="center" vertical="center" wrapText="1"/>
    </xf>
    <xf numFmtId="172" fontId="23" fillId="0" borderId="13" xfId="0" applyFont="1" applyBorder="1" applyNumberFormat="1">
      <alignment horizontal="center" vertical="center" wrapText="1"/>
    </xf>
    <xf numFmtId="172" fontId="23" fillId="0" borderId="14" xfId="0" applyFont="1" applyBorder="1" applyNumberFormat="1">
      <alignment horizontal="center" vertical="center" wrapText="1"/>
    </xf>
    <xf numFmtId="172" fontId="20" fillId="0" borderId="13" xfId="0" applyFont="1" applyBorder="1" applyNumberFormat="1">
      <alignment horizontal="center" vertical="center" wrapText="1"/>
    </xf>
    <xf numFmtId="172" fontId="20" fillId="0" borderId="14" xfId="0" applyFont="1" applyBorder="1" applyNumberFormat="1">
      <alignment horizontal="center" vertical="center" wrapText="1"/>
    </xf>
    <xf numFmtId="172" fontId="20" fillId="33" borderId="10" xfId="0" applyFont="1" applyFill="1" applyBorder="1" applyNumberFormat="1">
      <alignment horizontal="center" vertical="center" wrapText="1"/>
    </xf>
    <xf numFmtId="172" fontId="22" fillId="10" borderId="15" xfId="0" applyFont="1" applyFill="1" applyBorder="1" applyNumberFormat="1">
      <alignment horizontal="center" vertical="center" textRotation="255" wrapText="1"/>
    </xf>
    <xf numFmtId="0" fontId="24" fillId="34" borderId="0" xfId="0" applyFont="1" applyFill="1">
      <alignment wrapText="1"/>
    </xf>
    <xf numFmtId="0" fontId="24" fillId="35" borderId="0" xfId="0" applyFont="1" applyFill="1">
      <alignment wrapText="1"/>
    </xf>
    <xf numFmtId="0" fontId="24" fillId="4" borderId="0" xfId="0" applyFont="1" applyFill="1">
      <alignment wrapText="1"/>
    </xf>
    <xf numFmtId="0" fontId="24" fillId="0" borderId="0" xfId="0" applyFont="1">
      <alignment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CE3038-A9D8-4CE2-07B8-1273657E5BEE}" mc:Ignorable="x14ac xr xr2 xr3">
  <dimension ref="A1:N77"/>
  <sheetViews>
    <sheetView topLeftCell="A1" showGridLines="0" workbookViewId="0" tabSelected="1">
      <selection activeCell="A1" sqref="A1:M2"/>
    </sheetView>
  </sheetViews>
  <sheetFormatPr defaultColWidth="9.00390625" customHeight="1" defaultRowHeight="13.5"/>
  <cols>
    <col min="1" max="2" style="71" width="5.57421875" customWidth="1"/>
    <col min="3" max="4" style="71" width="12.57421875" customWidth="1"/>
    <col min="5" max="5" style="72" width="12.57421875" customWidth="1"/>
    <col min="6" max="7" style="71" width="12.57421875" customWidth="1"/>
    <col min="8" max="8" style="71" width="5.57421875" customWidth="1"/>
    <col min="9" max="10" style="71" width="12.57421875" customWidth="1"/>
    <col min="11" max="11" style="72" width="12.57421875" customWidth="1"/>
    <col min="12" max="13" style="71" width="12.57421875" customWidth="1"/>
    <col min="14" max="14" style="71" width="9.00390625"/>
  </cols>
  <sheetData>
    <row customHeight="1" ht="13.5">
      <c r="A1" s="106" t="s">
        <v>0</v>
      </c>
      <c r="B1" s="106"/>
      <c r="C1" s="106"/>
      <c r="D1" s="107"/>
      <c r="E1" s="107"/>
      <c r="F1" s="108"/>
      <c r="G1" s="108"/>
      <c r="H1" s="106"/>
      <c r="I1" s="106"/>
      <c r="J1" s="107"/>
      <c r="K1" s="107"/>
      <c r="L1" s="108"/>
      <c r="M1" s="108"/>
      <c r="N1" s="109"/>
    </row>
    <row customHeight="1" ht="13.5">
      <c r="A2" s="106"/>
      <c r="B2" s="106"/>
      <c r="C2" s="106"/>
      <c r="D2" s="107"/>
      <c r="E2" s="107"/>
      <c r="F2" s="108"/>
      <c r="G2" s="108"/>
      <c r="H2" s="106"/>
      <c r="I2" s="106"/>
      <c r="J2" s="107"/>
      <c r="K2" s="107"/>
      <c r="L2" s="108"/>
      <c r="M2" s="108"/>
      <c r="N2" s="109"/>
    </row>
    <row customHeight="1" ht="18">
      <c r="A3" s="106"/>
      <c r="B3" s="106"/>
      <c r="C3" s="106"/>
      <c r="D3" s="107"/>
      <c r="E3" s="110"/>
      <c r="F3" s="108"/>
      <c r="G3" s="108"/>
      <c r="H3" s="106"/>
      <c r="I3" s="106"/>
      <c r="J3" s="109"/>
      <c r="K3" s="111" t="s">
        <v>1</v>
      </c>
      <c r="L3" s="112" t="s">
        <v>2</v>
      </c>
      <c r="M3" s="113"/>
      <c r="N3" s="109"/>
    </row>
    <row customHeight="1" ht="18">
      <c r="A4" s="114" t="s">
        <v>3</v>
      </c>
      <c r="B4" s="115" t="s">
        <v>4</v>
      </c>
      <c r="C4" s="115" t="s">
        <v>5</v>
      </c>
      <c r="D4" s="116" t="s">
        <v>6</v>
      </c>
      <c r="E4" s="117" t="s">
        <v>7</v>
      </c>
      <c r="F4" s="118" t="s">
        <v>8</v>
      </c>
      <c r="G4" s="118" t="s">
        <v>9</v>
      </c>
      <c r="H4" s="115" t="s">
        <v>4</v>
      </c>
      <c r="I4" s="115" t="s">
        <v>5</v>
      </c>
      <c r="J4" s="116" t="s">
        <v>6</v>
      </c>
      <c r="K4" s="117" t="s">
        <v>7</v>
      </c>
      <c r="L4" s="118" t="s">
        <v>8</v>
      </c>
      <c r="M4" s="118" t="s">
        <v>9</v>
      </c>
      <c r="N4" s="109"/>
    </row>
    <row customHeight="1" ht="18">
      <c r="A5" s="114"/>
      <c r="B5" s="119" t="s">
        <v>10</v>
      </c>
      <c r="C5" s="120" t="s">
        <v>11</v>
      </c>
      <c r="D5" s="120"/>
      <c r="E5" s="120"/>
      <c r="F5" s="120"/>
      <c r="G5" s="120"/>
      <c r="H5" s="121" t="s">
        <v>10</v>
      </c>
      <c r="I5" s="120" t="s">
        <v>12</v>
      </c>
      <c r="J5" s="120"/>
      <c r="K5" s="120"/>
      <c r="L5" s="120"/>
      <c r="M5" s="120"/>
      <c r="N5" s="109"/>
    </row>
    <row customHeight="1" ht="18">
      <c r="A6" s="114"/>
      <c r="B6" s="119"/>
      <c r="C6" s="122" t="s">
        <v>13</v>
      </c>
      <c r="D6" s="123">
        <f>_xlfn.IFERROR(ROUND(取值!D6,2),"")</f>
        <v>7.96</v>
      </c>
      <c r="E6" s="124">
        <f>_xlfn.IFERROR(ROUND(取值!F6,4),"")</f>
        <v>0.496</v>
      </c>
      <c r="F6" s="125">
        <f>取值!E6</f>
        <v>1429.02584925</v>
      </c>
      <c r="G6" s="125">
        <f>_xlfn.IFERROR(2316.08-F6,"")</f>
        <v>887.05415075</v>
      </c>
      <c r="H6" s="121"/>
      <c r="I6" s="126" t="s">
        <v>14</v>
      </c>
      <c r="J6" s="123">
        <f>_xlfn.IFERROR(ROUND(取值!I6,2),"")</f>
        <v>8.48</v>
      </c>
      <c r="K6" s="124">
        <f>_xlfn.IFERROR(ROUND(取值!K6,4),"")</f>
        <v>0.7745</v>
      </c>
      <c r="L6" s="125">
        <f>取值!J6</f>
        <v>854.1745583</v>
      </c>
      <c r="M6" s="125">
        <f>_xlfn.IFERROR(846.32-L6,"")</f>
        <v>-7.85455829999989</v>
      </c>
      <c r="N6" s="109"/>
    </row>
    <row customHeight="1" ht="18">
      <c r="A7" s="114"/>
      <c r="B7" s="119"/>
      <c r="C7" s="126" t="s">
        <v>15</v>
      </c>
      <c r="D7" s="123">
        <f>_xlfn.IFERROR(ROUND(取值!D7,2),"")</f>
        <v>4.27</v>
      </c>
      <c r="E7" s="124">
        <f>_xlfn.IFERROR(ROUND(取值!F7,4),"")</f>
        <v>0.269</v>
      </c>
      <c r="F7" s="125">
        <f>取值!E7</f>
        <v>767.0507703</v>
      </c>
      <c r="G7" s="125">
        <f>_xlfn.IFERROR(2316.08-F7,"")</f>
        <v>1549.0292297</v>
      </c>
      <c r="H7" s="121"/>
      <c r="I7" s="126" t="s">
        <v>16</v>
      </c>
      <c r="J7" s="123">
        <f>_xlfn.IFERROR(ROUND(取值!I7,2),"")</f>
        <v>7.19</v>
      </c>
      <c r="K7" s="124">
        <f>_xlfn.IFERROR(ROUND(取值!K7,4),"")</f>
        <v>0.6495</v>
      </c>
      <c r="L7" s="125">
        <f>取值!J7</f>
        <v>723.8630184</v>
      </c>
      <c r="M7" s="125">
        <f>_xlfn.IFERROR(846.32-L7,"")</f>
        <v>122.4569816</v>
      </c>
      <c r="N7" s="109"/>
    </row>
    <row customHeight="1" ht="18">
      <c r="A8" s="114"/>
      <c r="B8" s="119"/>
      <c r="C8" s="126" t="s">
        <v>17</v>
      </c>
      <c r="D8" s="123" t="s">
        <v>18</v>
      </c>
      <c r="E8" s="124" t="s">
        <v>18</v>
      </c>
      <c r="F8" s="125">
        <f>SUM(F6:F7)</f>
        <v>2196.07661955</v>
      </c>
      <c r="G8" s="125">
        <f>SUM(G6:G7)</f>
        <v>2436.08338045</v>
      </c>
      <c r="H8" s="121"/>
      <c r="I8" s="126" t="s">
        <v>19</v>
      </c>
      <c r="J8" s="123">
        <f>_xlfn.IFERROR(ROUND(取值!I8,2),"")</f>
        <v>8.5</v>
      </c>
      <c r="K8" s="124">
        <f>_xlfn.IFERROR(ROUND(取值!K8,4),"")</f>
        <v>0.7705</v>
      </c>
      <c r="L8" s="125">
        <f>取值!J8</f>
        <v>855.4737897</v>
      </c>
      <c r="M8" s="125">
        <f>_xlfn.IFERROR(846.32-L8,"")</f>
        <v>-9.15378969999995</v>
      </c>
      <c r="N8" s="109"/>
    </row>
    <row customHeight="1" ht="18">
      <c r="A9" s="114"/>
      <c r="B9" s="119"/>
      <c r="C9" s="120" t="s">
        <v>20</v>
      </c>
      <c r="D9" s="120"/>
      <c r="E9" s="120"/>
      <c r="F9" s="120"/>
      <c r="G9" s="120"/>
      <c r="H9" s="121"/>
      <c r="I9" s="127" t="s">
        <v>21</v>
      </c>
      <c r="J9" s="128">
        <f>_xlfn.IFERROR(ROUND(取值!I95,2),"")</f>
        <v>8.39</v>
      </c>
      <c r="K9" s="124">
        <f>_xlfn.IFERROR(ROUND(取值!K95,4),"")</f>
        <v>0.7619</v>
      </c>
      <c r="L9" s="125">
        <f>取值!J95</f>
        <v>844.6699888</v>
      </c>
      <c r="M9" s="125">
        <f>_xlfn.IFERROR(846.32-L9,"")</f>
        <v>1.65001119999999</v>
      </c>
      <c r="N9" s="109"/>
    </row>
    <row customHeight="1" ht="18">
      <c r="A10" s="114"/>
      <c r="B10" s="119"/>
      <c r="C10" s="126" t="s">
        <v>22</v>
      </c>
      <c r="D10" s="123">
        <f>_xlfn.IFERROR(ROUND(取值!D10,2),"")</f>
        <v>4.71</v>
      </c>
      <c r="E10" s="124">
        <f>_xlfn.IFERROR(ROUND(取值!F10,4),"")</f>
        <v>0.4479</v>
      </c>
      <c r="F10" s="125">
        <f>取值!E10</f>
        <v>226.3</v>
      </c>
      <c r="G10" s="125">
        <f>_xlfn.IFERROR(464.01-F10,"")</f>
        <v>237.71</v>
      </c>
      <c r="H10" s="121"/>
      <c r="I10" s="127" t="s">
        <v>23</v>
      </c>
      <c r="J10" s="128">
        <f>_xlfn.IFERROR(ROUND(取值!I96,2),"")</f>
        <v>1.27</v>
      </c>
      <c r="K10" s="124">
        <f>_xlfn.IFERROR(ROUND(取值!K96,4),"")</f>
        <v>0.1064</v>
      </c>
      <c r="L10" s="125">
        <f>取值!J96</f>
        <v>127.4457186</v>
      </c>
      <c r="M10" s="125">
        <f>_xlfn.IFERROR(846.32-L10,"")</f>
        <v>718.8742814</v>
      </c>
      <c r="N10" s="109"/>
    </row>
    <row customHeight="1" ht="18">
      <c r="A11" s="114"/>
      <c r="B11" s="119"/>
      <c r="C11" s="120" t="s">
        <v>24</v>
      </c>
      <c r="D11" s="120"/>
      <c r="E11" s="120"/>
      <c r="F11" s="120"/>
      <c r="G11" s="120"/>
      <c r="H11" s="121"/>
      <c r="I11" s="127" t="s">
        <v>25</v>
      </c>
      <c r="J11" s="128">
        <f>_xlfn.IFERROR(ROUND(取值!I97,2),"")</f>
        <v>2.18</v>
      </c>
      <c r="K11" s="124">
        <f>_xlfn.IFERROR(ROUND(取值!K97,4),"")</f>
        <v>0.1897</v>
      </c>
      <c r="L11" s="125">
        <f>取值!J97</f>
        <v>219.5077733</v>
      </c>
      <c r="M11" s="125">
        <f>_xlfn.IFERROR(846.32-L11,"")</f>
        <v>626.8122267</v>
      </c>
      <c r="N11" s="109"/>
    </row>
    <row customHeight="1" ht="18">
      <c r="A12" s="114"/>
      <c r="B12" s="119"/>
      <c r="C12" s="126" t="s">
        <v>26</v>
      </c>
      <c r="D12" s="123">
        <f>_xlfn.IFERROR(ROUND(取值!D12,2),"")</f>
        <v>8.99</v>
      </c>
      <c r="E12" s="124">
        <f>_xlfn.IFERROR(ROUND(取值!F12,4),"")</f>
        <v>0.721</v>
      </c>
      <c r="F12" s="125">
        <f>取值!E12</f>
        <v>531.81350523</v>
      </c>
      <c r="G12" s="125">
        <f>_xlfn.IFERROR(585.72-F12,"")</f>
        <v>53.90649477</v>
      </c>
      <c r="H12" s="121"/>
      <c r="I12" s="127" t="s">
        <v>27</v>
      </c>
      <c r="J12" s="128">
        <f>_xlfn.IFERROR(ROUND(取值!I98,2),"")</f>
        <v>5.76</v>
      </c>
      <c r="K12" s="124">
        <f>_xlfn.IFERROR(ROUND(取值!K98,4),"")</f>
        <v>0.5167</v>
      </c>
      <c r="L12" s="125">
        <f>取值!J98</f>
        <v>580.4316783</v>
      </c>
      <c r="M12" s="125">
        <f>_xlfn.IFERROR(846.32-L12,"")</f>
        <v>265.8883217</v>
      </c>
      <c r="N12" s="109"/>
    </row>
    <row customHeight="1" ht="18">
      <c r="A13" s="114"/>
      <c r="B13" s="119"/>
      <c r="C13" s="126" t="s">
        <v>28</v>
      </c>
      <c r="D13" s="123">
        <f>_xlfn.IFERROR(ROUND(取值!D13,2),"")</f>
        <v>9.12</v>
      </c>
      <c r="E13" s="124">
        <f>_xlfn.IFERROR(ROUND(取值!F13,4),"")</f>
        <v>0.728</v>
      </c>
      <c r="F13" s="125">
        <f>取值!E13</f>
        <v>539.34613506</v>
      </c>
      <c r="G13" s="125">
        <f>_xlfn.IFERROR(585.72-F13,"")</f>
        <v>46.37386494</v>
      </c>
      <c r="H13" s="121"/>
      <c r="I13" s="127" t="s">
        <v>29</v>
      </c>
      <c r="J13" s="128">
        <f>_xlfn.IFERROR(ROUND(取值!I99,2),"")</f>
        <v>5.88</v>
      </c>
      <c r="K13" s="124">
        <f>_xlfn.IFERROR(ROUND(取值!K99,4),"")</f>
        <v>0.5277</v>
      </c>
      <c r="L13" s="125">
        <f>取值!J99</f>
        <v>591.9565919</v>
      </c>
      <c r="M13" s="125">
        <f>_xlfn.IFERROR(846.32-L13,"")</f>
        <v>254.3634081</v>
      </c>
      <c r="N13" s="109"/>
    </row>
    <row customHeight="1" ht="18">
      <c r="A14" s="114"/>
      <c r="B14" s="119"/>
      <c r="C14" s="126" t="s">
        <v>17</v>
      </c>
      <c r="D14" s="123" t="s">
        <v>18</v>
      </c>
      <c r="E14" s="124" t="s">
        <v>18</v>
      </c>
      <c r="F14" s="125">
        <f>SUM(F12:F13)</f>
        <v>1071.15964029</v>
      </c>
      <c r="G14" s="125">
        <f>SUM(G12:G13)</f>
        <v>100.28035971</v>
      </c>
      <c r="H14" s="121"/>
      <c r="I14" s="127" t="s">
        <v>30</v>
      </c>
      <c r="J14" s="128">
        <f>_xlfn.IFERROR(ROUND(取值!I100,2),"")</f>
        <v>7.66</v>
      </c>
      <c r="K14" s="124">
        <f>_xlfn.IFERROR(ROUND(取值!K100,4),"")</f>
        <v>0.6864</v>
      </c>
      <c r="L14" s="125">
        <f>取值!J100</f>
        <v>771.6120381</v>
      </c>
      <c r="M14" s="125">
        <f>_xlfn.IFERROR(846.32-L14,"")</f>
        <v>74.7079619000001</v>
      </c>
      <c r="N14" s="109"/>
    </row>
    <row customHeight="1" ht="18">
      <c r="A15" s="114"/>
      <c r="B15" s="119"/>
      <c r="C15" s="120" t="s">
        <v>31</v>
      </c>
      <c r="D15" s="120"/>
      <c r="E15" s="120"/>
      <c r="F15" s="120"/>
      <c r="G15" s="120"/>
      <c r="H15" s="121"/>
      <c r="I15" s="126" t="s">
        <v>17</v>
      </c>
      <c r="J15" s="123" t="s">
        <v>18</v>
      </c>
      <c r="K15" s="124" t="s">
        <v>18</v>
      </c>
      <c r="L15" s="125">
        <f>SUM(L6:L14)</f>
        <v>5569.1351554</v>
      </c>
      <c r="M15" s="125">
        <f>SUM(M6:M14)</f>
        <v>2047.7448446</v>
      </c>
      <c r="N15" s="109"/>
    </row>
    <row customHeight="1" ht="18">
      <c r="A16" s="114"/>
      <c r="B16" s="119"/>
      <c r="C16" s="126" t="s">
        <v>32</v>
      </c>
      <c r="D16" s="123">
        <f>_xlfn.IFERROR(ROUND(取值!D16,2),"")</f>
        <v>4.6</v>
      </c>
      <c r="E16" s="124">
        <f>_xlfn.IFERROR(ROUND(取值!F16,4),"")</f>
        <v>0.423</v>
      </c>
      <c r="F16" s="125">
        <f>取值!E16</f>
        <v>196.66671525</v>
      </c>
      <c r="G16" s="125">
        <f>_xlfn.IFERROR(359.32-F16,"")</f>
        <v>162.65328475</v>
      </c>
      <c r="H16" s="121"/>
      <c r="I16" s="120" t="s">
        <v>33</v>
      </c>
      <c r="J16" s="120"/>
      <c r="K16" s="120"/>
      <c r="L16" s="120"/>
      <c r="M16" s="120"/>
      <c r="N16" s="109"/>
    </row>
    <row customHeight="1" ht="18">
      <c r="A17" s="114"/>
      <c r="B17" s="119"/>
      <c r="C17" s="120" t="s">
        <v>34</v>
      </c>
      <c r="D17" s="120"/>
      <c r="E17" s="120"/>
      <c r="F17" s="120"/>
      <c r="G17" s="120"/>
      <c r="H17" s="121"/>
      <c r="I17" s="126" t="s">
        <v>35</v>
      </c>
      <c r="J17" s="123">
        <f>_xlfn.IFERROR(ROUND(取值!I11,2),"")</f>
        <v>1.66</v>
      </c>
      <c r="K17" s="124">
        <f>_xlfn.IFERROR(ROUND(取值!K11,4),"")</f>
        <v>0.1422</v>
      </c>
      <c r="L17" s="125">
        <f>取值!J11</f>
        <v>471.53963108</v>
      </c>
      <c r="M17" s="125">
        <f>_xlfn.IFERROR(2676.75-L17,"")</f>
        <v>2205.21036892</v>
      </c>
      <c r="N17" s="109"/>
    </row>
    <row customHeight="1" ht="18">
      <c r="A18" s="114"/>
      <c r="B18" s="119"/>
      <c r="C18" s="127" t="s">
        <v>36</v>
      </c>
      <c r="D18" s="128">
        <f>_xlfn.IFERROR(ROUND(取值!D18,2),"")</f>
        <v>2.98</v>
      </c>
      <c r="E18" s="129">
        <f>_xlfn.IFERROR(ROUND(取值!F18,4),"")</f>
        <v>0.6122</v>
      </c>
      <c r="F18" s="130">
        <f>取值!E18</f>
        <v>68.25440772</v>
      </c>
      <c r="G18" s="130">
        <f>_xlfn.IFERROR(89.45-F18,"")</f>
        <v>21.19559228</v>
      </c>
      <c r="H18" s="121"/>
      <c r="I18" s="126" t="s">
        <v>37</v>
      </c>
      <c r="J18" s="123">
        <f>_xlfn.IFERROR(ROUND(取值!I12,2),"")</f>
        <v>3.33</v>
      </c>
      <c r="K18" s="124">
        <f>_xlfn.IFERROR(ROUND(取值!K12,4),"")</f>
        <v>0.2684</v>
      </c>
      <c r="L18" s="125">
        <f>取值!J12</f>
        <v>947.33860046</v>
      </c>
      <c r="M18" s="130">
        <f>_xlfn.IFERROR(2676.75-L18,"")</f>
        <v>1729.41139954</v>
      </c>
      <c r="N18" s="109"/>
    </row>
    <row customHeight="1" ht="18">
      <c r="A19" s="114"/>
      <c r="B19" s="119"/>
      <c r="C19" s="127" t="s">
        <v>38</v>
      </c>
      <c r="D19" s="128">
        <f>_xlfn.IFERROR(ROUND(取值!D19,2),"")</f>
        <v>3.21</v>
      </c>
      <c r="E19" s="129">
        <f>_xlfn.IFERROR(ROUND(取值!F19,4),"")</f>
        <v>0.61</v>
      </c>
      <c r="F19" s="130">
        <f>取值!E19</f>
        <v>73.5</v>
      </c>
      <c r="G19" s="130">
        <f>_xlfn.IFERROR(89.45-F19,"")</f>
        <v>15.95</v>
      </c>
      <c r="H19" s="121"/>
      <c r="I19" s="127" t="s">
        <v>39</v>
      </c>
      <c r="J19" s="128">
        <f>_xlfn.IFERROR(ROUND(取值!I13,2),"")</f>
        <v>2.6</v>
      </c>
      <c r="K19" s="129">
        <f>_xlfn.IFERROR(ROUND(取值!K13,4),"")</f>
        <v>0.1761</v>
      </c>
      <c r="L19" s="125">
        <f>取值!J13</f>
        <v>739.97869946</v>
      </c>
      <c r="M19" s="130">
        <f>_xlfn.IFERROR(2676.75-L19,"")</f>
        <v>1936.77130054</v>
      </c>
      <c r="N19" s="109"/>
    </row>
    <row customHeight="1" ht="18">
      <c r="A20" s="114"/>
      <c r="B20" s="119"/>
      <c r="C20" s="127" t="s">
        <v>17</v>
      </c>
      <c r="D20" s="128" t="s">
        <v>18</v>
      </c>
      <c r="E20" s="129" t="s">
        <v>18</v>
      </c>
      <c r="F20" s="130">
        <f>SUM(F18:F19)</f>
        <v>141.75440772</v>
      </c>
      <c r="G20" s="130">
        <f>SUM(G18:G19)</f>
        <v>37.14559228</v>
      </c>
      <c r="H20" s="121"/>
      <c r="I20" s="127" t="s">
        <v>17</v>
      </c>
      <c r="J20" s="128" t="s">
        <v>18</v>
      </c>
      <c r="K20" s="129" t="s">
        <v>18</v>
      </c>
      <c r="L20" s="130">
        <f>SUM(L17:L19)</f>
        <v>2158.856931</v>
      </c>
      <c r="M20" s="130">
        <f>SUM(M17:M19)</f>
        <v>5871.393069</v>
      </c>
      <c r="N20" s="109"/>
    </row>
    <row customHeight="1" ht="18">
      <c r="A21" s="114"/>
      <c r="B21" s="119"/>
      <c r="C21" s="120" t="s">
        <v>40</v>
      </c>
      <c r="D21" s="120"/>
      <c r="E21" s="120"/>
      <c r="F21" s="120"/>
      <c r="G21" s="120"/>
      <c r="H21" s="121"/>
      <c r="I21" s="120" t="s">
        <v>41</v>
      </c>
      <c r="J21" s="120"/>
      <c r="K21" s="120"/>
      <c r="L21" s="120"/>
      <c r="M21" s="120"/>
      <c r="N21" s="109"/>
    </row>
    <row customHeight="1" ht="18">
      <c r="A22" s="114"/>
      <c r="B22" s="119"/>
      <c r="C22" s="126" t="s">
        <v>42</v>
      </c>
      <c r="D22" s="123">
        <f>_xlfn.IFERROR(ROUND(取值!D20,2),"")</f>
        <v>5.04</v>
      </c>
      <c r="E22" s="124">
        <f>_xlfn.IFERROR(ROUND(取值!F20,4),"")</f>
        <v>0.4133</v>
      </c>
      <c r="F22" s="125">
        <f>取值!E20</f>
        <v>1350.07359522</v>
      </c>
      <c r="G22" s="125">
        <f>_xlfn.IFERROR(2465.13-F22,"")</f>
        <v>1115.05640478</v>
      </c>
      <c r="H22" s="121"/>
      <c r="I22" s="126" t="s">
        <v>43</v>
      </c>
      <c r="J22" s="123">
        <f>_xlfn.IFERROR(ROUND(取值!I15,2),"")</f>
        <v>4.48</v>
      </c>
      <c r="K22" s="124">
        <f>_xlfn.IFERROR(ROUND(取值!K15,4),"")</f>
        <v>0.4299</v>
      </c>
      <c r="L22" s="125">
        <f>取值!J15</f>
        <v>234.5</v>
      </c>
      <c r="M22" s="125">
        <f>_xlfn.IFERROR(350.45-L22,"")</f>
        <v>115.95</v>
      </c>
      <c r="N22" s="109"/>
    </row>
    <row customHeight="1" ht="18">
      <c r="A23" s="114"/>
      <c r="B23" s="119"/>
      <c r="C23" s="126" t="s">
        <v>44</v>
      </c>
      <c r="D23" s="123">
        <f>_xlfn.IFERROR(ROUND(取值!D21,2),"")</f>
        <v>4.84</v>
      </c>
      <c r="E23" s="124">
        <f>_xlfn.IFERROR(ROUND(取值!F21,4),"")</f>
        <v>0.3909</v>
      </c>
      <c r="F23" s="125">
        <f>取值!E21</f>
        <v>1295.34849639</v>
      </c>
      <c r="G23" s="125">
        <f>_xlfn.IFERROR(2465.13-F23,"")</f>
        <v>1169.78150361</v>
      </c>
      <c r="H23" s="121"/>
      <c r="I23" s="120" t="s">
        <v>45</v>
      </c>
      <c r="J23" s="120"/>
      <c r="K23" s="120"/>
      <c r="L23" s="120"/>
      <c r="M23" s="120"/>
      <c r="N23" s="109"/>
    </row>
    <row customHeight="1" ht="18">
      <c r="A24" s="114"/>
      <c r="B24" s="119"/>
      <c r="C24" s="126" t="s">
        <v>17</v>
      </c>
      <c r="D24" s="123" t="s">
        <v>18</v>
      </c>
      <c r="E24" s="124" t="s">
        <v>18</v>
      </c>
      <c r="F24" s="125">
        <f>SUM(F22:F23)</f>
        <v>2645.42209161</v>
      </c>
      <c r="G24" s="125">
        <f>SUM(G22:G23)</f>
        <v>2284.83790839</v>
      </c>
      <c r="H24" s="121"/>
      <c r="I24" s="126" t="s">
        <v>46</v>
      </c>
      <c r="J24" s="123">
        <f>_xlfn.IFERROR(ROUND(取值!I17,2),"")</f>
        <v>1.93</v>
      </c>
      <c r="K24" s="124">
        <f>_xlfn.IFERROR(ROUND(取值!K17,4),"")</f>
        <v>0.2934</v>
      </c>
      <c r="L24" s="125">
        <f>取值!J17</f>
        <v>57.014188</v>
      </c>
      <c r="M24" s="125">
        <f>_xlfn.IFERROR(139.2-L24,"")</f>
        <v>82.185812</v>
      </c>
      <c r="N24" s="109"/>
    </row>
    <row customHeight="1" ht="18">
      <c r="A25" s="114"/>
      <c r="B25" s="119"/>
      <c r="C25" s="120" t="s">
        <v>47</v>
      </c>
      <c r="D25" s="120"/>
      <c r="E25" s="120"/>
      <c r="F25" s="120"/>
      <c r="G25" s="120"/>
      <c r="H25" s="121"/>
      <c r="I25" s="120" t="s">
        <v>48</v>
      </c>
      <c r="J25" s="120"/>
      <c r="K25" s="120"/>
      <c r="L25" s="120"/>
      <c r="M25" s="120"/>
      <c r="N25" s="109"/>
    </row>
    <row customHeight="1" ht="18">
      <c r="A26" s="114"/>
      <c r="B26" s="119"/>
      <c r="C26" s="126" t="s">
        <v>49</v>
      </c>
      <c r="D26" s="123">
        <f>_xlfn.IFERROR(ROUND(取值!D24,2),"")</f>
        <v>2.85</v>
      </c>
      <c r="E26" s="124">
        <f>_xlfn.IFERROR(ROUND(取值!F24,4),"")</f>
        <v>0.3448</v>
      </c>
      <c r="F26" s="125">
        <f>取值!E24</f>
        <v>198.52226052</v>
      </c>
      <c r="G26" s="125">
        <f>_xlfn.IFERROR(480.78-F26,"")</f>
        <v>282.25773948</v>
      </c>
      <c r="H26" s="121"/>
      <c r="I26" s="126" t="s">
        <v>50</v>
      </c>
      <c r="J26" s="123">
        <f>_xlfn.IFERROR(ROUND(取值!I19,2),"")</f>
        <v>3.62</v>
      </c>
      <c r="K26" s="124">
        <f>_xlfn.IFERROR(ROUND(取值!K19,4),"")</f>
        <v>0.3443</v>
      </c>
      <c r="L26" s="125">
        <f>取值!J19</f>
        <v>174.5849016</v>
      </c>
      <c r="M26" s="125">
        <f>_xlfn.IFERROR(405.46-L26,"")</f>
        <v>230.8750984</v>
      </c>
      <c r="N26" s="109"/>
    </row>
    <row customHeight="1" ht="18">
      <c r="A27" s="114"/>
      <c r="B27" s="119"/>
      <c r="C27" s="131" t="s">
        <v>51</v>
      </c>
      <c r="D27" s="131"/>
      <c r="E27" s="131"/>
      <c r="F27" s="131"/>
      <c r="G27" s="131"/>
      <c r="H27" s="121" t="s">
        <v>52</v>
      </c>
      <c r="I27" s="126" t="s">
        <v>53</v>
      </c>
      <c r="J27" s="123" t="s">
        <v>18</v>
      </c>
      <c r="K27" s="124" t="s">
        <v>18</v>
      </c>
      <c r="L27" s="123">
        <f>取值!J22</f>
        <v>4161.79</v>
      </c>
      <c r="M27" s="123">
        <f>_xlfn.IFERROR(6000-L27,"")</f>
        <v>1838.21</v>
      </c>
      <c r="N27" s="109"/>
    </row>
    <row customHeight="1" ht="18">
      <c r="A28" s="114"/>
      <c r="B28" s="119"/>
      <c r="C28" s="127" t="s">
        <v>54</v>
      </c>
      <c r="D28" s="128">
        <f>_xlfn.IFERROR(ROUND(取值!I14,2),"")</f>
        <v>1.46</v>
      </c>
      <c r="E28" s="129">
        <f>_xlfn.IFERROR(ROUND(取值!K14,4),"")</f>
        <v>0.2809</v>
      </c>
      <c r="F28" s="130">
        <f>取值!J14</f>
        <v>44.29169911</v>
      </c>
      <c r="G28" s="130">
        <f>_xlfn.IFERROR(148.88-F28,"")</f>
        <v>104.58830089</v>
      </c>
      <c r="H28" s="121"/>
      <c r="I28" s="126" t="s">
        <v>55</v>
      </c>
      <c r="J28" s="123" t="s">
        <v>18</v>
      </c>
      <c r="K28" s="124" t="s">
        <v>18</v>
      </c>
      <c r="L28" s="123">
        <f>取值!J23</f>
        <v>1694.53</v>
      </c>
      <c r="M28" s="123">
        <f>_xlfn.IFERROR(6000-L28,"")</f>
        <v>4305.47</v>
      </c>
      <c r="N28" s="109"/>
    </row>
    <row customHeight="1" ht="18">
      <c r="A29" s="114"/>
      <c r="B29" s="119" t="s">
        <v>56</v>
      </c>
      <c r="C29" s="120" t="s">
        <v>40</v>
      </c>
      <c r="D29" s="120"/>
      <c r="E29" s="120"/>
      <c r="F29" s="120"/>
      <c r="G29" s="120"/>
      <c r="H29" s="121"/>
      <c r="I29" s="126" t="s">
        <v>17</v>
      </c>
      <c r="J29" s="123" t="s">
        <v>18</v>
      </c>
      <c r="K29" s="124" t="s">
        <v>18</v>
      </c>
      <c r="L29" s="123">
        <f>_xlfn.IFERROR(L27+L28,"")</f>
        <v>5856.32</v>
      </c>
      <c r="M29" s="123">
        <f>_xlfn.IFERROR(M27+M28,"")</f>
        <v>6143.68</v>
      </c>
      <c r="N29" s="109"/>
    </row>
    <row customHeight="1" ht="18">
      <c r="A30" s="114"/>
      <c r="B30" s="119"/>
      <c r="C30" s="126" t="s">
        <v>57</v>
      </c>
      <c r="D30" s="123">
        <f>_xlfn.IFERROR(E30*5.8,"")</f>
        <v>2.726</v>
      </c>
      <c r="E30" s="124">
        <f>_xlfn.IFERROR(ROUND(取值!E26,4),"")</f>
        <v>0.47</v>
      </c>
      <c r="F30" s="123">
        <f>_xlfn.IFERROR(E30*1.74*100,"")</f>
        <v>81.78</v>
      </c>
      <c r="G30" s="125">
        <f>_xlfn.IFERROR(174-F30,"")</f>
        <v>92.22</v>
      </c>
      <c r="H30" s="121" t="s">
        <v>58</v>
      </c>
      <c r="I30" s="120" t="s">
        <v>59</v>
      </c>
      <c r="J30" s="120"/>
      <c r="K30" s="120"/>
      <c r="L30" s="120"/>
      <c r="M30" s="120"/>
      <c r="N30" s="109"/>
    </row>
    <row customHeight="1" ht="18">
      <c r="A31" s="114"/>
      <c r="B31" s="119"/>
      <c r="C31" s="126" t="s">
        <v>60</v>
      </c>
      <c r="D31" s="123">
        <f>_xlfn.IFERROR(E31*5.8,"")</f>
        <v>0.0058</v>
      </c>
      <c r="E31" s="124">
        <f>_xlfn.IFERROR(ROUND(取值!E27,4),"")</f>
        <v>0.001</v>
      </c>
      <c r="F31" s="123">
        <f>_xlfn.IFERROR(E31*1.74*100,"")</f>
        <v>0.174</v>
      </c>
      <c r="G31" s="125">
        <f>_xlfn.IFERROR(174-F31,"")</f>
        <v>173.826</v>
      </c>
      <c r="H31" s="121"/>
      <c r="I31" s="126" t="s">
        <v>61</v>
      </c>
      <c r="J31" s="123">
        <f>_xlfn.IFERROR(K31*8.5+0.3,"")</f>
        <v>2.4505</v>
      </c>
      <c r="K31" s="124">
        <f>_xlfn.IFERROR(ROUND(取值!J26,4),"")</f>
        <v>0.253</v>
      </c>
      <c r="L31" s="123">
        <f>_xlfn.IFERROR(K31*500*1.1*0.4,"")</f>
        <v>55.66</v>
      </c>
      <c r="M31" s="123">
        <f>_xlfn.IFERROR(500-L31,"")</f>
        <v>444.34</v>
      </c>
      <c r="N31" s="109"/>
    </row>
    <row customHeight="1" ht="18">
      <c r="A32" s="114"/>
      <c r="B32" s="119"/>
      <c r="C32" s="126" t="s">
        <v>17</v>
      </c>
      <c r="D32" s="123" t="s">
        <v>18</v>
      </c>
      <c r="E32" s="124" t="s">
        <v>18</v>
      </c>
      <c r="F32" s="123">
        <f>SUM(F30:F31)</f>
        <v>81.954</v>
      </c>
      <c r="G32" s="125">
        <f>SUM(G30:G31)</f>
        <v>266.046</v>
      </c>
      <c r="H32" s="121"/>
      <c r="I32" s="120" t="s">
        <v>62</v>
      </c>
      <c r="J32" s="120"/>
      <c r="K32" s="120"/>
      <c r="L32" s="120"/>
      <c r="M32" s="120"/>
      <c r="N32" s="109"/>
    </row>
    <row customHeight="1" ht="18">
      <c r="A33" s="114"/>
      <c r="B33" s="119"/>
      <c r="C33" s="120" t="s">
        <v>47</v>
      </c>
      <c r="D33" s="120"/>
      <c r="E33" s="120"/>
      <c r="F33" s="120"/>
      <c r="G33" s="120"/>
      <c r="H33" s="121"/>
      <c r="I33" s="126" t="s">
        <v>63</v>
      </c>
      <c r="J33" s="123">
        <f>_xlfn.IFERROR(K33*8.5+0.3,"")</f>
        <v>2.629</v>
      </c>
      <c r="K33" s="124">
        <f>_xlfn.IFERROR(ROUND(取值!J28,4),"")</f>
        <v>0.274</v>
      </c>
      <c r="L33" s="123">
        <f>_xlfn.IFERROR(K33*500*1.1*0.4,"")</f>
        <v>60.28</v>
      </c>
      <c r="M33" s="123">
        <f>_xlfn.IFERROR(500-L33,"")</f>
        <v>439.72</v>
      </c>
      <c r="N33" s="109"/>
    </row>
    <row customHeight="1" ht="18">
      <c r="A34" s="114"/>
      <c r="B34" s="119"/>
      <c r="C34" s="126" t="s">
        <v>64</v>
      </c>
      <c r="D34" s="123">
        <f>_xlfn.IFERROR(E34*4.5,"")</f>
        <v>1.69875</v>
      </c>
      <c r="E34" s="124">
        <f>_xlfn.IFERROR(ROUND(取值!E30,4),"")</f>
        <v>0.3775</v>
      </c>
      <c r="F34" s="123">
        <f>_xlfn.IFERROR(E34*0.81*100,"")</f>
        <v>30.5775</v>
      </c>
      <c r="G34" s="125">
        <f>_xlfn.IFERROR(81-F34,"")</f>
        <v>50.4225</v>
      </c>
      <c r="H34" s="121"/>
      <c r="I34" s="120" t="s">
        <v>65</v>
      </c>
      <c r="J34" s="120"/>
      <c r="K34" s="120"/>
      <c r="L34" s="120"/>
      <c r="M34" s="120"/>
      <c r="N34" s="109"/>
    </row>
    <row customHeight="1" ht="18">
      <c r="A35" s="114"/>
      <c r="B35" s="119"/>
      <c r="C35" s="120" t="s">
        <v>45</v>
      </c>
      <c r="D35" s="120"/>
      <c r="E35" s="120"/>
      <c r="F35" s="120"/>
      <c r="G35" s="120"/>
      <c r="H35" s="121"/>
      <c r="I35" s="126" t="s">
        <v>66</v>
      </c>
      <c r="J35" s="123">
        <f>_xlfn.IFERROR(K35*8.5+0.3,"")</f>
        <v>5.944</v>
      </c>
      <c r="K35" s="124">
        <f>_xlfn.IFERROR(ROUND(取值!J30,4),"")</f>
        <v>0.664</v>
      </c>
      <c r="L35" s="123">
        <f>_xlfn.IFERROR(K35*500*1.1*0.4,"")</f>
        <v>146.08</v>
      </c>
      <c r="M35" s="123">
        <f>_xlfn.IFERROR(500-L35,"")</f>
        <v>353.92</v>
      </c>
      <c r="N35" s="109"/>
    </row>
    <row customHeight="1" ht="18">
      <c r="A36" s="114"/>
      <c r="B36" s="119"/>
      <c r="C36" s="126" t="s">
        <v>67</v>
      </c>
      <c r="D36" s="123">
        <f>_xlfn.IFERROR(E36*3,"")</f>
        <v>0.0786</v>
      </c>
      <c r="E36" s="124">
        <f>_xlfn.IFERROR(ROUND(取值!E32,4),"")</f>
        <v>0.0262</v>
      </c>
      <c r="F36" s="123">
        <f>_xlfn.IFERROR(E36*0.094*100,"")</f>
        <v>0.24628</v>
      </c>
      <c r="G36" s="125">
        <f>_xlfn.IFERROR(9.354-F36,"")</f>
        <v>9.10772</v>
      </c>
      <c r="H36" s="121"/>
      <c r="I36" s="126" t="s">
        <v>68</v>
      </c>
      <c r="J36" s="123">
        <f>_xlfn.IFERROR(K36*8.5+0.3,"")</f>
        <v>5.944</v>
      </c>
      <c r="K36" s="124">
        <f>_xlfn.IFERROR(ROUND(取值!J31,4),"")</f>
        <v>0.664</v>
      </c>
      <c r="L36" s="123">
        <f>_xlfn.IFERROR(K36*500*1.1*0.4,"")</f>
        <v>146.08</v>
      </c>
      <c r="M36" s="123">
        <f>_xlfn.IFERROR(500-L36,"")</f>
        <v>353.92</v>
      </c>
      <c r="N36" s="109"/>
    </row>
    <row customHeight="1" ht="18">
      <c r="A37" s="114"/>
      <c r="B37" s="119"/>
      <c r="C37" s="120" t="s">
        <v>41</v>
      </c>
      <c r="D37" s="120"/>
      <c r="E37" s="120"/>
      <c r="F37" s="120"/>
      <c r="G37" s="120"/>
      <c r="H37" s="121"/>
      <c r="I37" s="126" t="s">
        <v>17</v>
      </c>
      <c r="J37" s="123" t="s">
        <v>18</v>
      </c>
      <c r="K37" s="124" t="s">
        <v>18</v>
      </c>
      <c r="L37" s="123">
        <f>SUM(L35:L36)</f>
        <v>292.16</v>
      </c>
      <c r="M37" s="123">
        <f>SUM(M35:M36)</f>
        <v>707.84</v>
      </c>
      <c r="N37" s="109"/>
    </row>
    <row customHeight="1" ht="18">
      <c r="A38" s="114"/>
      <c r="B38" s="119"/>
      <c r="C38" s="126" t="s">
        <v>69</v>
      </c>
      <c r="D38" s="123">
        <f>_xlfn.IFERROR(E38*3.4,"")</f>
        <v>1.33926</v>
      </c>
      <c r="E38" s="124">
        <f>_xlfn.IFERROR(ROUND(取值!E34,4),"")</f>
        <v>0.3939</v>
      </c>
      <c r="F38" s="123">
        <f>_xlfn.IFERROR(E38*0.136*100,"")</f>
        <v>5.35704</v>
      </c>
      <c r="G38" s="125">
        <f>_xlfn.IFERROR(13.6-F38,"")</f>
        <v>8.24296</v>
      </c>
      <c r="H38" s="121"/>
      <c r="I38" s="120" t="s">
        <v>70</v>
      </c>
      <c r="J38" s="120"/>
      <c r="K38" s="120"/>
      <c r="L38" s="120"/>
      <c r="M38" s="120"/>
      <c r="N38" s="109"/>
    </row>
    <row customHeight="1" ht="18">
      <c r="A39" s="114"/>
      <c r="B39" s="119"/>
      <c r="C39" s="120" t="s">
        <v>11</v>
      </c>
      <c r="D39" s="120"/>
      <c r="E39" s="120"/>
      <c r="F39" s="120"/>
      <c r="G39" s="120"/>
      <c r="H39" s="121"/>
      <c r="I39" s="126" t="s">
        <v>71</v>
      </c>
      <c r="J39" s="123">
        <f>_xlfn.IFERROR(K39*8.5+0.3,"")</f>
        <v>4.805</v>
      </c>
      <c r="K39" s="124">
        <f>_xlfn.IFERROR(ROUND(取值!J38,4),"")</f>
        <v>0.53</v>
      </c>
      <c r="L39" s="123">
        <f>_xlfn.IFERROR(K39*550,"")</f>
        <v>291.5</v>
      </c>
      <c r="M39" s="123">
        <f>_xlfn.IFERROR(550-L39,"")</f>
        <v>258.5</v>
      </c>
      <c r="N39" s="109"/>
    </row>
    <row customHeight="1" ht="18">
      <c r="A40" s="114"/>
      <c r="B40" s="119"/>
      <c r="C40" s="126" t="s">
        <v>72</v>
      </c>
      <c r="D40" s="123">
        <f>_xlfn.IFERROR(E40*5.8,"")</f>
        <v>3.7729</v>
      </c>
      <c r="E40" s="124">
        <f>_xlfn.IFERROR(ROUND(取值!E36,4),"")</f>
        <v>0.6505</v>
      </c>
      <c r="F40" s="123">
        <f>_xlfn.IFERROR(E40*0.75*100,"")</f>
        <v>48.7875</v>
      </c>
      <c r="G40" s="125">
        <f>_xlfn.IFERROR(75.4-F40,"")</f>
        <v>26.6125</v>
      </c>
      <c r="H40" s="121"/>
      <c r="I40" s="126" t="s">
        <v>73</v>
      </c>
      <c r="J40" s="123">
        <f>_xlfn.IFERROR(K40*8.5+0.3,"")</f>
        <v>4.9155</v>
      </c>
      <c r="K40" s="124">
        <f>_xlfn.IFERROR(ROUND(取值!J39,4),"")</f>
        <v>0.543</v>
      </c>
      <c r="L40" s="123">
        <f>_xlfn.IFERROR(K40*550,"")</f>
        <v>298.65</v>
      </c>
      <c r="M40" s="123">
        <f>_xlfn.IFERROR(550-L40,"")</f>
        <v>251.35</v>
      </c>
      <c r="N40" s="109"/>
    </row>
    <row customHeight="1" ht="18">
      <c r="A41" s="114"/>
      <c r="B41" s="119"/>
      <c r="C41" s="120" t="s">
        <v>74</v>
      </c>
      <c r="D41" s="120"/>
      <c r="E41" s="120"/>
      <c r="F41" s="120"/>
      <c r="G41" s="120"/>
      <c r="H41" s="121"/>
      <c r="I41" s="126" t="s">
        <v>17</v>
      </c>
      <c r="J41" s="123" t="s">
        <v>18</v>
      </c>
      <c r="K41" s="124" t="s">
        <v>18</v>
      </c>
      <c r="L41" s="123">
        <f>SUM(L39:L40)</f>
        <v>590.15</v>
      </c>
      <c r="M41" s="123">
        <f>SUM(M39:M40)</f>
        <v>509.85</v>
      </c>
      <c r="N41" s="109"/>
    </row>
    <row customHeight="1" ht="18">
      <c r="A42" s="114"/>
      <c r="B42" s="119"/>
      <c r="C42" s="126" t="s">
        <v>75</v>
      </c>
      <c r="D42" s="123">
        <f>_xlfn.IFERROR(E42*6.5,"")</f>
        <v>0.76635</v>
      </c>
      <c r="E42" s="124">
        <f>_xlfn.IFERROR(ROUND(取值!E38,4),"")</f>
        <v>0.1179</v>
      </c>
      <c r="F42" s="123">
        <f>_xlfn.IFERROR(E42*1.365*100,"")</f>
        <v>16.09335</v>
      </c>
      <c r="G42" s="125">
        <f>_xlfn.IFERROR(136.5-F42,"")</f>
        <v>120.40665</v>
      </c>
      <c r="H42" s="121"/>
      <c r="I42" s="120" t="s">
        <v>76</v>
      </c>
      <c r="J42" s="120"/>
      <c r="K42" s="120"/>
      <c r="L42" s="120"/>
      <c r="M42" s="120"/>
      <c r="N42" s="109"/>
    </row>
    <row customHeight="1" ht="18">
      <c r="A43" s="114"/>
      <c r="B43" s="119" t="s">
        <v>77</v>
      </c>
      <c r="C43" s="120" t="s">
        <v>78</v>
      </c>
      <c r="D43" s="120"/>
      <c r="E43" s="120"/>
      <c r="F43" s="120"/>
      <c r="G43" s="120"/>
      <c r="H43" s="121"/>
      <c r="I43" s="126" t="s">
        <v>79</v>
      </c>
      <c r="J43" s="123">
        <f>_xlfn.IFERROR(K43*4.8+0.3,"")</f>
        <v>2.268</v>
      </c>
      <c r="K43" s="124">
        <f>_xlfn.IFERROR(ROUND(取值!J42,4),"")</f>
        <v>0.41</v>
      </c>
      <c r="L43" s="123">
        <f>_xlfn.IFERROR(K43*163*1.017,"")</f>
        <v>67.96611</v>
      </c>
      <c r="M43" s="123">
        <f>_xlfn.IFERROR(163-L43,"")</f>
        <v>95.03389</v>
      </c>
      <c r="N43" s="109"/>
    </row>
    <row customHeight="1" ht="18">
      <c r="A44" s="114"/>
      <c r="B44" s="119"/>
      <c r="C44" s="126" t="s">
        <v>80</v>
      </c>
      <c r="D44" s="123">
        <f>_xlfn.IFERROR(E44*5.1,"")</f>
        <v>0</v>
      </c>
      <c r="E44" s="124">
        <f>_xlfn.IFERROR(ROUND(取值!E40,4),"")</f>
        <v>0</v>
      </c>
      <c r="F44" s="123">
        <f>_xlfn.IFERROR(E44*70.481+2.877,"")</f>
        <v>2.877</v>
      </c>
      <c r="G44" s="125">
        <f>_xlfn.IFERROR(89.578-F44,"")</f>
        <v>86.701</v>
      </c>
      <c r="H44" s="121"/>
      <c r="I44" s="126" t="s">
        <v>81</v>
      </c>
      <c r="J44" s="123">
        <f>_xlfn.IFERROR(K44*4.8+0.3,"")</f>
        <v>0.8136</v>
      </c>
      <c r="K44" s="124">
        <f>_xlfn.IFERROR(ROUND(取值!J43,4),"")</f>
        <v>0.107</v>
      </c>
      <c r="L44" s="123">
        <f>_xlfn.IFERROR(K44*163*1.017,"")</f>
        <v>17.737497</v>
      </c>
      <c r="M44" s="123">
        <f>_xlfn.IFERROR(163-L44,"")</f>
        <v>145.262503</v>
      </c>
      <c r="N44" s="109"/>
    </row>
    <row customHeight="1" ht="18">
      <c r="A45" s="114"/>
      <c r="B45" s="119"/>
      <c r="C45" s="120" t="s">
        <v>82</v>
      </c>
      <c r="D45" s="120"/>
      <c r="E45" s="120"/>
      <c r="F45" s="120"/>
      <c r="G45" s="120"/>
      <c r="H45" s="121"/>
      <c r="I45" s="126" t="s">
        <v>17</v>
      </c>
      <c r="J45" s="123" t="s">
        <v>18</v>
      </c>
      <c r="K45" s="124" t="s">
        <v>18</v>
      </c>
      <c r="L45" s="123">
        <f>SUM(L43:L44)</f>
        <v>85.703607</v>
      </c>
      <c r="M45" s="123">
        <f>SUM(M43:M44)</f>
        <v>240.296393</v>
      </c>
      <c r="N45" s="109"/>
    </row>
    <row customHeight="1" ht="18">
      <c r="A46" s="114"/>
      <c r="B46" s="119"/>
      <c r="C46" s="126" t="s">
        <v>83</v>
      </c>
      <c r="D46" s="123">
        <f>_xlfn.IFERROR(E46*3.5,"")</f>
        <v>0</v>
      </c>
      <c r="E46" s="124">
        <f>_xlfn.IFERROR(ROUND(取值!E42,4),"")</f>
        <v>0</v>
      </c>
      <c r="F46" s="123">
        <f>_xlfn.IFERROR(E46*23.834+1.444,"")</f>
        <v>1.444</v>
      </c>
      <c r="G46" s="125">
        <f>_xlfn.IFERROR(25.278-F46,"")</f>
        <v>23.834</v>
      </c>
      <c r="H46" s="121"/>
      <c r="I46" s="120" t="s">
        <v>84</v>
      </c>
      <c r="J46" s="120"/>
      <c r="K46" s="120"/>
      <c r="L46" s="120"/>
      <c r="M46" s="120"/>
      <c r="N46" s="109"/>
    </row>
    <row customHeight="1" ht="18">
      <c r="A47" s="114"/>
      <c r="B47" s="119"/>
      <c r="C47" s="120" t="s">
        <v>85</v>
      </c>
      <c r="D47" s="120"/>
      <c r="E47" s="120"/>
      <c r="F47" s="120"/>
      <c r="G47" s="120"/>
      <c r="H47" s="121"/>
      <c r="I47" s="126" t="s">
        <v>86</v>
      </c>
      <c r="J47" s="123">
        <f>_xlfn.IFERROR(K47*8.5+0.3,"")</f>
        <v>6.4455</v>
      </c>
      <c r="K47" s="124">
        <f>_xlfn.IFERROR(ROUND(取值!J34,4),"")</f>
        <v>0.723</v>
      </c>
      <c r="L47" s="123">
        <f>_xlfn.IFERROR(K47*550,"")</f>
        <v>397.65</v>
      </c>
      <c r="M47" s="123">
        <f>_xlfn.IFERROR(550-L47,"")</f>
        <v>152.35</v>
      </c>
      <c r="N47" s="109"/>
    </row>
    <row customHeight="1" ht="18">
      <c r="A48" s="114"/>
      <c r="B48" s="119"/>
      <c r="C48" s="126" t="s">
        <v>87</v>
      </c>
      <c r="D48" s="123">
        <f>_xlfn.IFERROR(E48*3.5,"")</f>
        <v>1.0486</v>
      </c>
      <c r="E48" s="124">
        <f>_xlfn.IFERROR(ROUND(取值!E44,4),"")</f>
        <v>0.2996</v>
      </c>
      <c r="F48" s="123">
        <f>_xlfn.IFERROR(E48/100*123.364+3.855,"")</f>
        <v>4.224598544</v>
      </c>
      <c r="G48" s="125">
        <f>_xlfn.IFERROR(25.278-F48,"")</f>
        <v>21.053401456</v>
      </c>
      <c r="H48" s="121"/>
      <c r="I48" s="126" t="s">
        <v>88</v>
      </c>
      <c r="J48" s="123">
        <f>_xlfn.IFERROR(K48*8.5+0.3,"")</f>
        <v>6.3775</v>
      </c>
      <c r="K48" s="124">
        <f>_xlfn.IFERROR(ROUND(取值!J35,4),"")</f>
        <v>0.715</v>
      </c>
      <c r="L48" s="123">
        <f>_xlfn.IFERROR(K48*550,"")</f>
        <v>393.25</v>
      </c>
      <c r="M48" s="123">
        <f>_xlfn.IFERROR(550-L48,"")</f>
        <v>156.75</v>
      </c>
      <c r="N48" s="109"/>
    </row>
    <row customHeight="1" ht="18">
      <c r="A49" s="114"/>
      <c r="B49" s="119"/>
      <c r="C49" s="120" t="s">
        <v>89</v>
      </c>
      <c r="D49" s="120"/>
      <c r="E49" s="120"/>
      <c r="F49" s="120"/>
      <c r="G49" s="120"/>
      <c r="H49" s="121"/>
      <c r="I49" s="126" t="s">
        <v>17</v>
      </c>
      <c r="J49" s="123" t="s">
        <v>18</v>
      </c>
      <c r="K49" s="124" t="s">
        <v>18</v>
      </c>
      <c r="L49" s="123">
        <f>SUM(L47:L48)</f>
        <v>790.9</v>
      </c>
      <c r="M49" s="123">
        <f>SUM(M47:M48)</f>
        <v>309.1</v>
      </c>
      <c r="N49" s="109"/>
    </row>
    <row customHeight="1" ht="18">
      <c r="A50" s="114"/>
      <c r="B50" s="119"/>
      <c r="C50" s="126" t="s">
        <v>90</v>
      </c>
      <c r="D50" s="123">
        <f>_xlfn.IFERROR(E50*6,"")</f>
        <v>3.723</v>
      </c>
      <c r="E50" s="124">
        <f>_xlfn.IFERROR(ROUND(取值!E46,4),"")</f>
        <v>0.6205</v>
      </c>
      <c r="F50" s="123">
        <f>_xlfn.IFERROR(E50*102.318+3.528,"")</f>
        <v>67.016319</v>
      </c>
      <c r="G50" s="125">
        <f>_xlfn.IFERROR(105.846-F50,"")</f>
        <v>38.829681</v>
      </c>
      <c r="H50" s="121" t="s">
        <v>91</v>
      </c>
      <c r="I50" s="120" t="s">
        <v>92</v>
      </c>
      <c r="J50" s="120"/>
      <c r="K50" s="120"/>
      <c r="L50" s="120"/>
      <c r="M50" s="120"/>
      <c r="N50" s="109"/>
    </row>
    <row customHeight="1" ht="18">
      <c r="A51" s="114"/>
      <c r="B51" s="119"/>
      <c r="C51" s="126" t="s">
        <v>93</v>
      </c>
      <c r="D51" s="123">
        <f>_xlfn.IFERROR(E51*6,"")</f>
        <v>4.3452</v>
      </c>
      <c r="E51" s="124">
        <f>_xlfn.IFERROR(ROUND(取值!E47,4),"")</f>
        <v>0.7242</v>
      </c>
      <c r="F51" s="123">
        <f>_xlfn.IFERROR(E51*102.318+3.528,"")</f>
        <v>77.6266956</v>
      </c>
      <c r="G51" s="125">
        <f>_xlfn.IFERROR(105.846-F51,"")</f>
        <v>28.2193044</v>
      </c>
      <c r="H51" s="121"/>
      <c r="I51" s="126" t="s">
        <v>94</v>
      </c>
      <c r="J51" s="123">
        <f>_xlfn.IFERROR(取值!I46*12.2,"")</f>
        <v>9.2232</v>
      </c>
      <c r="K51" s="124">
        <f>_xlfn.IFERROR(取值!I46,"")</f>
        <v>0.756</v>
      </c>
      <c r="L51" s="123">
        <f>_xlfn.IFERROR(K51*410,"")</f>
        <v>309.96</v>
      </c>
      <c r="M51" s="125">
        <f>_xlfn.IFERROR(410-L51,"")</f>
        <v>100.04</v>
      </c>
      <c r="N51" s="109"/>
    </row>
    <row customHeight="1" ht="18">
      <c r="A52" s="114"/>
      <c r="B52" s="119"/>
      <c r="C52" s="126" t="s">
        <v>17</v>
      </c>
      <c r="D52" s="123" t="s">
        <v>18</v>
      </c>
      <c r="E52" s="124" t="s">
        <v>18</v>
      </c>
      <c r="F52" s="123">
        <f>SUM(F50:F51)</f>
        <v>144.6430146</v>
      </c>
      <c r="G52" s="125">
        <f>SUM(G50:G51)</f>
        <v>67.0489854</v>
      </c>
      <c r="H52" s="121"/>
      <c r="I52" s="120" t="s">
        <v>95</v>
      </c>
      <c r="J52" s="120"/>
      <c r="K52" s="120"/>
      <c r="L52" s="120"/>
      <c r="M52" s="120"/>
      <c r="N52" s="109"/>
    </row>
    <row customHeight="1" ht="18">
      <c r="A53" s="114"/>
      <c r="B53" s="119"/>
      <c r="C53" s="120" t="s">
        <v>96</v>
      </c>
      <c r="D53" s="120"/>
      <c r="E53" s="120"/>
      <c r="F53" s="120"/>
      <c r="G53" s="120"/>
      <c r="H53" s="121"/>
      <c r="I53" s="126" t="s">
        <v>64</v>
      </c>
      <c r="J53" s="123">
        <f>_xlfn.IFERROR(取值!I48*12.2,"")</f>
        <v>4.7458</v>
      </c>
      <c r="K53" s="124">
        <f>_xlfn.IFERROR(取值!I48,"")</f>
        <v>0.389</v>
      </c>
      <c r="L53" s="123">
        <f>_xlfn.IFERROR(K53*800,"")</f>
        <v>311.2</v>
      </c>
      <c r="M53" s="125">
        <f>_xlfn.IFERROR(800-L53,"")</f>
        <v>488.8</v>
      </c>
      <c r="N53" s="109"/>
    </row>
    <row customHeight="1" ht="18">
      <c r="A54" s="114"/>
      <c r="B54" s="119"/>
      <c r="C54" s="126" t="s">
        <v>97</v>
      </c>
      <c r="D54" s="123">
        <f>_xlfn.IFERROR(E54*5,"")</f>
        <v>2.0075</v>
      </c>
      <c r="E54" s="124">
        <f>_xlfn.IFERROR(ROUND(取值!E50,4),"")</f>
        <v>0.4015</v>
      </c>
      <c r="F54" s="123">
        <f>_xlfn.IFERROR(E54*86.099+3.587,"")</f>
        <v>38.1557485</v>
      </c>
      <c r="G54" s="125">
        <f>_xlfn.IFERROR(89.686-F54,"")</f>
        <v>51.5302515</v>
      </c>
      <c r="H54" s="121" t="s">
        <v>98</v>
      </c>
      <c r="I54" s="120" t="s">
        <v>99</v>
      </c>
      <c r="J54" s="120"/>
      <c r="K54" s="120"/>
      <c r="L54" s="120"/>
      <c r="M54" s="120"/>
      <c r="N54" s="109"/>
    </row>
    <row customHeight="1" ht="18">
      <c r="A55" s="114"/>
      <c r="B55" s="119"/>
      <c r="C55" s="120" t="s">
        <v>100</v>
      </c>
      <c r="D55" s="120"/>
      <c r="E55" s="120"/>
      <c r="F55" s="120"/>
      <c r="G55" s="120"/>
      <c r="H55" s="121"/>
      <c r="I55" s="126" t="s">
        <v>13</v>
      </c>
      <c r="J55" s="123">
        <f>_xlfn.IFERROR(K55*9.6,"")</f>
        <v>3.744</v>
      </c>
      <c r="K55" s="124">
        <f>_xlfn.IFERROR(ROUND(取值!J50,4),"")</f>
        <v>0.39</v>
      </c>
      <c r="L55" s="123">
        <f>_xlfn.IFERROR(K55*650*1.1*0.5/0.37,"")</f>
        <v>376.824324324324</v>
      </c>
      <c r="M55" s="125">
        <f>_xlfn.IFERROR(966-L55,"")</f>
        <v>589.175675675676</v>
      </c>
      <c r="N55" s="109"/>
    </row>
    <row customHeight="1" ht="18">
      <c r="A56" s="114"/>
      <c r="B56" s="119"/>
      <c r="C56" s="126" t="s">
        <v>101</v>
      </c>
      <c r="D56" s="123">
        <f>_xlfn.IFERROR(E56*6.9,"")</f>
        <v>0</v>
      </c>
      <c r="E56" s="124">
        <f>_xlfn.IFERROR(ROUND(取值!E52,4),"")</f>
        <v>0</v>
      </c>
      <c r="F56" s="123">
        <f>_xlfn.IFERROR(E56*189.009+5.324,"")</f>
        <v>5.324</v>
      </c>
      <c r="G56" s="125">
        <f>_xlfn.IFERROR(194.333-F56,"")</f>
        <v>189.009</v>
      </c>
      <c r="H56" s="121"/>
      <c r="I56" s="126" t="s">
        <v>15</v>
      </c>
      <c r="J56" s="123">
        <f>_xlfn.IFERROR(K56*9.6,"")</f>
        <v>1.248</v>
      </c>
      <c r="K56" s="124">
        <f>_xlfn.IFERROR(ROUND(取值!J51,4),"")</f>
        <v>0.13</v>
      </c>
      <c r="L56" s="123">
        <f>_xlfn.IFERROR(K56*650*1.1*0.5/0.37,"")</f>
        <v>125.608108108108</v>
      </c>
      <c r="M56" s="125">
        <f>_xlfn.IFERROR(966-L56,"")</f>
        <v>840.391891891892</v>
      </c>
      <c r="N56" s="109"/>
    </row>
    <row customHeight="1" ht="18">
      <c r="A57" s="114"/>
      <c r="B57" s="119"/>
      <c r="C57" s="126" t="s">
        <v>102</v>
      </c>
      <c r="D57" s="123">
        <f>_xlfn.IFERROR(E57*6.9,"")</f>
        <v>0</v>
      </c>
      <c r="E57" s="124">
        <f>_xlfn.IFERROR(ROUND(取值!E53,4),"")</f>
        <v>0</v>
      </c>
      <c r="F57" s="123">
        <f>_xlfn.IFERROR(E57*189.009+5.324,"")</f>
        <v>5.324</v>
      </c>
      <c r="G57" s="125">
        <f>_xlfn.IFERROR(194.333-F57,"")</f>
        <v>189.009</v>
      </c>
      <c r="H57" s="121"/>
      <c r="I57" s="126" t="s">
        <v>103</v>
      </c>
      <c r="J57" s="123">
        <f>_xlfn.IFERROR(K57*9.6,"")</f>
        <v>1.44</v>
      </c>
      <c r="K57" s="124">
        <f>_xlfn.IFERROR(ROUND(取值!J52,4),"")</f>
        <v>0.15</v>
      </c>
      <c r="L57" s="123">
        <f>_xlfn.IFERROR(K57*650*1.1*0.5/0.37,"")</f>
        <v>144.932432432432</v>
      </c>
      <c r="M57" s="125">
        <f>_xlfn.IFERROR(966-L57,"")</f>
        <v>821.067567567568</v>
      </c>
      <c r="N57" s="109"/>
    </row>
    <row customHeight="1" ht="18">
      <c r="A58" s="114"/>
      <c r="B58" s="119"/>
      <c r="C58" s="126" t="s">
        <v>104</v>
      </c>
      <c r="D58" s="123">
        <f>_xlfn.IFERROR(E58*6.9,"")</f>
        <v>0.24288</v>
      </c>
      <c r="E58" s="124">
        <f>_xlfn.IFERROR(ROUND(取值!E54,4),"")</f>
        <v>0.0352</v>
      </c>
      <c r="F58" s="123">
        <f>_xlfn.IFERROR(E58*189.009+5.324,"")</f>
        <v>11.9771168</v>
      </c>
      <c r="G58" s="125">
        <f>_xlfn.IFERROR(194.333-F58,"")</f>
        <v>182.3558832</v>
      </c>
      <c r="H58" s="121"/>
      <c r="I58" s="126" t="s">
        <v>105</v>
      </c>
      <c r="J58" s="123">
        <f>_xlfn.IFERROR(K58*9.6,"")</f>
        <v>6.432</v>
      </c>
      <c r="K58" s="124">
        <f>_xlfn.IFERROR(ROUND(取值!J53,4),"")</f>
        <v>0.67</v>
      </c>
      <c r="L58" s="123">
        <f>_xlfn.IFERROR(K58*650*1.1*0.5/0.37,"")</f>
        <v>647.364864864865</v>
      </c>
      <c r="M58" s="125">
        <f>_xlfn.IFERROR(966-L58,"")</f>
        <v>318.635135135135</v>
      </c>
      <c r="N58" s="109"/>
    </row>
    <row customHeight="1" ht="18">
      <c r="A59" s="114"/>
      <c r="B59" s="119"/>
      <c r="C59" s="126" t="s">
        <v>17</v>
      </c>
      <c r="D59" s="123" t="s">
        <v>18</v>
      </c>
      <c r="E59" s="124" t="s">
        <v>18</v>
      </c>
      <c r="F59" s="123">
        <f>SUM(F56:F58)</f>
        <v>22.6251168</v>
      </c>
      <c r="G59" s="125">
        <f>SUM(G56:G58)</f>
        <v>560.3738832</v>
      </c>
      <c r="H59" s="121"/>
      <c r="I59" s="126" t="s">
        <v>17</v>
      </c>
      <c r="J59" s="123" t="s">
        <v>18</v>
      </c>
      <c r="K59" s="124" t="s">
        <v>18</v>
      </c>
      <c r="L59" s="123">
        <f>SUM(L56:L58)</f>
        <v>917.905405405405</v>
      </c>
      <c r="M59" s="125">
        <f>SUM(M55:M58)</f>
        <v>2569.27027027027</v>
      </c>
      <c r="N59" s="109"/>
    </row>
    <row customHeight="1" ht="18">
      <c r="A60" s="114"/>
      <c r="B60" s="132" t="s">
        <v>106</v>
      </c>
      <c r="C60" s="133" t="s">
        <v>107</v>
      </c>
      <c r="D60" s="133"/>
      <c r="E60" s="133"/>
      <c r="F60" s="134">
        <f>取值!E56</f>
        <v>293.18</v>
      </c>
      <c r="G60" s="134"/>
      <c r="H60" s="135" t="s">
        <v>108</v>
      </c>
      <c r="I60" s="133" t="s">
        <v>109</v>
      </c>
      <c r="J60" s="133"/>
      <c r="K60" s="133"/>
      <c r="L60" s="134">
        <f>取值!I56</f>
        <v>236.55</v>
      </c>
      <c r="M60" s="134"/>
      <c r="N60" s="109"/>
    </row>
    <row customHeight="1" ht="18">
      <c r="A61" s="114"/>
      <c r="B61" s="132"/>
      <c r="C61" s="133" t="s">
        <v>110</v>
      </c>
      <c r="D61" s="133"/>
      <c r="E61" s="133"/>
      <c r="F61" s="134">
        <f>取值!E58</f>
        <v>1953</v>
      </c>
      <c r="G61" s="134"/>
      <c r="H61" s="135"/>
      <c r="I61" s="136" t="s">
        <v>111</v>
      </c>
      <c r="J61" s="136"/>
      <c r="K61" s="136"/>
      <c r="L61" s="134">
        <f>取值!I57</f>
        <v>178</v>
      </c>
      <c r="M61" s="134"/>
      <c r="N61" s="109"/>
    </row>
    <row customHeight="1" ht="18" hidden="1">
      <c r="A62" s="114"/>
      <c r="B62" s="132"/>
      <c r="C62" s="133" t="s">
        <v>112</v>
      </c>
      <c r="D62" s="133"/>
      <c r="E62" s="133"/>
      <c r="F62" s="134">
        <f>取值!E57</f>
        <v>0</v>
      </c>
      <c r="G62" s="134"/>
      <c r="H62" s="135"/>
      <c r="I62" s="137"/>
      <c r="J62" s="137"/>
      <c r="K62" s="138"/>
      <c r="L62" s="137"/>
      <c r="M62" s="137"/>
      <c r="N62" s="109"/>
    </row>
    <row customHeight="1" ht="18">
      <c r="A63" s="114"/>
      <c r="B63" s="132"/>
      <c r="C63" s="133" t="s">
        <v>113</v>
      </c>
      <c r="D63" s="133"/>
      <c r="E63" s="133"/>
      <c r="F63" s="134">
        <f>取值!E59</f>
        <v>449.59</v>
      </c>
      <c r="G63" s="134"/>
      <c r="H63" s="135"/>
      <c r="I63" s="136" t="s">
        <v>114</v>
      </c>
      <c r="J63" s="136"/>
      <c r="K63" s="136"/>
      <c r="L63" s="134">
        <f>取值!I59</f>
        <v>19.4</v>
      </c>
      <c r="M63" s="134"/>
      <c r="N63" s="109"/>
    </row>
    <row customHeight="1" ht="18">
      <c r="A64" s="114"/>
      <c r="B64" s="132"/>
      <c r="C64" s="133" t="s">
        <v>115</v>
      </c>
      <c r="D64" s="133"/>
      <c r="E64" s="133"/>
      <c r="F64" s="134">
        <f>取值!E60</f>
        <v>9331</v>
      </c>
      <c r="G64" s="134"/>
      <c r="H64" s="135"/>
      <c r="I64" s="133" t="s">
        <v>116</v>
      </c>
      <c r="J64" s="133"/>
      <c r="K64" s="133"/>
      <c r="L64" s="139">
        <f>取值!I60</f>
        <v>0</v>
      </c>
      <c r="M64" s="139"/>
      <c r="N64" s="109"/>
    </row>
    <row customHeight="1" ht="18">
      <c r="A65" s="114"/>
      <c r="B65" s="132"/>
      <c r="C65" s="133" t="s">
        <v>117</v>
      </c>
      <c r="D65" s="133"/>
      <c r="E65" s="133"/>
      <c r="F65" s="134">
        <f>取值!E61</f>
        <v>644000</v>
      </c>
      <c r="G65" s="134"/>
      <c r="H65" s="135"/>
      <c r="I65" s="136" t="s">
        <v>118</v>
      </c>
      <c r="J65" s="136"/>
      <c r="K65" s="136"/>
      <c r="L65" s="139">
        <f>F8</f>
        <v>2196.07661955</v>
      </c>
      <c r="M65" s="139"/>
      <c r="N65" s="109"/>
    </row>
    <row customHeight="1" ht="18">
      <c r="A66" s="114" t="s">
        <v>119</v>
      </c>
      <c r="B66" s="140" t="s">
        <v>120</v>
      </c>
      <c r="C66" s="136" t="s">
        <v>121</v>
      </c>
      <c r="D66" s="136"/>
      <c r="E66" s="136"/>
      <c r="F66" s="134">
        <f>取值!E62</f>
        <v>226.98</v>
      </c>
      <c r="G66" s="134"/>
      <c r="H66" s="135" t="s">
        <v>122</v>
      </c>
      <c r="I66" s="136" t="s">
        <v>123</v>
      </c>
      <c r="J66" s="136"/>
      <c r="K66" s="136"/>
      <c r="L66" s="139">
        <f>(L59)</f>
        <v>917.905405405405</v>
      </c>
      <c r="M66" s="139"/>
      <c r="N66" s="109"/>
    </row>
    <row customHeight="1" ht="18">
      <c r="A67" s="114"/>
      <c r="B67" s="140"/>
      <c r="C67" s="136" t="s">
        <v>124</v>
      </c>
      <c r="D67" s="136"/>
      <c r="E67" s="136"/>
      <c r="F67" s="134">
        <f>取值!E63</f>
        <v>223.72</v>
      </c>
      <c r="G67" s="134"/>
      <c r="H67" s="135"/>
      <c r="I67" s="136" t="s">
        <v>125</v>
      </c>
      <c r="J67" s="136"/>
      <c r="K67" s="136"/>
      <c r="L67" s="139">
        <f>L20</f>
        <v>2158.856931</v>
      </c>
      <c r="M67" s="139"/>
      <c r="N67" s="109"/>
    </row>
    <row customHeight="1" ht="18">
      <c r="A68" s="114"/>
      <c r="B68" s="140"/>
      <c r="C68" s="136" t="s">
        <v>126</v>
      </c>
      <c r="D68" s="136"/>
      <c r="E68" s="136"/>
      <c r="F68" s="134">
        <f>取值!E67</f>
        <v>0</v>
      </c>
      <c r="G68" s="134"/>
      <c r="H68" s="135"/>
      <c r="I68" s="136" t="s">
        <v>127</v>
      </c>
      <c r="J68" s="136"/>
      <c r="K68" s="136"/>
      <c r="L68" s="139">
        <f>F24</f>
        <v>2645.42209161</v>
      </c>
      <c r="M68" s="139"/>
      <c r="N68" s="109"/>
    </row>
    <row customHeight="1" ht="18">
      <c r="A69" s="114"/>
      <c r="B69" s="140"/>
      <c r="C69" s="136" t="s">
        <v>128</v>
      </c>
      <c r="D69" s="136"/>
      <c r="E69" s="136"/>
      <c r="F69" s="134">
        <f>取值!E68</f>
        <v>32.64</v>
      </c>
      <c r="G69" s="134"/>
      <c r="H69" s="135"/>
      <c r="I69" s="136" t="s">
        <v>129</v>
      </c>
      <c r="J69" s="136"/>
      <c r="K69" s="136"/>
      <c r="L69" s="139">
        <f>F26</f>
        <v>198.52226052</v>
      </c>
      <c r="M69" s="139"/>
      <c r="N69" s="109"/>
    </row>
    <row customHeight="1" ht="18" hidden="1">
      <c r="A70" s="114"/>
      <c r="B70" s="140"/>
      <c r="C70" s="136" t="s">
        <v>130</v>
      </c>
      <c r="D70" s="136"/>
      <c r="E70" s="136"/>
      <c r="F70" s="134">
        <f>取值!E66</f>
        <v>0</v>
      </c>
      <c r="G70" s="134"/>
      <c r="H70" s="135"/>
      <c r="I70" s="137"/>
      <c r="J70" s="137"/>
      <c r="K70" s="138"/>
      <c r="L70" s="137"/>
      <c r="M70" s="137"/>
      <c r="N70" s="109"/>
    </row>
    <row customHeight="1" ht="18">
      <c r="A71" s="114"/>
      <c r="B71" s="140"/>
      <c r="C71" s="136" t="s">
        <v>131</v>
      </c>
      <c r="D71" s="136"/>
      <c r="E71" s="136"/>
      <c r="F71" s="134">
        <f>取值!E69</f>
        <v>0</v>
      </c>
      <c r="G71" s="134"/>
      <c r="H71" s="135"/>
      <c r="I71" s="136" t="s">
        <v>132</v>
      </c>
      <c r="J71" s="136"/>
      <c r="K71" s="136"/>
      <c r="L71" s="141">
        <f>L15</f>
        <v>5569.1351554</v>
      </c>
      <c r="M71" s="141"/>
      <c r="N71" s="109"/>
    </row>
    <row customHeight="1" ht="18">
      <c r="A72" s="114"/>
      <c r="B72" s="140"/>
      <c r="C72" s="136" t="s">
        <v>133</v>
      </c>
      <c r="D72" s="136"/>
      <c r="E72" s="136"/>
      <c r="F72" s="134">
        <f>取值!E65</f>
        <v>32.68</v>
      </c>
      <c r="G72" s="134"/>
      <c r="H72" s="135"/>
      <c r="I72" s="136" t="s">
        <v>134</v>
      </c>
      <c r="J72" s="136"/>
      <c r="K72" s="136"/>
      <c r="L72" s="139">
        <f>F14</f>
        <v>1071.15964029</v>
      </c>
      <c r="M72" s="139"/>
      <c r="N72" s="109"/>
    </row>
    <row customHeight="1" ht="18">
      <c r="A73" s="114"/>
      <c r="B73" s="140"/>
      <c r="C73" s="136" t="s">
        <v>135</v>
      </c>
      <c r="D73" s="136"/>
      <c r="E73" s="136"/>
      <c r="F73" s="141">
        <f>取值!E71</f>
        <v>0</v>
      </c>
      <c r="G73" s="141"/>
      <c r="H73" s="135"/>
      <c r="I73" s="136" t="s">
        <v>136</v>
      </c>
      <c r="J73" s="136"/>
      <c r="K73" s="136"/>
      <c r="L73" s="139">
        <f>L24</f>
        <v>57.014188</v>
      </c>
      <c r="M73" s="139"/>
      <c r="N73" s="109"/>
    </row>
    <row customHeight="1" ht="18">
      <c r="A74" s="114"/>
      <c r="B74" s="140"/>
      <c r="C74" s="136" t="s">
        <v>137</v>
      </c>
      <c r="D74" s="136"/>
      <c r="E74" s="136"/>
      <c r="F74" s="141">
        <f>取值!E72</f>
        <v>0</v>
      </c>
      <c r="G74" s="141"/>
      <c r="H74" s="135"/>
      <c r="I74" s="136" t="s">
        <v>138</v>
      </c>
      <c r="J74" s="136"/>
      <c r="K74" s="136"/>
      <c r="L74" s="139">
        <f>L29</f>
        <v>5856.32</v>
      </c>
      <c r="M74" s="139"/>
      <c r="N74" s="109"/>
    </row>
    <row customHeight="1" ht="18">
      <c r="A75" s="109"/>
      <c r="B75" s="109"/>
      <c r="C75" s="109"/>
      <c r="D75" s="109"/>
      <c r="E75" s="142"/>
      <c r="F75" s="109"/>
      <c r="G75" s="109"/>
      <c r="H75" s="109"/>
      <c r="I75" s="109"/>
      <c r="J75" s="109"/>
      <c r="K75" s="143" t="s">
        <v>139</v>
      </c>
      <c r="L75" s="144"/>
      <c r="M75" s="145"/>
      <c r="N75" s="109"/>
    </row>
    <row customHeight="1" ht="13.5">
      <c r="A76" s="109"/>
      <c r="B76" s="109"/>
      <c r="C76" s="109"/>
      <c r="D76" s="109"/>
      <c r="E76" s="142"/>
      <c r="F76" s="109"/>
      <c r="G76" s="109"/>
      <c r="H76" s="109"/>
      <c r="I76" s="109"/>
      <c r="J76" s="109"/>
      <c r="K76" s="142"/>
      <c r="L76" s="109"/>
      <c r="M76" s="109"/>
      <c r="N76" s="109"/>
    </row>
    <row customHeight="1" ht="13.5">
      <c r="A77" s="109"/>
      <c r="B77" s="109"/>
      <c r="C77" s="109"/>
      <c r="D77" s="109"/>
      <c r="E77" s="142"/>
      <c r="F77" s="109"/>
      <c r="G77" s="109"/>
      <c r="H77" s="109"/>
      <c r="I77" s="109"/>
      <c r="J77" s="109"/>
      <c r="K77" s="142"/>
      <c r="L77" s="109"/>
      <c r="M77" s="109"/>
      <c r="N77" s="109"/>
    </row>
  </sheetData>
  <mergeCells count="107">
    <mergeCell ref="L3:M3"/>
    <mergeCell ref="C5:G5"/>
    <mergeCell ref="I5:M5"/>
    <mergeCell ref="C9:G9"/>
    <mergeCell ref="C11:G11"/>
    <mergeCell ref="C15:G15"/>
    <mergeCell ref="I16:M16"/>
    <mergeCell ref="C17:G17"/>
    <mergeCell ref="C21:G21"/>
    <mergeCell ref="I21:M21"/>
    <mergeCell ref="I23:M23"/>
    <mergeCell ref="C25:G25"/>
    <mergeCell ref="I25:M25"/>
    <mergeCell ref="C27:G27"/>
    <mergeCell ref="C29:G29"/>
    <mergeCell ref="I30:M30"/>
    <mergeCell ref="I32:M32"/>
    <mergeCell ref="C33:G33"/>
    <mergeCell ref="I34:M34"/>
    <mergeCell ref="C35:G35"/>
    <mergeCell ref="C37:G37"/>
    <mergeCell ref="I38:M38"/>
    <mergeCell ref="C39:G39"/>
    <mergeCell ref="C41:G41"/>
    <mergeCell ref="I42:M42"/>
    <mergeCell ref="C43:G43"/>
    <mergeCell ref="C45:G45"/>
    <mergeCell ref="I46:M46"/>
    <mergeCell ref="C47:G47"/>
    <mergeCell ref="C49:G49"/>
    <mergeCell ref="I50:M50"/>
    <mergeCell ref="I52:M52"/>
    <mergeCell ref="C53:G53"/>
    <mergeCell ref="I54:M54"/>
    <mergeCell ref="C55:G55"/>
    <mergeCell ref="C60:E60"/>
    <mergeCell ref="F60:G60"/>
    <mergeCell ref="I60:K60"/>
    <mergeCell ref="L60:M60"/>
    <mergeCell ref="C61:E61"/>
    <mergeCell ref="F61:G61"/>
    <mergeCell ref="I61:K61"/>
    <mergeCell ref="L61:M61"/>
    <mergeCell ref="C62:E62"/>
    <mergeCell ref="F62:G62"/>
    <mergeCell ref="C63:E63"/>
    <mergeCell ref="F63:G63"/>
    <mergeCell ref="I63:K63"/>
    <mergeCell ref="L63:M63"/>
    <mergeCell ref="C64:E64"/>
    <mergeCell ref="F64:G64"/>
    <mergeCell ref="I64:K64"/>
    <mergeCell ref="L64:M64"/>
    <mergeCell ref="C65:E65"/>
    <mergeCell ref="F65:G65"/>
    <mergeCell ref="I65:K65"/>
    <mergeCell ref="L65:M65"/>
    <mergeCell ref="C66:E66"/>
    <mergeCell ref="F66:G66"/>
    <mergeCell ref="I66:K66"/>
    <mergeCell ref="L66:M66"/>
    <mergeCell ref="C67:E67"/>
    <mergeCell ref="F67:G67"/>
    <mergeCell ref="I67:K67"/>
    <mergeCell ref="L67:M67"/>
    <mergeCell ref="C68:E68"/>
    <mergeCell ref="F68:G68"/>
    <mergeCell ref="I68:K68"/>
    <mergeCell ref="L68:M68"/>
    <mergeCell ref="C69:E69"/>
    <mergeCell ref="F69:G69"/>
    <mergeCell ref="I69:K69"/>
    <mergeCell ref="L69:M69"/>
    <mergeCell ref="C70:E70"/>
    <mergeCell ref="F70:G70"/>
    <mergeCell ref="C71:E71"/>
    <mergeCell ref="F71:G71"/>
    <mergeCell ref="I71:K71"/>
    <mergeCell ref="L71:M71"/>
    <mergeCell ref="C72:E72"/>
    <mergeCell ref="F72:G72"/>
    <mergeCell ref="I72:K72"/>
    <mergeCell ref="L72:M72"/>
    <mergeCell ref="C73:E73"/>
    <mergeCell ref="F73:G73"/>
    <mergeCell ref="I73:K73"/>
    <mergeCell ref="L73:M73"/>
    <mergeCell ref="C74:E74"/>
    <mergeCell ref="F74:G74"/>
    <mergeCell ref="I74:K74"/>
    <mergeCell ref="L74:M74"/>
    <mergeCell ref="L75:M75"/>
    <mergeCell ref="A4:A65"/>
    <mergeCell ref="A66:A74"/>
    <mergeCell ref="B5:B28"/>
    <mergeCell ref="B29:B42"/>
    <mergeCell ref="B43:B59"/>
    <mergeCell ref="B60:B65"/>
    <mergeCell ref="B66:B74"/>
    <mergeCell ref="H5:H26"/>
    <mergeCell ref="H27:H29"/>
    <mergeCell ref="H30:H49"/>
    <mergeCell ref="H50:H53"/>
    <mergeCell ref="H54:H59"/>
    <mergeCell ref="H60:H65"/>
    <mergeCell ref="H66:H74"/>
    <mergeCell ref="A1:M2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0C37938-5C68-E1E2-3CD8-34411B36DB47}" mc:Ignorable="x14ac xr xr2 xr3">
  <dimension ref="A1:K100"/>
  <sheetViews>
    <sheetView topLeftCell="A63" workbookViewId="0">
      <selection activeCell="F70" sqref="F70"/>
    </sheetView>
  </sheetViews>
  <sheetFormatPr defaultColWidth="9.00390625" customHeight="1" defaultRowHeight="13.5"/>
  <sheetData>
    <row customHeight="1" ht="13.5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customHeight="1" ht="13.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</row>
    <row customHeight="1" ht="13.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customHeight="1" ht="13.5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</row>
    <row customHeight="1" ht="13.5">
      <c r="A5" s="146"/>
      <c r="B5" s="146"/>
      <c r="C5" s="146"/>
      <c r="D5" s="146"/>
      <c r="E5" s="146"/>
      <c r="F5" s="146"/>
      <c r="G5" s="146"/>
      <c r="H5" s="146"/>
      <c r="I5" s="146"/>
      <c r="J5" s="146"/>
      <c r="K5" s="146"/>
    </row>
    <row customHeight="1" ht="13.5">
      <c r="A6" s="146"/>
      <c r="B6" s="146"/>
      <c r="C6" s="133" t="s">
        <v>13</v>
      </c>
      <c r="D6" s="146">
        <v>7.963365</v>
      </c>
      <c r="E6" s="146">
        <v>1429.02584925</v>
      </c>
      <c r="F6" s="146">
        <v>0.4959999</v>
      </c>
      <c r="G6" s="146"/>
      <c r="H6" s="133" t="s">
        <v>14</v>
      </c>
      <c r="I6" s="146">
        <v>8.482369</v>
      </c>
      <c r="J6" s="146">
        <v>854.1745583</v>
      </c>
      <c r="K6" s="146">
        <v>0.7745393</v>
      </c>
    </row>
    <row customHeight="1" ht="13.5">
      <c r="A7" s="146"/>
      <c r="B7" s="146"/>
      <c r="C7" s="133" t="s">
        <v>15</v>
      </c>
      <c r="D7" s="146">
        <v>4.274454</v>
      </c>
      <c r="E7" s="146">
        <v>767.0507703</v>
      </c>
      <c r="F7" s="146">
        <v>0.269</v>
      </c>
      <c r="G7" s="146"/>
      <c r="H7" s="133" t="s">
        <v>16</v>
      </c>
      <c r="I7" s="146">
        <v>7.188312</v>
      </c>
      <c r="J7" s="146">
        <v>723.8630184</v>
      </c>
      <c r="K7" s="146">
        <v>0.6495383</v>
      </c>
    </row>
    <row customHeight="1" ht="13.5">
      <c r="A8" s="146"/>
      <c r="B8" s="146"/>
      <c r="C8" s="133" t="s">
        <v>17</v>
      </c>
      <c r="D8" s="146"/>
      <c r="E8" s="146"/>
      <c r="F8" s="146"/>
      <c r="G8" s="146"/>
      <c r="H8" s="133" t="s">
        <v>19</v>
      </c>
      <c r="I8" s="146">
        <v>8.495271</v>
      </c>
      <c r="J8" s="146">
        <v>855.4737897</v>
      </c>
      <c r="K8" s="146">
        <v>0.7705435</v>
      </c>
    </row>
    <row customHeight="1" ht="13.5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customHeight="1" ht="13.5">
      <c r="A10" s="146"/>
      <c r="B10" s="146"/>
      <c r="C10" s="133" t="s">
        <v>22</v>
      </c>
      <c r="D10" s="146">
        <v>4.710176</v>
      </c>
      <c r="E10" s="146">
        <v>226.3</v>
      </c>
      <c r="F10" s="146">
        <v>0.447888</v>
      </c>
      <c r="G10" s="146"/>
      <c r="H10" s="146"/>
      <c r="I10" s="146"/>
      <c r="J10" s="146"/>
      <c r="K10" s="146"/>
    </row>
    <row customHeight="1" ht="13.5">
      <c r="A11" s="146"/>
      <c r="B11" s="146"/>
      <c r="C11" s="146"/>
      <c r="D11" s="146"/>
      <c r="E11" s="146"/>
      <c r="F11" s="146"/>
      <c r="G11" s="146"/>
      <c r="H11" s="133" t="s">
        <v>35</v>
      </c>
      <c r="I11" s="146">
        <v>1.656734</v>
      </c>
      <c r="J11" s="146">
        <v>471.53963108</v>
      </c>
      <c r="K11" s="146">
        <v>0.1422495</v>
      </c>
    </row>
    <row customHeight="1" ht="13.5">
      <c r="A12" s="146"/>
      <c r="B12" s="146"/>
      <c r="C12" s="133" t="s">
        <v>26</v>
      </c>
      <c r="D12" s="146">
        <v>8.993971</v>
      </c>
      <c r="E12" s="146">
        <v>531.81350523</v>
      </c>
      <c r="F12" s="146">
        <v>0.721</v>
      </c>
      <c r="G12" s="146"/>
      <c r="H12" s="133" t="s">
        <v>37</v>
      </c>
      <c r="I12" s="146">
        <v>3.328433</v>
      </c>
      <c r="J12" s="146">
        <v>947.33860046</v>
      </c>
      <c r="K12" s="146">
        <v>0.2683797</v>
      </c>
    </row>
    <row customHeight="1" ht="13.5">
      <c r="A13" s="146"/>
      <c r="B13" s="146"/>
      <c r="C13" s="133" t="s">
        <v>28</v>
      </c>
      <c r="D13" s="146">
        <v>9.121362</v>
      </c>
      <c r="E13" s="146">
        <v>539.34613506</v>
      </c>
      <c r="F13" s="146">
        <v>0.728</v>
      </c>
      <c r="G13" s="146"/>
      <c r="H13" s="146"/>
      <c r="I13" s="146">
        <v>2.599883</v>
      </c>
      <c r="J13" s="146">
        <v>739.97869946</v>
      </c>
      <c r="K13" s="146">
        <v>0.1761465</v>
      </c>
    </row>
    <row customHeight="1" ht="13.5">
      <c r="A14" s="146"/>
      <c r="B14" s="146"/>
      <c r="C14" s="133" t="s">
        <v>17</v>
      </c>
      <c r="D14" s="146"/>
      <c r="E14" s="146"/>
      <c r="F14" s="146"/>
      <c r="G14" s="146"/>
      <c r="H14" s="146"/>
      <c r="I14" s="146">
        <v>1.458403</v>
      </c>
      <c r="J14" s="146">
        <v>44.29169911</v>
      </c>
      <c r="K14" s="146">
        <v>0.2808748</v>
      </c>
    </row>
    <row customHeight="1" ht="13.5">
      <c r="A15" s="146"/>
      <c r="B15" s="146"/>
      <c r="C15" s="146"/>
      <c r="D15" s="146"/>
      <c r="E15" s="146"/>
      <c r="F15" s="146"/>
      <c r="G15" s="146"/>
      <c r="H15" s="133" t="s">
        <v>43</v>
      </c>
      <c r="I15" s="146">
        <v>4.481348</v>
      </c>
      <c r="J15" s="146">
        <v>234.5</v>
      </c>
      <c r="K15" s="146">
        <v>0.4299367</v>
      </c>
    </row>
    <row customHeight="1" ht="13.5">
      <c r="A16" s="146"/>
      <c r="B16" s="146"/>
      <c r="C16" s="133" t="s">
        <v>32</v>
      </c>
      <c r="D16" s="146">
        <v>4.600391</v>
      </c>
      <c r="E16" s="146">
        <v>196.66671525</v>
      </c>
      <c r="F16" s="146">
        <v>0.423</v>
      </c>
      <c r="G16" s="146"/>
      <c r="H16" s="146"/>
      <c r="I16" s="146"/>
      <c r="J16" s="146"/>
      <c r="K16" s="146"/>
    </row>
    <row customHeight="1" ht="13.5">
      <c r="A17" s="146"/>
      <c r="B17" s="146"/>
      <c r="C17" s="146"/>
      <c r="D17" s="146"/>
      <c r="E17" s="146"/>
      <c r="F17" s="146"/>
      <c r="G17" s="146"/>
      <c r="H17" s="133" t="s">
        <v>46</v>
      </c>
      <c r="I17" s="146">
        <v>1.926155</v>
      </c>
      <c r="J17" s="146">
        <v>57.014188</v>
      </c>
      <c r="K17" s="146">
        <v>0.2933841</v>
      </c>
    </row>
    <row customHeight="1" ht="13.5">
      <c r="A18" s="146"/>
      <c r="B18" s="146"/>
      <c r="C18" s="133" t="s">
        <v>140</v>
      </c>
      <c r="D18" s="146">
        <v>2.977941</v>
      </c>
      <c r="E18" s="146">
        <v>68.25440772</v>
      </c>
      <c r="F18" s="146">
        <v>0.6121968</v>
      </c>
      <c r="G18" s="146"/>
      <c r="H18" s="146"/>
      <c r="I18" s="146"/>
      <c r="J18" s="146"/>
      <c r="K18" s="146"/>
    </row>
    <row customHeight="1" ht="13.5">
      <c r="A19" s="146"/>
      <c r="B19" s="146"/>
      <c r="C19" s="146"/>
      <c r="D19" s="146">
        <v>3.206043</v>
      </c>
      <c r="E19" s="146">
        <v>73.5</v>
      </c>
      <c r="F19" s="146">
        <v>0.61</v>
      </c>
      <c r="G19" s="146"/>
      <c r="H19" s="133" t="s">
        <v>50</v>
      </c>
      <c r="I19" s="146">
        <v>3.61909</v>
      </c>
      <c r="J19" s="146">
        <v>174.5849016</v>
      </c>
      <c r="K19" s="146">
        <v>0.3442585</v>
      </c>
    </row>
    <row customHeight="1" ht="13.5">
      <c r="A20" s="146"/>
      <c r="B20" s="146"/>
      <c r="C20" s="133" t="s">
        <v>42</v>
      </c>
      <c r="D20" s="146">
        <v>5.041162</v>
      </c>
      <c r="E20" s="146">
        <v>1350.07359522</v>
      </c>
      <c r="F20" s="146">
        <v>0.4132661</v>
      </c>
      <c r="G20" s="146"/>
      <c r="H20" s="146"/>
      <c r="I20" s="146"/>
      <c r="J20" s="146"/>
      <c r="K20" s="146"/>
    </row>
    <row customHeight="1" ht="13.5">
      <c r="A21" s="146"/>
      <c r="B21" s="146"/>
      <c r="C21" s="133" t="s">
        <v>44</v>
      </c>
      <c r="D21" s="146">
        <v>4.836819</v>
      </c>
      <c r="E21" s="146">
        <v>1295.34849639</v>
      </c>
      <c r="F21" s="146">
        <v>0.3909142</v>
      </c>
      <c r="G21" s="146"/>
      <c r="H21" s="133" t="s">
        <v>54</v>
      </c>
      <c r="I21" s="146">
        <v>1.458403</v>
      </c>
      <c r="J21" s="146">
        <v>44.29169911</v>
      </c>
      <c r="K21" s="146">
        <v>0.2808748</v>
      </c>
    </row>
    <row customHeight="1" ht="13.5">
      <c r="A22" s="146"/>
      <c r="B22" s="146"/>
      <c r="C22" s="133" t="s">
        <v>17</v>
      </c>
      <c r="D22" s="146"/>
      <c r="E22" s="146"/>
      <c r="F22" s="146"/>
      <c r="G22" s="146"/>
      <c r="H22" s="133" t="s">
        <v>53</v>
      </c>
      <c r="I22" s="146"/>
      <c r="J22" s="146">
        <v>4161.79</v>
      </c>
      <c r="K22" s="146"/>
    </row>
    <row customHeight="1" ht="13.5">
      <c r="A23" s="146"/>
      <c r="B23" s="146"/>
      <c r="C23" s="146"/>
      <c r="D23" s="146"/>
      <c r="E23" s="146"/>
      <c r="F23" s="146"/>
      <c r="G23" s="146"/>
      <c r="H23" s="133" t="s">
        <v>55</v>
      </c>
      <c r="I23" s="146"/>
      <c r="J23" s="146">
        <v>1694.53</v>
      </c>
      <c r="K23" s="146"/>
    </row>
    <row customHeight="1" ht="13.5">
      <c r="A24" s="146"/>
      <c r="B24" s="146"/>
      <c r="C24" s="133" t="s">
        <v>49</v>
      </c>
      <c r="D24" s="146">
        <v>2.850693</v>
      </c>
      <c r="E24" s="146">
        <v>198.52226052</v>
      </c>
      <c r="F24" s="146">
        <v>0.3448228</v>
      </c>
      <c r="G24" s="146"/>
      <c r="H24" s="146"/>
      <c r="I24" s="146"/>
      <c r="J24" s="146"/>
      <c r="K24" s="146"/>
    </row>
    <row customHeight="1" ht="13.5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customHeight="1" ht="13.5">
      <c r="A26" s="146"/>
      <c r="B26" s="146"/>
      <c r="C26" s="133" t="s">
        <v>57</v>
      </c>
      <c r="D26" s="146"/>
      <c r="E26" s="146">
        <v>0.4699766</v>
      </c>
      <c r="F26" s="146">
        <v>81.7759284</v>
      </c>
      <c r="G26" s="146"/>
      <c r="H26" s="133" t="s">
        <v>61</v>
      </c>
      <c r="I26" s="146"/>
      <c r="J26" s="146">
        <v>0.253</v>
      </c>
      <c r="K26" s="146">
        <v>55.66</v>
      </c>
    </row>
    <row customHeight="1" ht="13.5">
      <c r="A27" s="146"/>
      <c r="B27" s="146"/>
      <c r="C27" s="133" t="s">
        <v>60</v>
      </c>
      <c r="D27" s="146"/>
      <c r="E27" s="146">
        <v>0.001</v>
      </c>
      <c r="F27" s="146">
        <v>0.174</v>
      </c>
      <c r="G27" s="146"/>
      <c r="H27" s="146"/>
      <c r="I27" s="146"/>
      <c r="J27" s="146"/>
      <c r="K27" s="146"/>
    </row>
    <row customHeight="1" ht="13.5">
      <c r="A28" s="146"/>
      <c r="B28" s="146"/>
      <c r="C28" s="133" t="s">
        <v>17</v>
      </c>
      <c r="D28" s="146"/>
      <c r="E28" s="146"/>
      <c r="F28" s="146"/>
      <c r="G28" s="146"/>
      <c r="H28" s="133" t="s">
        <v>63</v>
      </c>
      <c r="I28" s="146"/>
      <c r="J28" s="146">
        <v>0.274</v>
      </c>
      <c r="K28" s="146">
        <v>60.28</v>
      </c>
    </row>
    <row customHeight="1" ht="13.5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</row>
    <row customHeight="1" ht="13.5">
      <c r="A30" s="146"/>
      <c r="B30" s="146"/>
      <c r="C30" s="133" t="s">
        <v>64</v>
      </c>
      <c r="D30" s="146"/>
      <c r="E30" s="146">
        <v>0.3775072</v>
      </c>
      <c r="F30" s="146">
        <v>30.5780832</v>
      </c>
      <c r="G30" s="146"/>
      <c r="H30" s="133" t="s">
        <v>66</v>
      </c>
      <c r="I30" s="146"/>
      <c r="J30" s="146">
        <v>0.664</v>
      </c>
      <c r="K30" s="146">
        <v>146.08</v>
      </c>
    </row>
    <row customHeight="1" ht="13.5">
      <c r="A31" s="146"/>
      <c r="B31" s="146"/>
      <c r="C31" s="146"/>
      <c r="D31" s="146"/>
      <c r="E31" s="146"/>
      <c r="F31" s="146"/>
      <c r="G31" s="146"/>
      <c r="H31" s="133" t="s">
        <v>68</v>
      </c>
      <c r="I31" s="146"/>
      <c r="J31" s="146">
        <v>0.664</v>
      </c>
      <c r="K31" s="146">
        <v>146.08</v>
      </c>
    </row>
    <row customHeight="1" ht="13.5">
      <c r="A32" s="146"/>
      <c r="B32" s="146"/>
      <c r="C32" s="133" t="s">
        <v>67</v>
      </c>
      <c r="D32" s="146"/>
      <c r="E32" s="146">
        <v>0.02621675</v>
      </c>
      <c r="F32" s="146">
        <v>0.24643745</v>
      </c>
      <c r="G32" s="146"/>
      <c r="H32" s="133" t="s">
        <v>17</v>
      </c>
      <c r="I32" s="146"/>
      <c r="J32" s="146"/>
      <c r="K32" s="146"/>
    </row>
    <row customHeight="1" ht="13.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</row>
    <row customHeight="1" ht="13.5">
      <c r="A34" s="146"/>
      <c r="B34" s="146"/>
      <c r="C34" s="133" t="s">
        <v>69</v>
      </c>
      <c r="D34" s="146"/>
      <c r="E34" s="146">
        <v>0.3938565</v>
      </c>
      <c r="F34" s="146">
        <v>5.3564484</v>
      </c>
      <c r="G34" s="146"/>
      <c r="H34" s="133" t="s">
        <v>86</v>
      </c>
      <c r="I34" s="146"/>
      <c r="J34" s="146">
        <v>0.723</v>
      </c>
      <c r="K34" s="146">
        <v>397.65</v>
      </c>
    </row>
    <row customHeight="1" ht="13.5">
      <c r="A35" s="146"/>
      <c r="B35" s="146"/>
      <c r="C35" s="146"/>
      <c r="D35" s="146"/>
      <c r="E35" s="146"/>
      <c r="F35" s="146"/>
      <c r="G35" s="146"/>
      <c r="H35" s="133" t="s">
        <v>88</v>
      </c>
      <c r="I35" s="146"/>
      <c r="J35" s="146">
        <v>0.715</v>
      </c>
      <c r="K35" s="146">
        <v>393.25</v>
      </c>
    </row>
    <row customHeight="1" ht="13.5">
      <c r="A36" s="146"/>
      <c r="B36" s="146"/>
      <c r="C36" s="133" t="s">
        <v>72</v>
      </c>
      <c r="D36" s="146"/>
      <c r="E36" s="146">
        <v>0.650498</v>
      </c>
      <c r="F36" s="146">
        <v>48.78735</v>
      </c>
      <c r="G36" s="146"/>
      <c r="H36" s="133" t="s">
        <v>17</v>
      </c>
      <c r="I36" s="146"/>
      <c r="J36" s="146"/>
      <c r="K36" s="146"/>
    </row>
    <row customHeight="1" ht="13.5">
      <c r="A37" s="146"/>
      <c r="B37" s="146"/>
      <c r="C37" s="146"/>
      <c r="D37" s="146"/>
      <c r="E37" s="146"/>
      <c r="F37" s="146"/>
      <c r="G37" s="146"/>
      <c r="H37" s="146"/>
      <c r="I37" s="146"/>
      <c r="J37" s="146"/>
      <c r="K37" s="146"/>
    </row>
    <row customHeight="1" ht="13.5">
      <c r="A38" s="146"/>
      <c r="B38" s="146"/>
      <c r="C38" s="133" t="s">
        <v>75</v>
      </c>
      <c r="D38" s="146"/>
      <c r="E38" s="146">
        <v>0.1178876</v>
      </c>
      <c r="F38" s="146">
        <v>16.0916574</v>
      </c>
      <c r="G38" s="146"/>
      <c r="H38" s="133" t="s">
        <v>71</v>
      </c>
      <c r="I38" s="146"/>
      <c r="J38" s="146">
        <v>0.53</v>
      </c>
      <c r="K38" s="146">
        <v>291.5</v>
      </c>
    </row>
    <row customHeight="1" ht="13.5">
      <c r="A39" s="146"/>
      <c r="B39" s="146"/>
      <c r="C39" s="146"/>
      <c r="D39" s="146"/>
      <c r="E39" s="146"/>
      <c r="F39" s="146"/>
      <c r="G39" s="146"/>
      <c r="H39" s="133" t="s">
        <v>73</v>
      </c>
      <c r="I39" s="146"/>
      <c r="J39" s="146">
        <v>0.543</v>
      </c>
      <c r="K39" s="146">
        <v>298.65</v>
      </c>
    </row>
    <row customHeight="1" ht="13.5">
      <c r="A40" s="146"/>
      <c r="B40" s="146"/>
      <c r="C40" s="133" t="s">
        <v>80</v>
      </c>
      <c r="D40" s="146">
        <v>0</v>
      </c>
      <c r="E40" s="146"/>
      <c r="F40" s="146"/>
      <c r="G40" s="146"/>
      <c r="H40" s="133" t="s">
        <v>17</v>
      </c>
      <c r="I40" s="146"/>
      <c r="J40" s="146"/>
      <c r="K40" s="146"/>
    </row>
    <row customHeight="1" ht="13.5">
      <c r="A41" s="146"/>
      <c r="B41" s="146"/>
      <c r="C41" s="146"/>
      <c r="D41" s="146"/>
      <c r="E41" s="146"/>
      <c r="F41" s="146"/>
      <c r="G41" s="146"/>
      <c r="H41" s="146"/>
      <c r="I41" s="146"/>
      <c r="J41" s="146"/>
      <c r="K41" s="146"/>
    </row>
    <row customHeight="1" ht="13.5">
      <c r="A42" s="146"/>
      <c r="B42" s="146"/>
      <c r="C42" s="133" t="s">
        <v>83</v>
      </c>
      <c r="D42" s="146">
        <v>0</v>
      </c>
      <c r="E42" s="146"/>
      <c r="F42" s="146"/>
      <c r="G42" s="146"/>
      <c r="H42" s="133" t="s">
        <v>79</v>
      </c>
      <c r="I42" s="146"/>
      <c r="J42" s="146">
        <v>0.41</v>
      </c>
      <c r="K42" s="146">
        <v>67.96611</v>
      </c>
    </row>
    <row customHeight="1" ht="13.5">
      <c r="A43" s="146"/>
      <c r="B43" s="146"/>
      <c r="C43" s="146"/>
      <c r="D43" s="146"/>
      <c r="E43" s="146"/>
      <c r="F43" s="146"/>
      <c r="G43" s="146"/>
      <c r="H43" s="133" t="s">
        <v>81</v>
      </c>
      <c r="I43" s="146"/>
      <c r="J43" s="146">
        <v>0.107</v>
      </c>
      <c r="K43" s="146">
        <v>17.737497</v>
      </c>
    </row>
    <row customHeight="1" ht="13.5">
      <c r="A44" s="146"/>
      <c r="B44" s="146"/>
      <c r="C44" s="133" t="s">
        <v>87</v>
      </c>
      <c r="D44" s="146">
        <v>29.96479</v>
      </c>
      <c r="E44" s="146">
        <v>0.2996479</v>
      </c>
      <c r="F44" s="146"/>
      <c r="G44" s="146"/>
      <c r="H44" s="133" t="s">
        <v>17</v>
      </c>
      <c r="I44" s="146"/>
      <c r="J44" s="146"/>
      <c r="K44" s="146"/>
    </row>
    <row customHeight="1" ht="13.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</row>
    <row customHeight="1" ht="13.5">
      <c r="A46" s="146"/>
      <c r="B46" s="146"/>
      <c r="C46" s="133" t="s">
        <v>90</v>
      </c>
      <c r="D46" s="146">
        <v>62.05003</v>
      </c>
      <c r="E46" s="146">
        <v>0.6205003</v>
      </c>
      <c r="F46" s="146"/>
      <c r="G46" s="146"/>
      <c r="H46" s="147" t="s">
        <v>94</v>
      </c>
      <c r="I46" s="146">
        <v>0.756</v>
      </c>
      <c r="J46" s="146"/>
      <c r="K46" s="146"/>
    </row>
    <row customHeight="1" ht="13.5">
      <c r="A47" s="146"/>
      <c r="B47" s="146"/>
      <c r="C47" s="133" t="s">
        <v>93</v>
      </c>
      <c r="D47" s="146">
        <v>72.4225</v>
      </c>
      <c r="E47" s="146">
        <v>0.724225</v>
      </c>
      <c r="F47" s="146"/>
      <c r="G47" s="146"/>
      <c r="H47" s="146"/>
      <c r="I47" s="146"/>
      <c r="J47" s="146"/>
      <c r="K47" s="146"/>
    </row>
    <row customHeight="1" ht="13.5">
      <c r="A48" s="146"/>
      <c r="B48" s="146"/>
      <c r="C48" s="146"/>
      <c r="D48" s="146"/>
      <c r="E48" s="146"/>
      <c r="F48" s="146"/>
      <c r="G48" s="146"/>
      <c r="H48" s="147" t="s">
        <v>64</v>
      </c>
      <c r="I48" s="146">
        <v>0.389</v>
      </c>
      <c r="J48" s="146"/>
      <c r="K48" s="146"/>
    </row>
    <row customHeight="1" ht="13.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</row>
    <row customHeight="1" ht="13.5">
      <c r="A50" s="146"/>
      <c r="B50" s="146"/>
      <c r="C50" s="133" t="s">
        <v>97</v>
      </c>
      <c r="D50" s="146">
        <v>40.14898</v>
      </c>
      <c r="E50" s="146">
        <v>0.4014898</v>
      </c>
      <c r="F50" s="146"/>
      <c r="G50" s="146"/>
      <c r="H50" s="133" t="s">
        <v>13</v>
      </c>
      <c r="I50" s="146"/>
      <c r="J50" s="146">
        <v>0.39</v>
      </c>
      <c r="K50" s="146">
        <v>376.824324324324</v>
      </c>
    </row>
    <row customHeight="1" ht="13.5">
      <c r="A51" s="146"/>
      <c r="B51" s="146"/>
      <c r="C51" s="146"/>
      <c r="D51" s="146"/>
      <c r="E51" s="146"/>
      <c r="F51" s="146"/>
      <c r="G51" s="146"/>
      <c r="H51" s="133" t="s">
        <v>15</v>
      </c>
      <c r="I51" s="146"/>
      <c r="J51" s="146">
        <v>0.13</v>
      </c>
      <c r="K51" s="146">
        <v>125.608108108108</v>
      </c>
    </row>
    <row customHeight="1" ht="13.5">
      <c r="A52" s="146"/>
      <c r="B52" s="146"/>
      <c r="C52" s="133" t="s">
        <v>101</v>
      </c>
      <c r="D52" s="146" t="s">
        <v>141</v>
      </c>
      <c r="E52" s="146">
        <v>7.140135e-19</v>
      </c>
      <c r="F52" s="146"/>
      <c r="G52" s="146"/>
      <c r="H52" s="133" t="s">
        <v>103</v>
      </c>
      <c r="I52" s="146"/>
      <c r="J52" s="146">
        <v>0.15</v>
      </c>
      <c r="K52" s="146">
        <v>144.932432432432</v>
      </c>
    </row>
    <row customHeight="1" ht="13.5">
      <c r="A53" s="146"/>
      <c r="B53" s="146"/>
      <c r="C53" s="133" t="s">
        <v>102</v>
      </c>
      <c r="D53" s="146" t="s">
        <v>142</v>
      </c>
      <c r="E53" s="146">
        <v>1.177014e-21</v>
      </c>
      <c r="F53" s="146"/>
      <c r="G53" s="146"/>
      <c r="H53" s="133" t="s">
        <v>105</v>
      </c>
      <c r="I53" s="146"/>
      <c r="J53" s="146">
        <v>0.67</v>
      </c>
      <c r="K53" s="146">
        <v>647.364864864865</v>
      </c>
    </row>
    <row customHeight="1" ht="13.5">
      <c r="A54" s="146"/>
      <c r="B54" s="146"/>
      <c r="C54" s="133" t="s">
        <v>104</v>
      </c>
      <c r="D54" s="146">
        <v>3.515</v>
      </c>
      <c r="E54" s="146">
        <v>0.03515</v>
      </c>
      <c r="F54" s="146"/>
      <c r="G54" s="146"/>
      <c r="H54" s="133" t="s">
        <v>17</v>
      </c>
      <c r="I54" s="146"/>
      <c r="J54" s="146"/>
      <c r="K54" s="146"/>
    </row>
    <row customHeight="1" ht="13.5">
      <c r="A55" s="146"/>
      <c r="B55" s="146"/>
      <c r="C55" s="133" t="s">
        <v>17</v>
      </c>
      <c r="D55" s="146"/>
      <c r="E55" s="146"/>
      <c r="F55" s="146"/>
      <c r="G55" s="146"/>
      <c r="H55" s="146"/>
      <c r="I55" s="146"/>
      <c r="J55" s="146"/>
      <c r="K55" s="146"/>
    </row>
    <row customHeight="1" ht="13.5">
      <c r="A56" s="146"/>
      <c r="B56" s="148" t="s">
        <v>106</v>
      </c>
      <c r="C56" s="133" t="s">
        <v>107</v>
      </c>
      <c r="D56" s="149"/>
      <c r="E56" s="146">
        <v>293.18</v>
      </c>
      <c r="F56" s="150" t="s">
        <v>108</v>
      </c>
      <c r="G56" s="133" t="s">
        <v>109</v>
      </c>
      <c r="H56" s="149"/>
      <c r="I56" s="146">
        <f>_xlfn.IFERROR(SUM(I73,I74,I75),"")</f>
        <v>236.55</v>
      </c>
      <c r="J56" s="146"/>
      <c r="K56" s="146"/>
    </row>
    <row customHeight="1" ht="13.5">
      <c r="A57" s="146"/>
      <c r="B57" s="148"/>
      <c r="C57" s="133" t="s">
        <v>112</v>
      </c>
      <c r="D57" s="149"/>
      <c r="E57" s="146"/>
      <c r="F57" s="151"/>
      <c r="G57" s="152" t="s">
        <v>111</v>
      </c>
      <c r="H57" s="152"/>
      <c r="I57" s="146">
        <f>_xlfn.IFERROR(SUM(I78,I79,I80),"")</f>
        <v>178</v>
      </c>
      <c r="J57" s="146"/>
      <c r="K57" s="146"/>
    </row>
    <row customHeight="1" ht="13.5">
      <c r="A58" s="146"/>
      <c r="B58" s="148"/>
      <c r="C58" s="133" t="s">
        <v>110</v>
      </c>
      <c r="D58" s="149"/>
      <c r="E58" s="146">
        <f>_xlfn.IFERROR(SUM(E73,E74,E75,E76,E77,E78),"")</f>
        <v>1953</v>
      </c>
      <c r="F58" s="151"/>
      <c r="G58" s="152" t="s">
        <v>143</v>
      </c>
      <c r="H58" s="152"/>
      <c r="I58" s="146"/>
      <c r="J58" s="146"/>
      <c r="K58" s="146"/>
    </row>
    <row customHeight="1" ht="13.5">
      <c r="A59" s="146"/>
      <c r="B59" s="148"/>
      <c r="C59" s="133" t="s">
        <v>113</v>
      </c>
      <c r="D59" s="149"/>
      <c r="E59" s="146">
        <f>_xlfn.IFERROR(SUM(E81,E82,E83),"")</f>
        <v>449.59</v>
      </c>
      <c r="F59" s="151"/>
      <c r="G59" s="152" t="s">
        <v>114</v>
      </c>
      <c r="H59" s="152"/>
      <c r="I59" s="146">
        <f>_xlfn.IFERROR(SUM(I82,I83,I84),"")</f>
        <v>19.4</v>
      </c>
      <c r="J59" s="146"/>
      <c r="K59" s="146"/>
    </row>
    <row customHeight="1" ht="15">
      <c r="A60" s="146"/>
      <c r="B60" s="148"/>
      <c r="C60" s="147" t="s">
        <v>115</v>
      </c>
      <c r="D60" s="153"/>
      <c r="E60" s="154">
        <v>9331</v>
      </c>
      <c r="F60" s="151"/>
      <c r="G60" s="133" t="s">
        <v>116</v>
      </c>
      <c r="H60" s="149"/>
      <c r="I60" s="146">
        <f>_xlfn.IFERROR(SUM(I87,I88,I89),"")</f>
        <v>0</v>
      </c>
      <c r="J60" s="146"/>
      <c r="K60" s="146"/>
    </row>
    <row customHeight="1" ht="13.5">
      <c r="A61" s="146"/>
      <c r="B61" s="148"/>
      <c r="C61" s="133" t="s">
        <v>144</v>
      </c>
      <c r="D61" s="149"/>
      <c r="E61" s="146">
        <f>_xlfn.IFERROR(SUM(E86,E87,E88),"")</f>
        <v>644000</v>
      </c>
      <c r="F61" s="150" t="s">
        <v>122</v>
      </c>
      <c r="G61" s="136" t="s">
        <v>118</v>
      </c>
      <c r="H61" s="136"/>
      <c r="I61" s="146"/>
      <c r="J61" s="146"/>
      <c r="K61" s="146"/>
    </row>
    <row customHeight="1" ht="13.5">
      <c r="A62" s="146"/>
      <c r="B62" s="135" t="s">
        <v>120</v>
      </c>
      <c r="C62" s="136" t="s">
        <v>121</v>
      </c>
      <c r="D62" s="136"/>
      <c r="E62" s="146">
        <v>226.98</v>
      </c>
      <c r="F62" s="151"/>
      <c r="G62" s="136" t="s">
        <v>123</v>
      </c>
      <c r="H62" s="136"/>
      <c r="I62" s="146"/>
      <c r="J62" s="146"/>
      <c r="K62" s="146"/>
    </row>
    <row customHeight="1" ht="13.5">
      <c r="A63" s="146"/>
      <c r="B63" s="135"/>
      <c r="C63" s="152" t="s">
        <v>124</v>
      </c>
      <c r="D63" s="152"/>
      <c r="E63" s="146">
        <v>223.72</v>
      </c>
      <c r="F63" s="151"/>
      <c r="G63" s="136" t="s">
        <v>125</v>
      </c>
      <c r="H63" s="136"/>
      <c r="I63" s="146"/>
      <c r="J63" s="146"/>
      <c r="K63" s="146"/>
    </row>
    <row customHeight="1" ht="13.5">
      <c r="A64" s="146"/>
      <c r="B64" s="135"/>
      <c r="C64" s="155" t="s">
        <v>145</v>
      </c>
      <c r="D64" s="155"/>
      <c r="E64" s="146">
        <v>0</v>
      </c>
      <c r="F64" s="151"/>
      <c r="G64" s="136" t="s">
        <v>127</v>
      </c>
      <c r="H64" s="136"/>
      <c r="I64" s="146"/>
      <c r="J64" s="146"/>
      <c r="K64" s="146"/>
    </row>
    <row customHeight="1" ht="13.5">
      <c r="A65" s="146"/>
      <c r="B65" s="135"/>
      <c r="C65" s="156" t="s">
        <v>133</v>
      </c>
      <c r="D65" s="157"/>
      <c r="E65" s="146">
        <v>32.68</v>
      </c>
      <c r="F65" s="151"/>
      <c r="G65" s="158" t="s">
        <v>129</v>
      </c>
      <c r="H65" s="159"/>
      <c r="I65" s="146"/>
      <c r="J65" s="146"/>
      <c r="K65" s="146"/>
    </row>
    <row customHeight="1" ht="13.5">
      <c r="A66" s="146"/>
      <c r="B66" s="135"/>
      <c r="C66" s="160" t="s">
        <v>130</v>
      </c>
      <c r="D66" s="160"/>
      <c r="E66" s="146">
        <v>0</v>
      </c>
      <c r="F66" s="151"/>
      <c r="G66" s="136" t="s">
        <v>132</v>
      </c>
      <c r="H66" s="136"/>
      <c r="I66" s="146"/>
      <c r="J66" s="146"/>
      <c r="K66" s="146"/>
    </row>
    <row customHeight="1" ht="13.5">
      <c r="A67" s="146"/>
      <c r="B67" s="135"/>
      <c r="C67" s="136" t="s">
        <v>126</v>
      </c>
      <c r="D67" s="136"/>
      <c r="E67" s="146">
        <f>_xlfn.IFERROR(SUM(E91,E92),"")</f>
        <v>0</v>
      </c>
      <c r="F67" s="151"/>
      <c r="G67" s="136" t="s">
        <v>134</v>
      </c>
      <c r="H67" s="136"/>
      <c r="I67" s="146"/>
      <c r="J67" s="146"/>
      <c r="K67" s="146"/>
    </row>
    <row customHeight="1" ht="13.5">
      <c r="A68" s="146"/>
      <c r="B68" s="135"/>
      <c r="C68" s="136" t="s">
        <v>128</v>
      </c>
      <c r="D68" s="136"/>
      <c r="E68" s="146">
        <v>32.64</v>
      </c>
      <c r="F68" s="151"/>
      <c r="G68" s="136" t="s">
        <v>136</v>
      </c>
      <c r="H68" s="136"/>
      <c r="I68" s="146"/>
      <c r="J68" s="146"/>
      <c r="K68" s="146"/>
    </row>
    <row customHeight="1" ht="13.5">
      <c r="A69" s="146"/>
      <c r="B69" s="135"/>
      <c r="C69" s="136" t="s">
        <v>131</v>
      </c>
      <c r="D69" s="136"/>
      <c r="E69" s="146">
        <v>0</v>
      </c>
      <c r="F69" s="161"/>
      <c r="G69" s="136" t="s">
        <v>138</v>
      </c>
      <c r="H69" s="136"/>
      <c r="I69" s="146"/>
      <c r="J69" s="146"/>
      <c r="K69" s="146"/>
    </row>
    <row customHeight="1" ht="13.5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</row>
    <row customHeight="1" ht="13.5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</row>
    <row customHeight="1" ht="13.5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</row>
    <row customHeight="1" ht="15">
      <c r="A73" s="146"/>
      <c r="B73" s="146"/>
      <c r="C73" s="146"/>
      <c r="D73" s="146"/>
      <c r="E73" s="146">
        <v>0</v>
      </c>
      <c r="F73" s="146"/>
      <c r="G73" s="146"/>
      <c r="H73" s="146"/>
      <c r="I73" s="162">
        <v>80.35</v>
      </c>
      <c r="J73" s="146"/>
      <c r="K73" s="146"/>
    </row>
    <row customHeight="1" ht="15">
      <c r="A74" s="146"/>
      <c r="B74" s="146"/>
      <c r="C74" s="146"/>
      <c r="D74" s="146"/>
      <c r="E74" s="146">
        <v>0</v>
      </c>
      <c r="F74" s="146"/>
      <c r="G74" s="146"/>
      <c r="H74" s="146"/>
      <c r="I74" s="162">
        <v>76.73</v>
      </c>
      <c r="J74" s="146"/>
      <c r="K74" s="146"/>
    </row>
    <row customHeight="1" ht="15">
      <c r="A75" s="146"/>
      <c r="B75" s="146"/>
      <c r="C75" s="146"/>
      <c r="D75" s="146"/>
      <c r="E75" s="146">
        <v>1953</v>
      </c>
      <c r="F75" s="146"/>
      <c r="G75" s="146"/>
      <c r="H75" s="146"/>
      <c r="I75" s="162">
        <v>79.47</v>
      </c>
      <c r="J75" s="146"/>
      <c r="K75" s="146"/>
    </row>
    <row customHeight="1" ht="13.5">
      <c r="A76" s="146"/>
      <c r="B76" s="146"/>
      <c r="C76" s="146"/>
      <c r="D76" s="146"/>
      <c r="E76" s="146">
        <v>0</v>
      </c>
      <c r="F76" s="146"/>
      <c r="G76" s="146"/>
      <c r="H76" s="146"/>
      <c r="I76" s="146"/>
      <c r="J76" s="146"/>
      <c r="K76" s="146"/>
    </row>
    <row customHeight="1" ht="13.5">
      <c r="A77" s="146"/>
      <c r="B77" s="146"/>
      <c r="C77" s="146"/>
      <c r="D77" s="146"/>
      <c r="E77" s="146">
        <v>0</v>
      </c>
      <c r="F77" s="146"/>
      <c r="G77" s="146"/>
      <c r="H77" s="146"/>
      <c r="I77" s="146"/>
      <c r="J77" s="146"/>
      <c r="K77" s="146"/>
    </row>
    <row customHeight="1" ht="15">
      <c r="A78" s="146"/>
      <c r="B78" s="146"/>
      <c r="C78" s="146"/>
      <c r="D78" s="146"/>
      <c r="E78" s="146">
        <v>0</v>
      </c>
      <c r="F78" s="146"/>
      <c r="G78" s="146"/>
      <c r="H78" s="146"/>
      <c r="I78" s="162">
        <v>57</v>
      </c>
      <c r="J78" s="146"/>
      <c r="K78" s="146"/>
    </row>
    <row customHeight="1" ht="15">
      <c r="A79" s="146"/>
      <c r="B79" s="146"/>
      <c r="C79" s="146"/>
      <c r="D79" s="146"/>
      <c r="E79" s="146"/>
      <c r="F79" s="146"/>
      <c r="G79" s="146"/>
      <c r="H79" s="146"/>
      <c r="I79" s="162">
        <v>62</v>
      </c>
      <c r="J79" s="146"/>
      <c r="K79" s="146"/>
    </row>
    <row customHeight="1" ht="15">
      <c r="A80" s="146"/>
      <c r="B80" s="146"/>
      <c r="C80" s="146"/>
      <c r="D80" s="146"/>
      <c r="E80" s="146"/>
      <c r="F80" s="146"/>
      <c r="G80" s="146"/>
      <c r="H80" s="146"/>
      <c r="I80" s="162">
        <v>59</v>
      </c>
      <c r="J80" s="146"/>
      <c r="K80" s="146"/>
    </row>
    <row customHeight="1" ht="15">
      <c r="A81" s="146"/>
      <c r="B81" s="146"/>
      <c r="C81" s="146"/>
      <c r="D81" s="146"/>
      <c r="E81" s="154">
        <v>155.59</v>
      </c>
      <c r="F81" s="146"/>
      <c r="G81" s="146"/>
      <c r="H81" s="146"/>
      <c r="I81" s="146"/>
      <c r="J81" s="146"/>
      <c r="K81" s="146"/>
    </row>
    <row customHeight="1" ht="15">
      <c r="A82" s="146"/>
      <c r="B82" s="146"/>
      <c r="C82" s="146"/>
      <c r="D82" s="146"/>
      <c r="E82" s="154">
        <v>139</v>
      </c>
      <c r="F82" s="146"/>
      <c r="G82" s="146"/>
      <c r="H82" s="146"/>
      <c r="I82" s="163">
        <v>7</v>
      </c>
      <c r="J82" s="146"/>
      <c r="K82" s="146"/>
    </row>
    <row customHeight="1" ht="15">
      <c r="A83" s="146"/>
      <c r="B83" s="146"/>
      <c r="C83" s="146"/>
      <c r="D83" s="146"/>
      <c r="E83" s="154">
        <v>155</v>
      </c>
      <c r="F83" s="146"/>
      <c r="G83" s="146"/>
      <c r="H83" s="146"/>
      <c r="I83" s="163">
        <v>7</v>
      </c>
      <c r="J83" s="146"/>
      <c r="K83" s="146"/>
    </row>
    <row customHeight="1" ht="15">
      <c r="A84" s="146"/>
      <c r="B84" s="146"/>
      <c r="C84" s="146"/>
      <c r="D84" s="146"/>
      <c r="E84" s="146"/>
      <c r="F84" s="146"/>
      <c r="G84" s="146"/>
      <c r="H84" s="146"/>
      <c r="I84" s="163">
        <v>5.4</v>
      </c>
      <c r="J84" s="146"/>
      <c r="K84" s="146"/>
    </row>
    <row customHeight="1" ht="13.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</row>
    <row customHeight="1" ht="15">
      <c r="A86" s="146"/>
      <c r="B86" s="146"/>
      <c r="C86" s="146"/>
      <c r="D86" s="146"/>
      <c r="E86" s="164">
        <v>230932</v>
      </c>
      <c r="F86" s="146"/>
      <c r="G86" s="146"/>
      <c r="H86" s="146"/>
      <c r="I86" s="146"/>
      <c r="J86" s="146"/>
      <c r="K86" s="146"/>
    </row>
    <row customHeight="1" ht="15">
      <c r="A87" s="146"/>
      <c r="B87" s="146"/>
      <c r="C87" s="146"/>
      <c r="D87" s="146"/>
      <c r="E87" s="164">
        <v>179279</v>
      </c>
      <c r="F87" s="146"/>
      <c r="G87" s="146"/>
      <c r="H87" s="146"/>
      <c r="I87" s="163">
        <v>0</v>
      </c>
      <c r="J87" s="146"/>
      <c r="K87" s="146"/>
    </row>
    <row customHeight="1" ht="15">
      <c r="A88" s="146"/>
      <c r="B88" s="146"/>
      <c r="C88" s="146"/>
      <c r="D88" s="146"/>
      <c r="E88" s="164">
        <v>233789</v>
      </c>
      <c r="F88" s="146"/>
      <c r="G88" s="146"/>
      <c r="H88" s="146"/>
      <c r="I88" s="163">
        <v>0</v>
      </c>
      <c r="J88" s="146"/>
      <c r="K88" s="146"/>
    </row>
    <row customHeight="1" ht="15">
      <c r="A89" s="146"/>
      <c r="B89" s="146"/>
      <c r="C89" s="146"/>
      <c r="D89" s="146"/>
      <c r="E89" s="146"/>
      <c r="F89" s="146"/>
      <c r="G89" s="146"/>
      <c r="H89" s="146"/>
      <c r="I89" s="163">
        <v>0</v>
      </c>
      <c r="J89" s="146"/>
      <c r="K89" s="146"/>
    </row>
    <row customHeight="1" ht="13.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</row>
    <row customHeight="1" ht="15">
      <c r="A91" s="146"/>
      <c r="B91" s="146"/>
      <c r="C91" s="146"/>
      <c r="D91" s="146"/>
      <c r="E91" s="165">
        <v>0</v>
      </c>
      <c r="F91" s="146"/>
      <c r="G91" s="146"/>
      <c r="H91" s="146"/>
      <c r="I91" s="146"/>
      <c r="J91" s="146"/>
      <c r="K91" s="146"/>
    </row>
    <row customHeight="1" ht="15">
      <c r="A92" s="146"/>
      <c r="B92" s="146"/>
      <c r="C92" s="146"/>
      <c r="D92" s="146"/>
      <c r="E92" s="165"/>
      <c r="F92" s="146"/>
      <c r="G92" s="146"/>
      <c r="H92" s="146"/>
      <c r="I92" s="146"/>
      <c r="J92" s="146"/>
      <c r="K92" s="146"/>
    </row>
    <row customHeight="1" ht="13.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</row>
    <row customHeight="1" ht="13.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</row>
    <row customHeight="1" ht="13.5">
      <c r="A95" s="146"/>
      <c r="B95" s="146"/>
      <c r="C95" s="146"/>
      <c r="D95" s="146"/>
      <c r="E95" s="146"/>
      <c r="F95" s="146"/>
      <c r="G95" s="146"/>
      <c r="H95" s="146"/>
      <c r="I95" s="146">
        <v>8.387984</v>
      </c>
      <c r="J95" s="146">
        <v>844.6699888</v>
      </c>
      <c r="K95" s="146">
        <v>0.7619019</v>
      </c>
    </row>
    <row customHeight="1" ht="13.5">
      <c r="A96" s="146"/>
      <c r="B96" s="146"/>
      <c r="C96" s="146"/>
      <c r="D96" s="146"/>
      <c r="E96" s="146"/>
      <c r="F96" s="146"/>
      <c r="G96" s="146"/>
      <c r="H96" s="146"/>
      <c r="I96" s="146">
        <v>1.265598</v>
      </c>
      <c r="J96" s="146">
        <v>127.4457186</v>
      </c>
      <c r="K96" s="146">
        <v>0.106399</v>
      </c>
    </row>
    <row customHeight="1" ht="13.5">
      <c r="A97" s="146"/>
      <c r="B97" s="146"/>
      <c r="C97" s="146"/>
      <c r="D97" s="146"/>
      <c r="E97" s="146"/>
      <c r="F97" s="146"/>
      <c r="G97" s="146"/>
      <c r="H97" s="146"/>
      <c r="I97" s="146">
        <v>2.179819</v>
      </c>
      <c r="J97" s="146">
        <v>219.5077733</v>
      </c>
      <c r="K97" s="146">
        <v>0.1896973</v>
      </c>
    </row>
    <row customHeight="1" ht="13.5">
      <c r="A98" s="146"/>
      <c r="B98" s="146"/>
      <c r="C98" s="146"/>
      <c r="D98" s="146"/>
      <c r="E98" s="146"/>
      <c r="F98" s="146"/>
      <c r="G98" s="146"/>
      <c r="H98" s="146"/>
      <c r="I98" s="146">
        <v>5.763969</v>
      </c>
      <c r="J98" s="146">
        <v>580.4316783</v>
      </c>
      <c r="K98" s="146">
        <v>0.5166664</v>
      </c>
    </row>
    <row customHeight="1" ht="13.5">
      <c r="A99" s="146"/>
      <c r="B99" s="146"/>
      <c r="C99" s="146"/>
      <c r="D99" s="146"/>
      <c r="E99" s="146"/>
      <c r="F99" s="146"/>
      <c r="G99" s="146"/>
      <c r="H99" s="146"/>
      <c r="I99" s="146">
        <v>5.878417</v>
      </c>
      <c r="J99" s="146">
        <v>591.9565919</v>
      </c>
      <c r="K99" s="146">
        <v>0.5277252</v>
      </c>
    </row>
    <row customHeight="1" ht="13.5">
      <c r="A100" s="146"/>
      <c r="B100" s="146"/>
      <c r="C100" s="146"/>
      <c r="D100" s="146"/>
      <c r="E100" s="146"/>
      <c r="F100" s="146"/>
      <c r="G100" s="146"/>
      <c r="H100" s="146"/>
      <c r="I100" s="146">
        <v>7.662483</v>
      </c>
      <c r="J100" s="146">
        <v>771.6120381</v>
      </c>
      <c r="K100" s="146">
        <v>0.6864474</v>
      </c>
    </row>
  </sheetData>
  <mergeCells count="32">
    <mergeCell ref="C56:D56"/>
    <mergeCell ref="G56:H56"/>
    <mergeCell ref="C57:D57"/>
    <mergeCell ref="G57:H57"/>
    <mergeCell ref="C58:D58"/>
    <mergeCell ref="G58:H58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B56:B61"/>
    <mergeCell ref="B62:B69"/>
    <mergeCell ref="F56:F60"/>
    <mergeCell ref="F61:F69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油田气物料动态台账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梦太晚.</cp:lastModifiedBy>
  <dcterms:created xsi:type="dcterms:W3CDTF">2006-09-16T00:00:00Z</dcterms:created>
  <dcterms:modified xsi:type="dcterms:W3CDTF">2025-03-01T15:12:43Z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17A4633BC22B4FB8A5618993F351AD14_12</vt:lpwstr>
  </property>
  <property fmtid="{D5CDD505-2E9C-101B-9397-08002B2CF9AE}" pid="3" name="KSOProductBuildVer">
    <vt:lpwstr>2052-12.1.0.20305</vt:lpwstr>
  </property>
</Properties>
</file>