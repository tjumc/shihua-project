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  <sheet name="公式" sheetId="2" state="hidden" r:id="rId3"/>
    <sheet name="取值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" authorId="0">
      <text>
        <r>
          <rPr>
            <sz val="9"/>
            <color indexed="81"/>
            <rFont val="宋体"/>
            <family val="2"/>
          </rPr>
          <t>#Input("榆炼_调度_220万吨/年常压_原油",":key{{dw}}")</t>
        </r>
      </text>
    </comment>
    <comment ref="E6" authorId="0">
      <text>
        <r>
          <rPr>
            <sz val="9"/>
            <color indexed="81"/>
            <rFont val="宋体"/>
            <family val="2"/>
          </rPr>
          <t xml:space="preserve">#Input("榆炼_调度_500万吨/年常压_原油",":key{{dw}}")
</t>
        </r>
      </text>
    </comment>
    <comment ref="I6" authorId="0">
      <text>
        <r>
          <rPr>
            <sz val="9"/>
            <color indexed="81"/>
            <rFont val="宋体"/>
            <family val="2"/>
          </rPr>
          <t xml:space="preserve">#Input("榆炼_调度_500万吨/年常压_饱和液化气",":key{{dw}}")
</t>
        </r>
      </text>
    </comment>
    <comment ref="K6" authorId="0">
      <text>
        <r>
          <rPr>
            <sz val="9"/>
            <color indexed="81"/>
            <rFont val="宋体"/>
            <family val="2"/>
          </rPr>
          <t xml:space="preserve">#Input("榆炼_调度_30万吨/年航煤_原料油",":key{{dw}}")
</t>
        </r>
      </text>
    </comment>
    <comment ref="N6" authorId="0">
      <text>
        <r>
          <rPr>
            <sz val="9"/>
            <color indexed="81"/>
            <rFont val="宋体"/>
            <family val="2"/>
          </rPr>
          <t xml:space="preserve">#Input("榆炼_调度_60万吨/年催化_原料油",":key{{dw}}")
</t>
        </r>
      </text>
    </comment>
    <comment ref="P6" authorId="0">
      <text>
        <r>
          <rPr>
            <sz val="9"/>
            <color indexed="81"/>
            <rFont val="宋体"/>
            <family val="2"/>
          </rPr>
          <t xml:space="preserve">#Input("榆炼_调度_180万吨/年催化_原料油",":key{{dw}}")
</t>
        </r>
      </text>
    </comment>
    <comment ref="C7" authorId="0">
      <text>
        <r>
          <rPr>
            <sz val="9"/>
            <color indexed="81"/>
            <rFont val="宋体"/>
            <family val="2"/>
          </rPr>
          <t>#Input("榆炼_调度_220万吨/年常压_石脑油",":key{{dw}}")</t>
        </r>
      </text>
    </comment>
    <comment ref="E7" authorId="0">
      <text>
        <r>
          <rPr>
            <sz val="9"/>
            <color indexed="81"/>
            <rFont val="宋体"/>
            <family val="2"/>
          </rPr>
          <t>#Input("榆炼_调度_500万吨/年常压_石脑油",":key{{dw}}")</t>
        </r>
      </text>
    </comment>
    <comment ref="K7" authorId="0">
      <text>
        <r>
          <rPr>
            <sz val="9"/>
            <color indexed="81"/>
            <rFont val="宋体"/>
            <family val="2"/>
          </rPr>
          <t xml:space="preserve">#Input("榆炼_调度_30万吨/年航煤_氢气",":key{{dw}}")
</t>
        </r>
      </text>
    </comment>
    <comment ref="N7" authorId="0">
      <text>
        <r>
          <rPr>
            <sz val="9"/>
            <color indexed="81"/>
            <rFont val="宋体"/>
            <family val="2"/>
          </rPr>
          <t xml:space="preserve">#Input("榆炼_调度_60万吨/年催化_其中1#渣油",":key{{dw}}")
</t>
        </r>
      </text>
    </comment>
    <comment ref="P7" authorId="0">
      <text>
        <r>
          <rPr>
            <sz val="9"/>
            <color indexed="81"/>
            <rFont val="宋体"/>
            <family val="2"/>
          </rPr>
          <t xml:space="preserve">#Input("榆炼_调度_180万吨/年催化_其中1#渣油",":key{{dw}}")
</t>
        </r>
      </text>
    </comment>
    <comment ref="C8" authorId="0">
      <text>
        <r>
          <rPr>
            <sz val="9"/>
            <color indexed="81"/>
            <rFont val="宋体"/>
            <family val="2"/>
          </rPr>
          <t>#Input("榆炼_调度_220万吨/年常压_一线柴油",":key{{dw}}")</t>
        </r>
      </text>
    </comment>
    <comment ref="E8" authorId="0">
      <text>
        <r>
          <rPr>
            <sz val="9"/>
            <color indexed="81"/>
            <rFont val="宋体"/>
            <family val="2"/>
          </rPr>
          <t>#Input("榆炼_调度_500万吨/年常压_一线柴油",":key{{dw}}")</t>
        </r>
      </text>
    </comment>
    <comment ref="K8" authorId="0">
      <text>
        <r>
          <rPr>
            <sz val="9"/>
            <color indexed="81"/>
            <rFont val="宋体"/>
            <family val="2"/>
          </rPr>
          <t xml:space="preserve">#Input("榆炼_调度_30万吨/年航煤_精致航煤",":key{{dw}}")
</t>
        </r>
      </text>
    </comment>
    <comment ref="N8" authorId="0">
      <text>
        <r>
          <rPr>
            <sz val="9"/>
            <color indexed="81"/>
            <rFont val="宋体"/>
            <family val="2"/>
          </rPr>
          <t xml:space="preserve">#Input("榆炼_调度_60万吨/年催化_汽油",":key{{dw}}")
</t>
        </r>
      </text>
    </comment>
    <comment ref="P8" authorId="0">
      <text>
        <r>
          <rPr>
            <sz val="9"/>
            <color indexed="81"/>
            <rFont val="宋体"/>
            <family val="2"/>
          </rPr>
          <t xml:space="preserve">#Input("榆炼_调度_180万吨/年催化_汽油",":key{{dw}}")
</t>
        </r>
      </text>
    </comment>
    <comment ref="C9" authorId="0">
      <text>
        <r>
          <rPr>
            <sz val="9"/>
            <color indexed="81"/>
            <rFont val="宋体"/>
            <family val="2"/>
          </rPr>
          <t>#Input("榆炼_调度_220万吨/年常压_二线柴油",":key{{dw}}")</t>
        </r>
      </text>
    </comment>
    <comment ref="E9" authorId="0">
      <text>
        <r>
          <rPr>
            <sz val="9"/>
            <color indexed="81"/>
            <rFont val="宋体"/>
            <family val="2"/>
          </rPr>
          <t>#Input("榆炼_调度_500万吨/年常压_二线柴油",":key{{dw}}")</t>
        </r>
      </text>
    </comment>
    <comment ref="K9" authorId="0">
      <text>
        <r>
          <rPr>
            <sz val="9"/>
            <color indexed="81"/>
            <rFont val="宋体"/>
            <family val="2"/>
          </rPr>
          <t xml:space="preserve">#Input("榆炼_调度_30万吨/年航煤_粗石脑油",":key{{dw}}")
</t>
        </r>
      </text>
    </comment>
    <comment ref="N9" authorId="0">
      <text>
        <r>
          <rPr>
            <sz val="9"/>
            <color indexed="81"/>
            <rFont val="宋体"/>
            <family val="2"/>
          </rPr>
          <t xml:space="preserve">#Input("榆炼_调度_60万吨/年催化_柴油",":key{{dw}}")
</t>
        </r>
      </text>
    </comment>
    <comment ref="P9" authorId="0">
      <text>
        <r>
          <rPr>
            <sz val="9"/>
            <color indexed="81"/>
            <rFont val="宋体"/>
            <family val="2"/>
          </rPr>
          <t xml:space="preserve">#Input("榆炼_调度_180万吨/年催化_柴油",":key{{dw}}")
</t>
        </r>
      </text>
    </comment>
    <comment ref="C10" authorId="0">
      <text>
        <r>
          <rPr>
            <sz val="9"/>
            <color indexed="81"/>
            <rFont val="宋体"/>
            <family val="2"/>
          </rPr>
          <t>#Input("榆炼_调度_220万吨/年常压_混合柴油",":key{{dw}}")</t>
        </r>
      </text>
    </comment>
    <comment ref="E10" authorId="0">
      <text>
        <r>
          <rPr>
            <sz val="9"/>
            <color indexed="81"/>
            <rFont val="宋体"/>
            <family val="2"/>
          </rPr>
          <t>#Input("榆炼_调度_500万吨/年常压_混合柴油",":key{{dw}}")</t>
        </r>
      </text>
    </comment>
    <comment ref="N10" authorId="0">
      <text>
        <r>
          <rPr>
            <sz val="9"/>
            <color indexed="81"/>
            <rFont val="宋体"/>
            <family val="2"/>
          </rPr>
          <t xml:space="preserve">#Input("榆炼_调度_60万吨/年催化_液化气",":key{{dw}}")
</t>
        </r>
      </text>
    </comment>
    <comment ref="P10" authorId="0">
      <text>
        <r>
          <rPr>
            <sz val="9"/>
            <color indexed="81"/>
            <rFont val="宋体"/>
            <family val="2"/>
          </rPr>
          <t xml:space="preserve">#Input("榆炼_调度_180万吨/年催化_液化气",":key{{dw}}")
</t>
        </r>
      </text>
    </comment>
    <comment ref="C11" authorId="0">
      <text>
        <r>
          <rPr>
            <sz val="9"/>
            <color indexed="81"/>
            <rFont val="宋体"/>
            <family val="2"/>
          </rPr>
          <t>#Input("榆炼_调度_220万吨/年常压_渣油",":key{{dw}}")</t>
        </r>
      </text>
    </comment>
    <comment ref="E11" authorId="0">
      <text>
        <r>
          <rPr>
            <sz val="9"/>
            <color indexed="81"/>
            <rFont val="宋体"/>
            <family val="2"/>
          </rPr>
          <t>#Input("榆炼_调度_500万吨/年常压_渣油",":key{{dw}}")</t>
        </r>
      </text>
    </comment>
    <comment ref="N11" authorId="0">
      <text>
        <r>
          <rPr>
            <sz val="9"/>
            <color indexed="81"/>
            <rFont val="宋体"/>
            <family val="2"/>
          </rPr>
          <t xml:space="preserve">#Input("榆炼_调度_60万吨/年催化_油浆",":key{{dw}}")
</t>
        </r>
      </text>
    </comment>
    <comment ref="P11" authorId="0">
      <text>
        <r>
          <rPr>
            <sz val="9"/>
            <color indexed="81"/>
            <rFont val="宋体"/>
            <family val="2"/>
          </rPr>
          <t xml:space="preserve">#Input("榆炼_调度_180万吨/年催化_油浆",":key{{dw}}")
</t>
        </r>
      </text>
    </comment>
    <comment ref="C14" authorId="0">
      <text>
        <r>
          <rPr>
            <sz val="9"/>
            <color indexed="81"/>
            <rFont val="宋体"/>
            <family val="2"/>
          </rPr>
          <t>#Input("榆炼_调度_100万吨/年重整_原料油",":key{{dw}}")</t>
        </r>
      </text>
    </comment>
    <comment ref="F14" authorId="0">
      <text>
        <r>
          <rPr>
            <sz val="9"/>
            <color indexed="81"/>
            <rFont val="宋体"/>
            <family val="2"/>
          </rPr>
          <t>#Input("榆炼_调度_90万吨/年汽油精致_原料油",":key{{dw}}")</t>
        </r>
      </text>
    </comment>
    <comment ref="J14" authorId="0">
      <text>
        <r>
          <rPr>
            <sz val="9"/>
            <color indexed="81"/>
            <rFont val="宋体"/>
            <family val="2"/>
          </rPr>
          <t>#Input("榆炼_调度_200万吨/年加氢_原料油",":key{{dw}}")</t>
        </r>
      </text>
    </comment>
    <comment ref="M14" authorId="0">
      <text>
        <r>
          <rPr>
            <sz val="9"/>
            <color indexed="81"/>
            <rFont val="宋体"/>
            <family val="2"/>
          </rPr>
          <t>#Input("榆炼_调度_20万吨/年DCC裂解石脑油_原料油",":key{{dw}}")</t>
        </r>
      </text>
    </comment>
    <comment ref="P14" authorId="0">
      <text>
        <r>
          <rPr>
            <sz val="9"/>
            <color indexed="81"/>
            <rFont val="宋体"/>
            <family val="2"/>
          </rPr>
          <t>#Input("榆炼_调度_20万吨/年DCC裂解轻油_原料油",":key{{dw}}")</t>
        </r>
      </text>
    </comment>
    <comment ref="S14" authorId="0">
      <text>
        <r>
          <rPr>
            <sz val="9"/>
            <color indexed="81"/>
            <rFont val="宋体"/>
            <family val="2"/>
          </rPr>
          <t>#Input("榆炼_调度_20万吨/年苯抽提_原料油",":key{{dw}}")</t>
        </r>
      </text>
    </comment>
    <comment ref="C15" authorId="0">
      <text>
        <r>
          <rPr>
            <sz val="9"/>
            <color indexed="81"/>
            <rFont val="宋体"/>
            <family val="2"/>
          </rPr>
          <t>#Input("榆炼_调度_100万吨/年重整_汽油",":key{{dw}}")</t>
        </r>
      </text>
    </comment>
    <comment ref="F15" authorId="0">
      <text>
        <r>
          <rPr>
            <sz val="9"/>
            <color indexed="81"/>
            <rFont val="宋体"/>
            <family val="2"/>
          </rPr>
          <t>#Input("榆炼_调度_90万吨/年汽油精致_氢气",":key{{dw}}")</t>
        </r>
      </text>
    </comment>
    <comment ref="J15" authorId="0">
      <text>
        <r>
          <rPr>
            <sz val="9"/>
            <color indexed="81"/>
            <rFont val="宋体"/>
            <family val="2"/>
          </rPr>
          <t>#Input("榆炼_调度_200万吨/年加氢_精致柴油",":key{{dw}}")</t>
        </r>
      </text>
    </comment>
    <comment ref="M15" authorId="0">
      <text>
        <r>
          <rPr>
            <sz val="9"/>
            <color indexed="81"/>
            <rFont val="宋体"/>
            <family val="2"/>
          </rPr>
          <t>#Input("榆炼_调度_20万吨/年DCC裂解石脑油_脱戊烷油",":key{{dw}}")</t>
        </r>
      </text>
    </comment>
    <comment ref="P15" authorId="0">
      <text>
        <r>
          <rPr>
            <sz val="9"/>
            <color indexed="81"/>
            <rFont val="宋体"/>
            <family val="2"/>
          </rPr>
          <t>#Input("榆炼_调度_20万吨/年DCC裂解轻油_柴油",":key{{dw}}")</t>
        </r>
      </text>
    </comment>
    <comment ref="S15" authorId="0">
      <text>
        <r>
          <rPr>
            <sz val="9"/>
            <color indexed="81"/>
            <rFont val="宋体"/>
            <family val="2"/>
          </rPr>
          <t>#Input("榆炼_调度_20万吨/年苯抽提_轻汽油",":key{{dw}}")</t>
        </r>
      </text>
    </comment>
    <comment ref="C16" authorId="0">
      <text>
        <r>
          <rPr>
            <sz val="9"/>
            <color indexed="81"/>
            <rFont val="宋体"/>
            <family val="2"/>
          </rPr>
          <t>#Input("榆炼_调度_100万吨/年重整_液化气",":key{{dw}}")</t>
        </r>
      </text>
    </comment>
    <comment ref="F16" authorId="0">
      <text>
        <r>
          <rPr>
            <sz val="9"/>
            <color indexed="81"/>
            <rFont val="宋体"/>
            <family val="2"/>
          </rPr>
          <t>#Input("榆炼_调度_90万吨/年汽油精致_精致汽油",":key{{dw}}")</t>
        </r>
      </text>
    </comment>
    <comment ref="J16" authorId="0">
      <text>
        <r>
          <rPr>
            <sz val="9"/>
            <color indexed="81"/>
            <rFont val="宋体"/>
            <family val="2"/>
          </rPr>
          <t>#Input("榆炼_调度_200万吨/年加氢_粗汽油",":key{{dw}}")</t>
        </r>
      </text>
    </comment>
    <comment ref="M16" authorId="0">
      <text>
        <r>
          <rPr>
            <sz val="9"/>
            <color indexed="81"/>
            <rFont val="宋体"/>
            <family val="2"/>
          </rPr>
          <t>#Input("榆炼_调度_20万吨/年DCC裂解石脑油_C5馏分油",":key{{dw}}")</t>
        </r>
      </text>
    </comment>
    <comment ref="P16" authorId="0">
      <text>
        <r>
          <rPr>
            <sz val="9"/>
            <color indexed="81"/>
            <rFont val="宋体"/>
            <family val="2"/>
          </rPr>
          <t>#Input("榆炼_调度_20万吨/年DCC裂解轻油_粗汽油",":key{{dw}}")</t>
        </r>
      </text>
    </comment>
    <comment ref="S16" authorId="0">
      <text>
        <r>
          <rPr>
            <sz val="9"/>
            <color indexed="81"/>
            <rFont val="宋体"/>
            <family val="2"/>
          </rPr>
          <t>#Input("榆炼_调度_20万吨/年苯抽提_苯",":key{{dw}}")</t>
        </r>
      </text>
    </comment>
    <comment ref="C17" authorId="0">
      <text>
        <r>
          <rPr>
            <sz val="9"/>
            <color indexed="81"/>
            <rFont val="宋体"/>
            <family val="2"/>
          </rPr>
          <t>#Input("榆炼_调度_100万吨/年重整_混合二甲苯",":key{{dw}}")</t>
        </r>
      </text>
    </comment>
    <comment ref="F17" authorId="0">
      <text>
        <r>
          <rPr>
            <sz val="9"/>
            <color indexed="81"/>
            <rFont val="宋体"/>
            <family val="2"/>
          </rPr>
          <t>#Input("榆炼_调度_90万吨/年汽油精致_轻烃液",":key{{dw}}")</t>
        </r>
      </text>
    </comment>
    <comment ref="J17" authorId="0">
      <text>
        <r>
          <rPr>
            <sz val="9"/>
            <color indexed="81"/>
            <rFont val="宋体"/>
            <family val="2"/>
          </rPr>
          <t>#Input("榆炼_调度_200万吨/年加氢_液化气",":key{{dw}}")</t>
        </r>
      </text>
    </comment>
    <comment ref="C18" authorId="0">
      <text>
        <r>
          <rPr>
            <sz val="9"/>
            <color indexed="81"/>
            <rFont val="宋体"/>
            <family val="2"/>
          </rPr>
          <t>#Input("榆炼_调度_100万吨/年重整_含氢气体",":key{{dw}}")</t>
        </r>
      </text>
    </comment>
    <comment ref="F18" authorId="0">
      <text>
        <r>
          <rPr>
            <sz val="9"/>
            <color indexed="81"/>
            <rFont val="宋体"/>
            <family val="2"/>
          </rPr>
          <t>#Input("榆炼_调度_90万吨/年汽油精致_轻烃气",":key{{dw}}")</t>
        </r>
      </text>
    </comment>
    <comment ref="C21" authorId="0">
      <text>
        <r>
          <rPr>
            <sz val="9"/>
            <color indexed="81"/>
            <rFont val="宋体"/>
            <family val="2"/>
          </rPr>
          <t>#Input("榆炼_调度_调入原油_原油入库",":key{{dw}}")</t>
        </r>
      </text>
    </comment>
    <comment ref="F21" authorId="0">
      <text>
        <r>
          <rPr>
            <sz val="9"/>
            <color indexed="81"/>
            <rFont val="宋体"/>
            <family val="2"/>
          </rPr>
          <t>#Input("榆炼_调度_原料库存_当日_原油",":key{{dw}}")</t>
        </r>
      </text>
    </comment>
    <comment ref="G21" authorId="0">
      <text>
        <r>
          <rPr>
            <sz val="9"/>
            <color indexed="81"/>
            <rFont val="宋体"/>
            <family val="2"/>
          </rPr>
          <t>#Input("榆炼_调度_原料库存_安全库存_原油",":key{{dw}}")</t>
        </r>
      </text>
    </comment>
    <comment ref="I21" authorId="0">
      <text>
        <r>
          <rPr>
            <sz val="9"/>
            <color indexed="81"/>
            <rFont val="宋体"/>
            <family val="2"/>
          </rPr>
          <t>#Input("榆炼_调度_原料油气挑拨_1#渣油_调和",":key{{dw}}")</t>
        </r>
      </text>
    </comment>
    <comment ref="J21" authorId="0">
      <text>
        <r>
          <rPr>
            <sz val="9"/>
            <color indexed="81"/>
            <rFont val="宋体"/>
            <family val="2"/>
          </rPr>
          <t>#Input("榆炼_调度_原料油气挑拨_1#渣油_外销",":key{{dw}}")</t>
        </r>
      </text>
    </comment>
    <comment ref="K21" authorId="0">
      <text>
        <r>
          <rPr>
            <sz val="9"/>
            <color indexed="81"/>
            <rFont val="宋体"/>
            <family val="2"/>
          </rPr>
          <t>#Input("榆炼_调度_原料油气挑拨_1#渣油_外购",":key{{dw}}")</t>
        </r>
      </text>
    </comment>
    <comment ref="L21" authorId="0">
      <text>
        <r>
          <rPr>
            <sz val="9"/>
            <color indexed="81"/>
            <rFont val="宋体"/>
            <family val="2"/>
          </rPr>
          <t>#Input("榆炼_调度_原料油气挑拨_1#渣油_内部调入",":key{{dw}}")</t>
        </r>
      </text>
    </comment>
    <comment ref="M21" authorId="0">
      <text>
        <r>
          <rPr>
            <sz val="9"/>
            <color indexed="81"/>
            <rFont val="宋体"/>
            <family val="2"/>
          </rPr>
          <t>#Input("榆炼_调度_原料油气挑拨_1#渣油_内部调出",":key{{dw}}")</t>
        </r>
      </text>
    </comment>
    <comment ref="N21" authorId="0">
      <text>
        <r>
          <rPr>
            <sz val="9"/>
            <color indexed="81"/>
            <rFont val="宋体"/>
            <family val="2"/>
          </rPr>
          <t>#Input("榆炼_调度_原料油气挑拨_1#渣油_库存",":key{{dw}}")</t>
        </r>
      </text>
    </comment>
    <comment ref="C22" authorId="0">
      <text>
        <r>
          <rPr>
            <sz val="9"/>
            <color indexed="81"/>
            <rFont val="宋体"/>
            <family val="2"/>
          </rPr>
          <t>#Input("榆炼_调度_调入原油_长庆原油",":key{{dw}}")</t>
        </r>
      </text>
    </comment>
    <comment ref="F22" authorId="0">
      <text>
        <r>
          <rPr>
            <sz val="9"/>
            <color indexed="81"/>
            <rFont val="宋体"/>
            <family val="2"/>
          </rPr>
          <t>#Input("榆炼_调度_原料库存_当日_1#渣油",":key{{dw}}")</t>
        </r>
      </text>
    </comment>
    <comment ref="G22" authorId="0">
      <text>
        <r>
          <rPr>
            <sz val="9"/>
            <color indexed="81"/>
            <rFont val="宋体"/>
            <family val="2"/>
          </rPr>
          <t>#Input("榆炼_调度_原料库存_安全库存_1#渣油",":key{{dw}}")</t>
        </r>
      </text>
    </comment>
    <comment ref="I22" authorId="0">
      <text>
        <r>
          <rPr>
            <sz val="9"/>
            <color indexed="81"/>
            <rFont val="宋体"/>
            <family val="2"/>
          </rPr>
          <t>#Input("榆炼_调度_原料油气挑拨_石脑油_调和",":key{{dw}}")</t>
        </r>
      </text>
    </comment>
    <comment ref="J22" authorId="0">
      <text>
        <r>
          <rPr>
            <sz val="9"/>
            <color indexed="81"/>
            <rFont val="宋体"/>
            <family val="2"/>
          </rPr>
          <t>#Input("榆炼_调度_原料油气挑拨_石脑油_外销",":key{{dw}}")</t>
        </r>
      </text>
    </comment>
    <comment ref="K22" authorId="0">
      <text>
        <r>
          <rPr>
            <sz val="9"/>
            <color indexed="81"/>
            <rFont val="宋体"/>
            <family val="2"/>
          </rPr>
          <t>#Input("榆炼_调度_原料油气挑拨_石脑油_外购",":key{{dw}}")</t>
        </r>
      </text>
    </comment>
    <comment ref="L22" authorId="0">
      <text>
        <r>
          <rPr>
            <sz val="9"/>
            <color indexed="81"/>
            <rFont val="宋体"/>
            <family val="2"/>
          </rPr>
          <t>#Input("榆炼_调度_原料油气挑拨_石脑油_内部调入",":key{{dw}}")</t>
        </r>
      </text>
    </comment>
    <comment ref="M22" authorId="0">
      <text>
        <r>
          <rPr>
            <sz val="9"/>
            <color indexed="81"/>
            <rFont val="宋体"/>
            <family val="2"/>
          </rPr>
          <t>#Input("榆炼_调度_原料油气挑拨_石脑油_内部调出",":key{{dw}}")</t>
        </r>
      </text>
    </comment>
    <comment ref="N22" authorId="0">
      <text>
        <r>
          <rPr>
            <sz val="9"/>
            <color indexed="81"/>
            <rFont val="宋体"/>
            <family val="2"/>
          </rPr>
          <t>#Input("榆炼_调度_原料油气挑拨_石脑油_库存",":key{{dw}}")</t>
        </r>
      </text>
    </comment>
    <comment ref="P22" authorId="0">
      <text>
        <r>
          <rPr>
            <sz val="9"/>
            <color indexed="81"/>
            <rFont val="宋体"/>
            <family val="2"/>
          </rPr>
          <t>#Input("榆炼_调度_销售及成品库存_92#汽油_公路量",":key{{dw}}")</t>
        </r>
      </text>
    </comment>
    <comment ref="Q22" authorId="0">
      <text>
        <r>
          <rPr>
            <sz val="9"/>
            <color indexed="81"/>
            <rFont val="宋体"/>
            <family val="2"/>
          </rPr>
          <t>#Input("榆炼_调度_销售及成品库存_92#汽油_管输量",":key{{dw}}")</t>
        </r>
      </text>
    </comment>
    <comment ref="R22" authorId="0">
      <text>
        <r>
          <rPr>
            <sz val="9"/>
            <color indexed="81"/>
            <rFont val="宋体"/>
            <family val="2"/>
          </rPr>
          <t>#Input("榆炼_调度_销售及成品库存_92#汽油_库存",":key{{dw}}")</t>
        </r>
      </text>
    </comment>
    <comment ref="S22" authorId="0">
      <text>
        <r>
          <rPr>
            <sz val="9"/>
            <color indexed="81"/>
            <rFont val="Arial"/>
            <family val="2"/>
          </rPr>
          <t xml:space="preserve">#Input("榆炼_调度_销售及成品库存_汽油_安全库存",":key{{dw}}")
</t>
        </r>
      </text>
    </comment>
    <comment ref="C23" authorId="0">
      <text>
        <r>
          <rPr>
            <sz val="9"/>
            <color indexed="81"/>
            <rFont val="宋体"/>
            <family val="2"/>
          </rPr>
          <t>#Input("榆炼_调度_调入原油_管输原油",":key{{dw}}")</t>
        </r>
      </text>
    </comment>
    <comment ref="F23" authorId="0">
      <text>
        <r>
          <rPr>
            <sz val="9"/>
            <color indexed="81"/>
            <rFont val="宋体"/>
            <family val="2"/>
          </rPr>
          <t>#Input("榆炼_调度_原料库存_当日_原料液化气",":key{{dw}}")</t>
        </r>
      </text>
    </comment>
    <comment ref="G23" authorId="0">
      <text>
        <r>
          <rPr>
            <sz val="9"/>
            <color indexed="81"/>
            <rFont val="宋体"/>
            <family val="2"/>
          </rPr>
          <t>#Input("榆炼_调度_原料库存_安全库存_原料液化气",":key{{dw}}")</t>
        </r>
      </text>
    </comment>
    <comment ref="I23" authorId="0">
      <text>
        <r>
          <rPr>
            <sz val="9"/>
            <color indexed="81"/>
            <rFont val="宋体"/>
            <family val="2"/>
          </rPr>
          <t>#Input("榆炼_调度_原料油气挑拨_VCC柴油_调和",":key{{dw}}")</t>
        </r>
      </text>
    </comment>
    <comment ref="J23" authorId="0">
      <text>
        <r>
          <rPr>
            <sz val="9"/>
            <color indexed="81"/>
            <rFont val="宋体"/>
            <family val="2"/>
          </rPr>
          <t>#Input("榆炼_调度_原料油气挑拨_VCC柴油_外销",":key{{dw}}")</t>
        </r>
      </text>
    </comment>
    <comment ref="K23" authorId="0">
      <text>
        <r>
          <rPr>
            <sz val="9"/>
            <color indexed="81"/>
            <rFont val="宋体"/>
            <family val="2"/>
          </rPr>
          <t>#Input("榆炼_调度_原料油气挑拨_VCC柴油_外购",":key{{dw}}")</t>
        </r>
      </text>
    </comment>
    <comment ref="L23" authorId="0">
      <text>
        <r>
          <rPr>
            <sz val="9"/>
            <color indexed="81"/>
            <rFont val="宋体"/>
            <family val="2"/>
          </rPr>
          <t>#Input("榆炼_调度_原料油气挑拨_VCC柴油_内部调入",":key{{dw}}")</t>
        </r>
      </text>
    </comment>
    <comment ref="M23" authorId="0">
      <text>
        <r>
          <rPr>
            <sz val="9"/>
            <color indexed="81"/>
            <rFont val="宋体"/>
            <family val="2"/>
          </rPr>
          <t>#Input("榆炼_调度_原料油气挑拨_VCC柴油_内部调出",":key{{dw}}")</t>
        </r>
      </text>
    </comment>
    <comment ref="N23" authorId="0">
      <text>
        <r>
          <rPr>
            <sz val="9"/>
            <color indexed="81"/>
            <rFont val="宋体"/>
            <family val="2"/>
          </rPr>
          <t>#Input("榆炼_调度_原料油气挑拨_VCC柴油_库存",":key{{dw}}")</t>
        </r>
      </text>
    </comment>
    <comment ref="P23" authorId="0">
      <text>
        <r>
          <rPr>
            <sz val="9"/>
            <color indexed="81"/>
            <rFont val="宋体"/>
            <family val="2"/>
          </rPr>
          <t>#Input("榆炼_调度_销售及成品库存_95#汽油_公路量",":key{{dw}}")</t>
        </r>
      </text>
    </comment>
    <comment ref="Q23" authorId="0">
      <text>
        <r>
          <rPr>
            <sz val="9"/>
            <color indexed="81"/>
            <rFont val="宋体"/>
            <family val="2"/>
          </rPr>
          <t>#Input("榆炼_调度_销售及成品库存_95#汽油_管输量",":key{{dw}}")</t>
        </r>
      </text>
    </comment>
    <comment ref="R23" authorId="0">
      <text>
        <r>
          <rPr>
            <sz val="9"/>
            <color indexed="81"/>
            <rFont val="宋体"/>
            <family val="2"/>
          </rPr>
          <t>#Input("榆炼_调度_销售及成品库存_95#汽油_库存",":key{{dw}}")</t>
        </r>
      </text>
    </comment>
    <comment ref="C24" authorId="0">
      <text>
        <r>
          <rPr>
            <sz val="9"/>
            <color indexed="81"/>
            <rFont val="宋体"/>
            <family val="2"/>
          </rPr>
          <t>#Input("榆炼_调度_调入原油_公路原油",":key{{dw}}")</t>
        </r>
      </text>
    </comment>
    <comment ref="F24" authorId="0">
      <text>
        <r>
          <rPr>
            <sz val="9"/>
            <color indexed="81"/>
            <rFont val="宋体"/>
            <family val="2"/>
          </rPr>
          <t>#Input("榆炼_调度_原料库存_当日_重整原料",":key{{dw}}")</t>
        </r>
      </text>
    </comment>
    <comment ref="G24" authorId="0">
      <text>
        <r>
          <rPr>
            <sz val="9"/>
            <color indexed="81"/>
            <rFont val="宋体"/>
            <family val="2"/>
          </rPr>
          <t>#Input("榆炼_调度_原料库存_安全库存_重整原料",":key{{dw}}")</t>
        </r>
      </text>
    </comment>
    <comment ref="I24" authorId="0">
      <text>
        <r>
          <rPr>
            <sz val="9"/>
            <color indexed="81"/>
            <rFont val="宋体"/>
            <family val="2"/>
          </rPr>
          <t>#Input("榆炼_调度_原料油气挑拨_原料液化气_调和",":key{{dw}}")</t>
        </r>
      </text>
    </comment>
    <comment ref="J24" authorId="0">
      <text>
        <r>
          <rPr>
            <sz val="9"/>
            <color indexed="81"/>
            <rFont val="宋体"/>
            <family val="2"/>
          </rPr>
          <t>#Input("榆炼_调度_原料油气挑拨_原料液化气_外销",":key{{dw}}")</t>
        </r>
      </text>
    </comment>
    <comment ref="K24" authorId="0">
      <text>
        <r>
          <rPr>
            <sz val="9"/>
            <color indexed="81"/>
            <rFont val="宋体"/>
            <family val="2"/>
          </rPr>
          <t>#Input("榆炼_调度_原料油气挑拨_原料液化气_外购",":key{{dw}}")</t>
        </r>
      </text>
    </comment>
    <comment ref="L24" authorId="0">
      <text>
        <r>
          <rPr>
            <sz val="9"/>
            <color indexed="81"/>
            <rFont val="宋体"/>
            <family val="2"/>
          </rPr>
          <t>#Input("榆炼_调度_原料油气挑拨_原料液化气_内部调入",":key{{dw}}")</t>
        </r>
      </text>
    </comment>
    <comment ref="M24" authorId="0">
      <text>
        <r>
          <rPr>
            <sz val="9"/>
            <color indexed="81"/>
            <rFont val="宋体"/>
            <family val="2"/>
          </rPr>
          <t>#Input("榆炼_调度_原料油气挑拨_原料液化气_内部调出",":key{{dw}}")</t>
        </r>
      </text>
    </comment>
    <comment ref="N24" authorId="0">
      <text>
        <r>
          <rPr>
            <sz val="9"/>
            <color indexed="81"/>
            <rFont val="宋体"/>
            <family val="2"/>
          </rPr>
          <t>#Input("榆炼_调度_原料油气挑拨_原料液化气_库存",":key{{dw}}")</t>
        </r>
      </text>
    </comment>
    <comment ref="P24" authorId="0">
      <text>
        <r>
          <rPr>
            <sz val="9"/>
            <color indexed="81"/>
            <rFont val="宋体"/>
            <family val="2"/>
          </rPr>
          <t>#Input("榆炼_调度_销售及成品库存_集运汽油_公路量",":key{{dw}}")</t>
        </r>
      </text>
    </comment>
    <comment ref="Q24" authorId="0">
      <text>
        <r>
          <rPr>
            <sz val="9"/>
            <color indexed="81"/>
            <rFont val="宋体"/>
            <family val="2"/>
          </rPr>
          <t>#Input("榆炼_调度_销售及成品库存_集运汽油_管输量",":key{{dw}}")</t>
        </r>
      </text>
    </comment>
    <comment ref="R24" authorId="0">
      <text>
        <r>
          <rPr>
            <sz val="9"/>
            <color indexed="81"/>
            <rFont val="宋体"/>
            <family val="2"/>
          </rPr>
          <t>#Input("榆炼_调度_销售及成品库存_集运汽油_库存",":key{{dw}}")</t>
        </r>
      </text>
    </comment>
    <comment ref="C25" authorId="0">
      <text>
        <r>
          <rPr>
            <sz val="9"/>
            <color indexed="81"/>
            <rFont val="宋体"/>
            <family val="2"/>
          </rPr>
          <t>#Input("榆炼_调度_调入原油_20万库区",":key{{dw}}")</t>
        </r>
      </text>
    </comment>
    <comment ref="F25" authorId="0">
      <text>
        <r>
          <rPr>
            <sz val="9"/>
            <color indexed="81"/>
            <rFont val="宋体"/>
            <family val="2"/>
          </rPr>
          <t>#Input("榆炼_调度_原料库存_当日_外调石脑油",":key{{dw}}")</t>
        </r>
      </text>
    </comment>
    <comment ref="G25" authorId="0">
      <text>
        <r>
          <rPr>
            <sz val="9"/>
            <color indexed="81"/>
            <rFont val="宋体"/>
            <family val="2"/>
          </rPr>
          <t>#Input("榆炼_调度_原料库存_安全库存_外调石脑油",":key{{dw}}")</t>
        </r>
      </text>
    </comment>
    <comment ref="I25" authorId="0">
      <text>
        <r>
          <rPr>
            <sz val="9"/>
            <color indexed="81"/>
            <rFont val="宋体"/>
            <family val="2"/>
          </rPr>
          <t>#Input("榆炼_调度_原料油气挑拨_MTTBE_调和",":key{{dw}}")</t>
        </r>
      </text>
    </comment>
    <comment ref="J25" authorId="0">
      <text>
        <r>
          <rPr>
            <sz val="9"/>
            <color indexed="81"/>
            <rFont val="宋体"/>
            <family val="2"/>
          </rPr>
          <t>#Input("榆炼_调度_原料油气挑拨_MTTBE_外销",":key{{dw}}")</t>
        </r>
      </text>
    </comment>
    <comment ref="K25" authorId="0">
      <text>
        <r>
          <rPr>
            <sz val="9"/>
            <color indexed="81"/>
            <rFont val="宋体"/>
            <family val="2"/>
          </rPr>
          <t>#Input("榆炼_调度_原料油气挑拨_MTTBE_外购",":key{{dw}}")</t>
        </r>
      </text>
    </comment>
    <comment ref="L25" authorId="0">
      <text>
        <r>
          <rPr>
            <sz val="9"/>
            <color indexed="81"/>
            <rFont val="宋体"/>
            <family val="2"/>
          </rPr>
          <t>#Input("榆炼_调度_原料油气挑拨_MTTBE_内部调入",":key{{dw}}")</t>
        </r>
      </text>
    </comment>
    <comment ref="M25" authorId="0">
      <text>
        <r>
          <rPr>
            <sz val="9"/>
            <color indexed="81"/>
            <rFont val="宋体"/>
            <family val="2"/>
          </rPr>
          <t>#Input("榆炼_调度_原料油气挑拨_MTTBE_内部调出",":key{{dw}}")</t>
        </r>
      </text>
    </comment>
    <comment ref="N25" authorId="0">
      <text>
        <r>
          <rPr>
            <sz val="9"/>
            <color indexed="81"/>
            <rFont val="宋体"/>
            <family val="2"/>
          </rPr>
          <t>#Input("榆炼_调度_原料油气挑拨_MTTBE_库存",":key{{dw}}")</t>
        </r>
      </text>
    </comment>
    <comment ref="F26" authorId="0">
      <text>
        <r>
          <rPr>
            <sz val="9"/>
            <color indexed="81"/>
            <rFont val="宋体"/>
            <family val="2"/>
          </rPr>
          <t>#Input("榆炼_调度_原料库存_当日_柴油加氢原料",":key{{dw}}")</t>
        </r>
      </text>
    </comment>
    <comment ref="G26" authorId="0">
      <text>
        <r>
          <rPr>
            <sz val="9"/>
            <color indexed="81"/>
            <rFont val="宋体"/>
            <family val="2"/>
          </rPr>
          <t>#Input("榆炼_调度_原料库存_安全库存_柴油加氢原料",":key{{dw}}")</t>
        </r>
      </text>
    </comment>
    <comment ref="I26" authorId="0">
      <text>
        <r>
          <rPr>
            <sz val="9"/>
            <color indexed="81"/>
            <rFont val="宋体"/>
            <family val="2"/>
          </rPr>
          <t>#Input("榆炼_调度_原料油气挑拨_二甲苯_调和",":key{{dw}}")</t>
        </r>
      </text>
    </comment>
    <comment ref="J26" authorId="0">
      <text>
        <r>
          <rPr>
            <sz val="9"/>
            <color indexed="81"/>
            <rFont val="宋体"/>
            <family val="2"/>
          </rPr>
          <t>#Input("榆炼_调度_原料油气挑拨_二甲苯_外销",":key{{dw}}")</t>
        </r>
      </text>
    </comment>
    <comment ref="K26" authorId="0">
      <text>
        <r>
          <rPr>
            <sz val="9"/>
            <color indexed="81"/>
            <rFont val="宋体"/>
            <family val="2"/>
          </rPr>
          <t>#Input("榆炼_调度_原料油气挑拨_二甲苯_外购",":key{{dw}}")</t>
        </r>
      </text>
    </comment>
    <comment ref="L26" authorId="0">
      <text>
        <r>
          <rPr>
            <sz val="9"/>
            <color indexed="81"/>
            <rFont val="宋体"/>
            <family val="2"/>
          </rPr>
          <t>#Input("榆炼_调度_原料油气挑拨_二甲苯_内部调入",":key{{dw}}")</t>
        </r>
      </text>
    </comment>
    <comment ref="M26" authorId="0">
      <text>
        <r>
          <rPr>
            <sz val="9"/>
            <color indexed="81"/>
            <rFont val="宋体"/>
            <family val="2"/>
          </rPr>
          <t>#Input("榆炼_调度_原料油气挑拨_二甲苯_内部调出",":key{{dw}}")</t>
        </r>
      </text>
    </comment>
    <comment ref="N26" authorId="0">
      <text>
        <r>
          <rPr>
            <sz val="9"/>
            <color indexed="81"/>
            <rFont val="宋体"/>
            <family val="2"/>
          </rPr>
          <t>#Input("榆炼_调度_原料油气挑拨_二甲苯_库存",":key{{dw}}")</t>
        </r>
      </text>
    </comment>
    <comment ref="P26" authorId="0">
      <text>
        <r>
          <rPr>
            <sz val="9"/>
            <color indexed="81"/>
            <rFont val="宋体"/>
            <family val="2"/>
          </rPr>
          <t>#Input("榆炼_调度_销售及成品库存_0#柴油_公路量",":key{{dw}}")</t>
        </r>
      </text>
    </comment>
    <comment ref="Q26" authorId="0">
      <text>
        <r>
          <rPr>
            <sz val="9"/>
            <color indexed="81"/>
            <rFont val="宋体"/>
            <family val="2"/>
          </rPr>
          <t>#Input("榆炼_调度_销售及成品库存_0#柴油_管输量",":key{{dw}}")</t>
        </r>
      </text>
    </comment>
    <comment ref="R26" authorId="0">
      <text>
        <r>
          <rPr>
            <sz val="9"/>
            <color indexed="81"/>
            <rFont val="宋体"/>
            <family val="2"/>
          </rPr>
          <t>#Input("榆炼_调度_销售及成品库存_0#柴油_库存",":key{{dw}}")</t>
        </r>
      </text>
    </comment>
    <comment ref="S26" authorId="0">
      <text>
        <r>
          <rPr>
            <sz val="9"/>
            <color indexed="81"/>
            <rFont val="宋体"/>
            <family val="2"/>
          </rPr>
          <t xml:space="preserve">#Input("榆炼_调度_销售及成品库存_柴油油_安全库存",":key{{dw}}")
</t>
        </r>
      </text>
    </comment>
    <comment ref="C27" authorId="0">
      <text>
        <r>
          <rPr>
            <sz val="9"/>
            <color indexed="81"/>
            <rFont val="宋体"/>
            <family val="2"/>
          </rPr>
          <t>#Input("榆炼_调度_可售量库存_可售92#",":key{{dw}}")</t>
        </r>
      </text>
    </comment>
    <comment ref="F27" authorId="0">
      <text>
        <r>
          <rPr>
            <sz val="9"/>
            <color indexed="81"/>
            <rFont val="宋体"/>
            <family val="2"/>
          </rPr>
          <t>#Input("榆炼_调度_原料库存_当日_外调催化柴油",":key{{dw}}")</t>
        </r>
      </text>
    </comment>
    <comment ref="G27" authorId="0">
      <text>
        <r>
          <rPr>
            <sz val="9"/>
            <color indexed="81"/>
            <rFont val="宋体"/>
            <family val="2"/>
          </rPr>
          <t>#Input("榆炼_调度_原料库存_安全库存_外调催化柴油",":key{{dw}}")</t>
        </r>
      </text>
    </comment>
    <comment ref="I27" authorId="0">
      <text>
        <r>
          <rPr>
            <sz val="9"/>
            <color indexed="81"/>
            <rFont val="宋体"/>
            <family val="2"/>
          </rPr>
          <t>#Input("榆炼_调度_原料油气挑拨_油浆_调和",":key{{dw}}")</t>
        </r>
      </text>
    </comment>
    <comment ref="J27" authorId="0">
      <text>
        <r>
          <rPr>
            <sz val="9"/>
            <color indexed="81"/>
            <rFont val="宋体"/>
            <family val="2"/>
          </rPr>
          <t>#Input("榆炼_调度_原料油气挑拨_油浆_外销",":key{{dw}}")</t>
        </r>
      </text>
    </comment>
    <comment ref="K27" authorId="0">
      <text>
        <r>
          <rPr>
            <sz val="9"/>
            <color indexed="81"/>
            <rFont val="宋体"/>
            <family val="2"/>
          </rPr>
          <t>#Input("榆炼_调度_原料油气挑拨_油浆_外购",":key{{dw}}")</t>
        </r>
      </text>
    </comment>
    <comment ref="L27" authorId="0">
      <text>
        <r>
          <rPr>
            <sz val="9"/>
            <color indexed="81"/>
            <rFont val="宋体"/>
            <family val="2"/>
          </rPr>
          <t>#Input("榆炼_调度_原料油气挑拨_油浆_内部调入",":key{{dw}}")</t>
        </r>
      </text>
    </comment>
    <comment ref="M27" authorId="0">
      <text>
        <r>
          <rPr>
            <sz val="9"/>
            <color indexed="81"/>
            <rFont val="宋体"/>
            <family val="2"/>
          </rPr>
          <t>#Input("榆炼_调度_原料油气挑拨_油浆_内部调出",":key{{dw}}")</t>
        </r>
      </text>
    </comment>
    <comment ref="N27" authorId="0">
      <text>
        <r>
          <rPr>
            <sz val="9"/>
            <color indexed="81"/>
            <rFont val="宋体"/>
            <family val="2"/>
          </rPr>
          <t>#Input("榆炼_调度_原料油气挑拨_油浆_库存",":key{{dw}}")</t>
        </r>
      </text>
    </comment>
    <comment ref="P27" authorId="0">
      <text>
        <r>
          <rPr>
            <sz val="9"/>
            <color indexed="81"/>
            <rFont val="宋体"/>
            <family val="2"/>
          </rPr>
          <t>#Input("榆炼_调度_销售及成品库存_-10#柴油_公路量",":key{{dw}}")</t>
        </r>
      </text>
    </comment>
    <comment ref="Q27" authorId="0">
      <text>
        <r>
          <rPr>
            <sz val="9"/>
            <color indexed="81"/>
            <rFont val="宋体"/>
            <family val="2"/>
          </rPr>
          <t>#Input("榆炼_调度_销售及成品库存_-10#柴油_管输量",":key{{dw}}")</t>
        </r>
      </text>
    </comment>
    <comment ref="R27" authorId="0">
      <text>
        <r>
          <rPr>
            <sz val="9"/>
            <color indexed="81"/>
            <rFont val="宋体"/>
            <family val="2"/>
          </rPr>
          <t>#Input("榆炼_调度_销售及成品库存_-10#柴油_库存",":key{{dw}}")</t>
        </r>
      </text>
    </comment>
    <comment ref="C28" authorId="0">
      <text>
        <r>
          <rPr>
            <sz val="9"/>
            <color indexed="81"/>
            <rFont val="宋体"/>
            <family val="2"/>
          </rPr>
          <t>#Input("榆炼_调度_可售量库存_可售95#",":key{{dw}}")</t>
        </r>
      </text>
    </comment>
    <comment ref="F28" authorId="0">
      <text>
        <r>
          <rPr>
            <sz val="9"/>
            <color indexed="81"/>
            <rFont val="宋体"/>
            <family val="2"/>
          </rPr>
          <t>#Input("榆炼_调度_原料库存_当日_汽油精致原料",":key{{dw}}")</t>
        </r>
      </text>
    </comment>
    <comment ref="G28" authorId="0">
      <text>
        <r>
          <rPr>
            <sz val="9"/>
            <color indexed="81"/>
            <rFont val="宋体"/>
            <family val="2"/>
          </rPr>
          <t>#Input("榆炼_调度_原料库存_安全库存_汽油精致原料",":key{{dw}}")</t>
        </r>
      </text>
    </comment>
    <comment ref="I28" authorId="0">
      <text>
        <r>
          <rPr>
            <sz val="9"/>
            <color indexed="81"/>
            <rFont val="宋体"/>
            <family val="2"/>
          </rPr>
          <t>#Input("榆炼_调度_原料油气挑拨_碱渣_调和",":key{{dw}}")</t>
        </r>
      </text>
    </comment>
    <comment ref="J28" authorId="0">
      <text>
        <r>
          <rPr>
            <sz val="9"/>
            <color indexed="81"/>
            <rFont val="宋体"/>
            <family val="2"/>
          </rPr>
          <t>#Input("榆炼_调度_原料油气挑拨_碱渣_外销",":key{{dw}}")</t>
        </r>
      </text>
    </comment>
    <comment ref="K28" authorId="0">
      <text>
        <r>
          <rPr>
            <sz val="9"/>
            <color indexed="81"/>
            <rFont val="宋体"/>
            <family val="2"/>
          </rPr>
          <t>#Input("榆炼_调度_原料油气挑拨_碱渣_外购",":key{{dw}}")</t>
        </r>
      </text>
    </comment>
    <comment ref="L28" authorId="0">
      <text>
        <r>
          <rPr>
            <sz val="9"/>
            <color indexed="81"/>
            <rFont val="宋体"/>
            <family val="2"/>
          </rPr>
          <t>#Input("榆炼_调度_原料油气挑拨_碱渣_内部调入",":key{{dw}}")</t>
        </r>
      </text>
    </comment>
    <comment ref="M28" authorId="0">
      <text>
        <r>
          <rPr>
            <sz val="9"/>
            <color indexed="81"/>
            <rFont val="宋体"/>
            <family val="2"/>
          </rPr>
          <t>#Input("榆炼_调度_原料油气挑拨_碱渣_内部调出",":key{{dw}}")</t>
        </r>
      </text>
    </comment>
    <comment ref="N28" authorId="0">
      <text>
        <r>
          <rPr>
            <sz val="9"/>
            <color indexed="81"/>
            <rFont val="宋体"/>
            <family val="2"/>
          </rPr>
          <t>#Input("榆炼_调度_原料油气挑拨_碱渣_库存",":key{{dw}}")</t>
        </r>
      </text>
    </comment>
    <comment ref="P28" authorId="0">
      <text>
        <r>
          <rPr>
            <sz val="9"/>
            <color indexed="81"/>
            <rFont val="宋体"/>
            <family val="2"/>
          </rPr>
          <t>#Input("榆炼_调度_销售及成品库存_-20#柴油_公路量",":key{{dw}}")</t>
        </r>
      </text>
    </comment>
    <comment ref="Q28" authorId="0">
      <text>
        <r>
          <rPr>
            <sz val="9"/>
            <color indexed="81"/>
            <rFont val="宋体"/>
            <family val="2"/>
          </rPr>
          <t>#Input("榆炼_调度_销售及成品库存_-20#柴油_管输量",":key{{dw}}")</t>
        </r>
      </text>
    </comment>
    <comment ref="R28" authorId="0">
      <text>
        <r>
          <rPr>
            <sz val="9"/>
            <color indexed="81"/>
            <rFont val="宋体"/>
            <family val="2"/>
          </rPr>
          <t>#Input("榆炼_调度_销售及成品库存_-20#柴油_库存",":key{{dw}}")</t>
        </r>
      </text>
    </comment>
    <comment ref="C29" authorId="0">
      <text>
        <r>
          <rPr>
            <sz val="9"/>
            <color indexed="81"/>
            <rFont val="宋体"/>
            <family val="2"/>
          </rPr>
          <t>#Input("榆炼_调度_可售量库存_可售0#",":key{{dw}}")</t>
        </r>
      </text>
    </comment>
    <comment ref="F29" authorId="0">
      <text>
        <r>
          <rPr>
            <sz val="9"/>
            <color indexed="81"/>
            <rFont val="宋体"/>
            <family val="2"/>
          </rPr>
          <t>#Input("榆炼_调度_原料库存_当日_裂解石脑油",":key{{dw}}")</t>
        </r>
      </text>
    </comment>
    <comment ref="G29" authorId="0">
      <text>
        <r>
          <rPr>
            <sz val="9"/>
            <color indexed="81"/>
            <rFont val="宋体"/>
            <family val="2"/>
          </rPr>
          <t>#Input("榆炼_调度_原料库存_安全库存_裂解石脑油",":key{{dw}}")</t>
        </r>
      </text>
    </comment>
    <comment ref="I29" authorId="0">
      <text>
        <r>
          <rPr>
            <sz val="9"/>
            <color indexed="81"/>
            <rFont val="宋体"/>
            <family val="2"/>
          </rPr>
          <t>#Input("榆炼_调度_原料油气挑拨_烷基化油_调和",":key{{dw}}")</t>
        </r>
      </text>
    </comment>
    <comment ref="J29" authorId="0">
      <text>
        <r>
          <rPr>
            <sz val="9"/>
            <color indexed="81"/>
            <rFont val="宋体"/>
            <family val="2"/>
          </rPr>
          <t>#Input("榆炼_调度_原料油气挑拨_烷基化油_外销",":key{{dw}}")</t>
        </r>
      </text>
    </comment>
    <comment ref="K29" authorId="0">
      <text>
        <r>
          <rPr>
            <sz val="9"/>
            <color indexed="81"/>
            <rFont val="宋体"/>
            <family val="2"/>
          </rPr>
          <t>#Input("榆炼_调度_原料油气挑拨_烷基化油_外购",":key{{dw}}")</t>
        </r>
      </text>
    </comment>
    <comment ref="L29" authorId="0">
      <text>
        <r>
          <rPr>
            <sz val="9"/>
            <color indexed="81"/>
            <rFont val="宋体"/>
            <family val="2"/>
          </rPr>
          <t>#Input("榆炼_调度_原料油气挑拨_烷基化油_内部调入",":key{{dw}}")</t>
        </r>
      </text>
    </comment>
    <comment ref="M29" authorId="0">
      <text>
        <r>
          <rPr>
            <sz val="9"/>
            <color indexed="81"/>
            <rFont val="宋体"/>
            <family val="2"/>
          </rPr>
          <t>#Input("榆炼_调度_原料油气挑拨_烷基化油_内部调出",":key{{dw}}")</t>
        </r>
      </text>
    </comment>
    <comment ref="N29" authorId="0">
      <text>
        <r>
          <rPr>
            <sz val="9"/>
            <color indexed="81"/>
            <rFont val="宋体"/>
            <family val="2"/>
          </rPr>
          <t>#Input("榆炼_调度_原料油气挑拨_烷基化油_库存",":key{{dw}}")</t>
        </r>
      </text>
    </comment>
    <comment ref="P29" authorId="0">
      <text>
        <r>
          <rPr>
            <sz val="9"/>
            <color indexed="81"/>
            <rFont val="宋体"/>
            <family val="2"/>
          </rPr>
          <t>#Input("榆炼_调度_销售及成品库存_集运柴油_公路量",":key{{dw}}")</t>
        </r>
      </text>
    </comment>
    <comment ref="Q29" authorId="0">
      <text>
        <r>
          <rPr>
            <sz val="9"/>
            <color indexed="81"/>
            <rFont val="宋体"/>
            <family val="2"/>
          </rPr>
          <t>#Input("榆炼_调度_销售及成品库存_集运柴油_管输量",":key{{dw}}")</t>
        </r>
      </text>
    </comment>
    <comment ref="R29" authorId="0">
      <text>
        <r>
          <rPr>
            <sz val="9"/>
            <color indexed="81"/>
            <rFont val="宋体"/>
            <family val="2"/>
          </rPr>
          <t>#Input("榆炼_调度_销售及成品库存_集运柴油_库存",":key{{dw}}")</t>
        </r>
      </text>
    </comment>
    <comment ref="C30" authorId="0">
      <text>
        <r>
          <rPr>
            <sz val="9"/>
            <color indexed="81"/>
            <rFont val="宋体"/>
            <family val="2"/>
          </rPr>
          <t>#Input("榆炼_调度_可售量库存_可售-10#",":key{{dw}}")</t>
        </r>
      </text>
    </comment>
    <comment ref="F30" authorId="0">
      <text>
        <r>
          <rPr>
            <sz val="9"/>
            <color indexed="81"/>
            <rFont val="宋体"/>
            <family val="2"/>
          </rPr>
          <t>#Input("榆炼_调度_原料库存_当日_碱渣",":key{{dw}}")</t>
        </r>
      </text>
    </comment>
    <comment ref="G30" authorId="0">
      <text>
        <r>
          <rPr>
            <sz val="9"/>
            <color indexed="81"/>
            <rFont val="宋体"/>
            <family val="2"/>
          </rPr>
          <t>#Input("榆炼_调度_原料库存_安全库存_碱渣",":key{{dw}}")</t>
        </r>
      </text>
    </comment>
    <comment ref="I30" authorId="0">
      <text>
        <r>
          <rPr>
            <sz val="9"/>
            <color indexed="81"/>
            <rFont val="宋体"/>
            <family val="2"/>
          </rPr>
          <t>#Input("榆炼_调度_原料油气挑拨_裂解石脑油_调和",":key{{dw}}")</t>
        </r>
      </text>
    </comment>
    <comment ref="J30" authorId="0">
      <text>
        <r>
          <rPr>
            <sz val="9"/>
            <color indexed="81"/>
            <rFont val="宋体"/>
            <family val="2"/>
          </rPr>
          <t>#Input("榆炼_调度_原料油气挑拨_裂解石脑油_外销",":key{{dw}}")</t>
        </r>
      </text>
    </comment>
    <comment ref="K30" authorId="0">
      <text>
        <r>
          <rPr>
            <sz val="9"/>
            <color indexed="81"/>
            <rFont val="宋体"/>
            <family val="2"/>
          </rPr>
          <t>#Input("榆炼_调度_原料油气挑拨_裂解石脑油_外购",":key{{dw}}")</t>
        </r>
      </text>
    </comment>
    <comment ref="L30" authorId="0">
      <text>
        <r>
          <rPr>
            <sz val="9"/>
            <color indexed="81"/>
            <rFont val="宋体"/>
            <family val="2"/>
          </rPr>
          <t>#Input("榆炼_调度_原料油气挑拨_裂解石脑油_内部调入",":key{{dw}}")</t>
        </r>
      </text>
    </comment>
    <comment ref="M30" authorId="0">
      <text>
        <r>
          <rPr>
            <sz val="9"/>
            <color indexed="81"/>
            <rFont val="宋体"/>
            <family val="2"/>
          </rPr>
          <t>#Input("榆炼_调度_原料油气挑拨_裂解石脑油_内部调出",":key{{dw}}")</t>
        </r>
      </text>
    </comment>
    <comment ref="N30" authorId="0">
      <text>
        <r>
          <rPr>
            <sz val="9"/>
            <color indexed="81"/>
            <rFont val="宋体"/>
            <family val="2"/>
          </rPr>
          <t>#Input("榆炼_调度_原料油气挑拨_裂解石脑油_库存",":key{{dw}}")</t>
        </r>
      </text>
    </comment>
    <comment ref="P30" authorId="0">
      <text>
        <r>
          <rPr>
            <sz val="9"/>
            <color indexed="81"/>
            <rFont val="宋体"/>
            <family val="2"/>
          </rPr>
          <t>#Input("榆炼_调度_销售及成品库存_1#渣油_公路量",":key{{dw}}")</t>
        </r>
      </text>
    </comment>
    <comment ref="Q30" authorId="0">
      <text>
        <r>
          <rPr>
            <sz val="9"/>
            <color indexed="81"/>
            <rFont val="宋体"/>
            <family val="2"/>
          </rPr>
          <t>#Input("榆炼_调度_销售及成品库存_1#渣油_管输量",":key{{dw}}")</t>
        </r>
      </text>
    </comment>
    <comment ref="R30" authorId="0">
      <text>
        <r>
          <rPr>
            <sz val="9"/>
            <color indexed="81"/>
            <rFont val="宋体"/>
            <family val="2"/>
          </rPr>
          <t>#Input("榆炼_调度_销售及成品库存_1#渣油_库存",":key{{dw}}")</t>
        </r>
      </text>
    </comment>
    <comment ref="S30" authorId="0">
      <text>
        <r>
          <rPr>
            <sz val="9"/>
            <color indexed="81"/>
            <rFont val="宋体"/>
            <family val="2"/>
          </rPr>
          <t>#Input("榆炼_调度_销售及成品库存_1#渣油_安全库存",":key{{dw}}")</t>
        </r>
      </text>
    </comment>
    <comment ref="F31" authorId="0">
      <text>
        <r>
          <rPr>
            <sz val="9"/>
            <color indexed="81"/>
            <rFont val="宋体"/>
            <family val="2"/>
          </rPr>
          <t>#Input("榆炼_调度_原料库存_当日_精制油",":key{{dw}}")</t>
        </r>
      </text>
    </comment>
    <comment ref="G31" authorId="0">
      <text>
        <r>
          <rPr>
            <sz val="9"/>
            <color indexed="81"/>
            <rFont val="宋体"/>
            <family val="2"/>
          </rPr>
          <t>#Input("榆炼_调度_原料库存_安全库存_精制油",":key{{dw}}")</t>
        </r>
      </text>
    </comment>
    <comment ref="I31" authorId="0">
      <text>
        <r>
          <rPr>
            <sz val="9"/>
            <color indexed="81"/>
            <rFont val="宋体"/>
            <family val="2"/>
          </rPr>
          <t>#Input("榆炼_调度_原料油气挑拨_饱和液化气_调和",":key{{dw}}")</t>
        </r>
      </text>
    </comment>
    <comment ref="J31" authorId="0">
      <text>
        <r>
          <rPr>
            <sz val="9"/>
            <color indexed="81"/>
            <rFont val="宋体"/>
            <family val="2"/>
          </rPr>
          <t>#Input("榆炼_调度_原料油气挑拨_饱和液化气_外销",":key{{dw}}")</t>
        </r>
      </text>
    </comment>
    <comment ref="K31" authorId="0">
      <text>
        <r>
          <rPr>
            <sz val="9"/>
            <color indexed="81"/>
            <rFont val="宋体"/>
            <family val="2"/>
          </rPr>
          <t>#Input("榆炼_调度_原料油气挑拨_饱和液化气_外购",":key{{dw}}")</t>
        </r>
      </text>
    </comment>
    <comment ref="L31" authorId="0">
      <text>
        <r>
          <rPr>
            <sz val="9"/>
            <color indexed="81"/>
            <rFont val="宋体"/>
            <family val="2"/>
          </rPr>
          <t>#Input("榆炼_调度_原料油气挑拨_饱和液化气_内部调入",":key{{dw}}")</t>
        </r>
      </text>
    </comment>
    <comment ref="M31" authorId="0">
      <text>
        <r>
          <rPr>
            <sz val="9"/>
            <color indexed="81"/>
            <rFont val="宋体"/>
            <family val="2"/>
          </rPr>
          <t>#Input("榆炼_调度_原料油气挑拨_饱和液化气_内部调出",":key{{dw}}")</t>
        </r>
      </text>
    </comment>
    <comment ref="N31" authorId="0">
      <text>
        <r>
          <rPr>
            <sz val="9"/>
            <color indexed="81"/>
            <rFont val="宋体"/>
            <family val="2"/>
          </rPr>
          <t>#Input("榆炼_调度_原料油气挑拨_饱和液化气_库存",":key{{dw}}")</t>
        </r>
      </text>
    </comment>
    <comment ref="P31" authorId="0">
      <text>
        <r>
          <rPr>
            <sz val="9"/>
            <color indexed="81"/>
            <rFont val="宋体"/>
            <family val="2"/>
          </rPr>
          <t>#Input("榆炼_调度_销售及成品库存_硫磺_公路量",":key{{dw}}")</t>
        </r>
      </text>
    </comment>
    <comment ref="Q31" authorId="0">
      <text>
        <r>
          <rPr>
            <sz val="9"/>
            <color indexed="81"/>
            <rFont val="宋体"/>
            <family val="2"/>
          </rPr>
          <t>#Input("榆炼_调度_销售及成品库存_硫磺_管输量",":key{{dw}}")</t>
        </r>
      </text>
    </comment>
    <comment ref="R31" authorId="0">
      <text>
        <r>
          <rPr>
            <sz val="9"/>
            <color indexed="81"/>
            <rFont val="宋体"/>
            <family val="2"/>
          </rPr>
          <t>#Input("榆炼_调度_销售及成品库存_硫磺_库存",":key{{dw}}")</t>
        </r>
      </text>
    </comment>
    <comment ref="S31" authorId="0">
      <text>
        <r>
          <rPr>
            <sz val="9"/>
            <color indexed="81"/>
            <rFont val="宋体"/>
            <family val="2"/>
          </rPr>
          <t>#Input("榆炼_调度_销售及成品库存_硫磺_安全库存",":key{{dw}}")</t>
        </r>
      </text>
    </comment>
    <comment ref="F32" authorId="0">
      <text>
        <r>
          <rPr>
            <sz val="9"/>
            <color indexed="81"/>
            <rFont val="宋体"/>
            <family val="2"/>
          </rPr>
          <t>#Input("榆炼_调度_原料库存_当日_进口原油",":key{{dw}}")</t>
        </r>
      </text>
    </comment>
    <comment ref="G32" authorId="0">
      <text>
        <r>
          <rPr>
            <sz val="9"/>
            <color indexed="81"/>
            <rFont val="宋体"/>
            <family val="2"/>
          </rPr>
          <t>#Input("榆炼_调度_原料库存_安全库存_进口原油",":key{{dw}}")</t>
        </r>
      </text>
    </comment>
    <comment ref="I32" authorId="0">
      <text>
        <r>
          <rPr>
            <sz val="9"/>
            <color indexed="81"/>
            <rFont val="宋体"/>
            <family val="2"/>
          </rPr>
          <t>#Input("榆炼_调度_原料油气挑拨_柴油加氢原料_调和",":key{{dw}}")</t>
        </r>
      </text>
    </comment>
    <comment ref="J32" authorId="0">
      <text>
        <r>
          <rPr>
            <sz val="9"/>
            <color indexed="81"/>
            <rFont val="宋体"/>
            <family val="2"/>
          </rPr>
          <t>#Input("榆炼_调度_原料油气挑拨_柴油加氢原料_外销",":key{{dw}}")</t>
        </r>
      </text>
    </comment>
    <comment ref="K32" authorId="0">
      <text>
        <r>
          <rPr>
            <sz val="9"/>
            <color indexed="81"/>
            <rFont val="宋体"/>
            <family val="2"/>
          </rPr>
          <t>#Input("榆炼_调度_原料油气挑拨_柴油加氢原料_外购",":key{{dw}}")</t>
        </r>
      </text>
    </comment>
    <comment ref="L32" authorId="0">
      <text>
        <r>
          <rPr>
            <sz val="9"/>
            <color indexed="81"/>
            <rFont val="宋体"/>
            <family val="2"/>
          </rPr>
          <t>#Input("榆炼_调度_原料油气挑拨_柴油加氢原料_内部调入",":key{{dw}}")</t>
        </r>
      </text>
    </comment>
    <comment ref="M32" authorId="0">
      <text>
        <r>
          <rPr>
            <sz val="9"/>
            <color indexed="81"/>
            <rFont val="宋体"/>
            <family val="2"/>
          </rPr>
          <t>#Input("榆炼_调度_原料油气挑拨_柴油加氢原料_内部调出",":key{{dw}}")</t>
        </r>
      </text>
    </comment>
    <comment ref="N32" authorId="0">
      <text>
        <r>
          <rPr>
            <sz val="9"/>
            <color indexed="81"/>
            <rFont val="宋体"/>
            <family val="2"/>
          </rPr>
          <t>#Input("榆炼_调度_原料油气挑拨_柴油加氢原料_库存",":key{{dw}}")</t>
        </r>
      </text>
    </comment>
    <comment ref="P32" authorId="0">
      <text>
        <r>
          <rPr>
            <sz val="9"/>
            <color indexed="81"/>
            <rFont val="宋体"/>
            <family val="2"/>
          </rPr>
          <t>#Input("榆炼_调度_销售及成品库存_苯_公路量",":key{{dw}}")</t>
        </r>
      </text>
    </comment>
    <comment ref="Q32" authorId="0">
      <text>
        <r>
          <rPr>
            <sz val="9"/>
            <color indexed="81"/>
            <rFont val="宋体"/>
            <family val="2"/>
          </rPr>
          <t>#Input("榆炼_调度_销售及成品库存_苯_管输量",":key{{dw}}")</t>
        </r>
      </text>
    </comment>
    <comment ref="R32" authorId="0">
      <text>
        <r>
          <rPr>
            <sz val="9"/>
            <color indexed="81"/>
            <rFont val="宋体"/>
            <family val="2"/>
          </rPr>
          <t>#Input("榆炼_调度_销售及成品库存_苯_库存",":key{{dw}}")</t>
        </r>
      </text>
    </comment>
    <comment ref="S32" authorId="0">
      <text>
        <r>
          <rPr>
            <sz val="9"/>
            <color indexed="81"/>
            <rFont val="宋体"/>
            <family val="2"/>
          </rPr>
          <t>#Input("榆炼_调度_销售及成品库存_苯_安全库存",":key{{dw}}")</t>
        </r>
      </text>
    </comment>
    <comment ref="F33" authorId="0">
      <text>
        <r>
          <rPr>
            <sz val="9"/>
            <color indexed="81"/>
            <rFont val="宋体"/>
            <family val="2"/>
          </rPr>
          <t>#Input("榆炼_调度_原料库存_当日_进口原油日掺炼量",":key{{dw}}")</t>
        </r>
      </text>
    </comment>
    <comment ref="G33" authorId="0">
      <text>
        <r>
          <rPr>
            <sz val="9"/>
            <color indexed="81"/>
            <rFont val="宋体"/>
            <family val="2"/>
          </rPr>
          <t>#Input("榆炼_调度_原料库存_安全库存_进口原油日掺炼量",":key{{dw}}")</t>
        </r>
      </text>
    </comment>
    <comment ref="I33" authorId="0">
      <text>
        <r>
          <rPr>
            <sz val="9"/>
            <color indexed="81"/>
            <rFont val="宋体"/>
            <family val="2"/>
          </rPr>
          <t>#Input("榆炼_调度_原料油气挑拨_航空煤油_调和",":key{{dw}}")</t>
        </r>
      </text>
    </comment>
    <comment ref="J33" authorId="0">
      <text>
        <r>
          <rPr>
            <sz val="9"/>
            <color indexed="81"/>
            <rFont val="宋体"/>
            <family val="2"/>
          </rPr>
          <t>#Input("榆炼_调度_原料油气挑拨_航空煤油_外销",":key{{dw}}")</t>
        </r>
      </text>
    </comment>
    <comment ref="K33" authorId="0">
      <text>
        <r>
          <rPr>
            <sz val="9"/>
            <color indexed="81"/>
            <rFont val="宋体"/>
            <family val="2"/>
          </rPr>
          <t>#Input("榆炼_调度_原料油气挑拨_航空煤油_外购",":key{{dw}}")</t>
        </r>
      </text>
    </comment>
    <comment ref="L33" authorId="0">
      <text>
        <r>
          <rPr>
            <sz val="9"/>
            <color indexed="81"/>
            <rFont val="宋体"/>
            <family val="2"/>
          </rPr>
          <t>#Input("榆炼_调度_原料油气挑拨_航空煤油_内部调入",":key{{dw}}")</t>
        </r>
      </text>
    </comment>
    <comment ref="M33" authorId="0">
      <text>
        <r>
          <rPr>
            <sz val="9"/>
            <color indexed="81"/>
            <rFont val="宋体"/>
            <family val="2"/>
          </rPr>
          <t>#Input("榆炼_调度_原料油气挑拨_航空煤油_内部调出",":key{{dw}}")</t>
        </r>
      </text>
    </comment>
    <comment ref="N33" authorId="0">
      <text>
        <r>
          <rPr>
            <sz val="9"/>
            <color indexed="81"/>
            <rFont val="宋体"/>
            <family val="2"/>
          </rPr>
          <t>#Input("榆炼_调度_原料油气挑拨_航空煤油_库存",":key{{dw}}")</t>
        </r>
      </text>
    </comment>
    <comment ref="P33" authorId="0">
      <text>
        <r>
          <rPr>
            <sz val="9"/>
            <color indexed="81"/>
            <rFont val="宋体"/>
            <family val="2"/>
          </rPr>
          <t>#Input("榆炼_调度_销售及成品库存_油浆_公路量",":key{{dw}}")</t>
        </r>
      </text>
    </comment>
    <comment ref="Q33" authorId="0">
      <text>
        <r>
          <rPr>
            <sz val="9"/>
            <color indexed="81"/>
            <rFont val="宋体"/>
            <family val="2"/>
          </rPr>
          <t>#Input("榆炼_调度_销售及成品库存_油浆_管输量",":key{{dw}}")</t>
        </r>
      </text>
    </comment>
    <comment ref="R33" authorId="0">
      <text>
        <r>
          <rPr>
            <sz val="9"/>
            <color indexed="81"/>
            <rFont val="宋体"/>
            <family val="2"/>
          </rPr>
          <t>#Input("榆炼_调度_销售及成品库存_油浆_库存",":key{{dw}}")</t>
        </r>
      </text>
    </comment>
    <comment ref="S33" authorId="0">
      <text>
        <r>
          <rPr>
            <sz val="9"/>
            <color indexed="81"/>
            <rFont val="宋体"/>
            <family val="2"/>
          </rPr>
          <t>#Input("榆炼_调度_销售及成品库存_油浆_安全库存",":key{{dw}}")</t>
        </r>
      </text>
    </comment>
    <comment ref="C34" authorId="0">
      <text>
        <r>
          <rPr>
            <sz val="9"/>
            <color indexed="81"/>
            <rFont val="宋体"/>
            <family val="2"/>
          </rPr>
          <t>#Input("榆炼_调度_半成品库存_汽油",":key{{dw}}")</t>
        </r>
      </text>
    </comment>
    <comment ref="F34" authorId="0">
      <text>
        <r>
          <rPr>
            <sz val="9"/>
            <color indexed="81"/>
            <rFont val="宋体"/>
            <family val="2"/>
          </rPr>
          <t>#Input("榆炼_调度_原料库存_当日_进口原油月掺炼量",":key{{dw}}")</t>
        </r>
      </text>
    </comment>
    <comment ref="G34" authorId="0">
      <text>
        <r>
          <rPr>
            <sz val="9"/>
            <color indexed="81"/>
            <rFont val="宋体"/>
            <family val="2"/>
          </rPr>
          <t>#Input("榆炼_调度_原料库存_安全库存_进口原油月掺炼量",":key{{dw}}")</t>
        </r>
      </text>
    </comment>
    <comment ref="I34" authorId="0">
      <text>
        <r>
          <rPr>
            <b/>
            <sz val="9"/>
            <color indexed="81"/>
            <rFont val="宋体"/>
            <family val="2"/>
          </rPr>
          <t>#Input("榆炼_调度_原料油气挑拨_进口原油月累计",":key{{dw}}")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#Input("榆炼_调度_原料油气挑拨_天然气用量",":key{{dw}}")</t>
        </r>
      </text>
    </comment>
    <comment ref="M34" authorId="0">
      <text>
        <r>
          <rPr>
            <sz val="9"/>
            <color indexed="81"/>
            <rFont val="宋体"/>
            <family val="2"/>
          </rPr>
          <t>#Input("榆炼_调度_原料油气挑拨_进口原油年累计",":key{{dw}}")</t>
        </r>
      </text>
    </comment>
    <comment ref="P34" authorId="0">
      <text>
        <r>
          <rPr>
            <sz val="9"/>
            <color indexed="81"/>
            <rFont val="宋体"/>
            <family val="2"/>
          </rPr>
          <t>#Input("榆炼_调度_销售及成品库存_饱和液化气_公路量",":key{{dw}}")</t>
        </r>
      </text>
    </comment>
    <comment ref="Q34" authorId="0">
      <text>
        <r>
          <rPr>
            <sz val="9"/>
            <color indexed="81"/>
            <rFont val="宋体"/>
            <family val="2"/>
          </rPr>
          <t>#Input("榆炼_调度_销售及成品库存_饱和液化气_管输量",":key{{dw}}")</t>
        </r>
      </text>
    </comment>
    <comment ref="R34" authorId="0">
      <text>
        <r>
          <rPr>
            <sz val="9"/>
            <color indexed="81"/>
            <rFont val="宋体"/>
            <family val="2"/>
          </rPr>
          <t>#Input("榆炼_调度_销售及成品库存_饱和液化气_库存",":key{{dw}}")</t>
        </r>
      </text>
    </comment>
    <comment ref="S34" authorId="0">
      <text>
        <r>
          <rPr>
            <sz val="9"/>
            <color indexed="81"/>
            <rFont val="宋体"/>
            <family val="2"/>
          </rPr>
          <t>#Input("榆炼_调度_销售及成品库存_饱和液化气_安全库存",":key{{dw}}")</t>
        </r>
      </text>
    </comment>
    <comment ref="C35" authorId="0">
      <text>
        <r>
          <rPr>
            <sz val="9"/>
            <color indexed="81"/>
            <rFont val="宋体"/>
            <family val="2"/>
          </rPr>
          <t>#Input("榆炼_调度_半成品库存_柴油",":key{{dw}}")</t>
        </r>
      </text>
    </comment>
    <comment ref="F35" authorId="0">
      <text>
        <r>
          <rPr>
            <sz val="9"/>
            <color indexed="81"/>
            <rFont val="宋体"/>
            <family val="2"/>
          </rPr>
          <t>#Input("榆炼_调度_原料库存_当日_进口原油年掺炼量",":key{{dw}}")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#Input("榆炼_调度_原料库存_安全库存_进口原油年掺炼量",":key{{dw}}")</t>
        </r>
      </text>
    </comment>
    <comment ref="I35" authorId="0">
      <text>
        <r>
          <rPr>
            <b/>
            <sz val="9"/>
            <color indexed="81"/>
            <rFont val="宋体"/>
            <family val="2"/>
          </rPr>
          <t>#Input("榆炼_调度_原料油气挑拨_备注",":key{{dw}}")</t>
        </r>
      </text>
    </comment>
    <comment ref="R35" authorId="0">
      <text>
        <r>
          <rPr>
            <b/>
            <sz val="9"/>
            <color indexed="81"/>
            <rFont val="宋体"/>
            <family val="2"/>
          </rPr>
          <t>#Input("榆炼_调度_销售及成品库存_备注",":key{{dw}}")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 xml:space="preserve">#Input("榆炼_榆林炼油厂生产调度台帐_单位负责人",":key{{dw}}")
</t>
        </r>
      </text>
    </comment>
    <comment ref="J36" authorId="0">
      <text>
        <r>
          <rPr>
            <sz val="9"/>
            <color indexed="81"/>
            <rFont val="宋体"/>
            <family val="2"/>
          </rPr>
          <t>#Input("榆炼_榆林炼油厂生产调度台帐_审核人",":key{{dw}}")</t>
        </r>
      </text>
    </comment>
    <comment ref="Q36" authorId="0">
      <text>
        <r>
          <rPr>
            <sz val="9"/>
            <color indexed="81"/>
            <rFont val="宋体"/>
            <family val="2"/>
          </rPr>
          <t>#Input("榆炼_榆林炼油厂生产调度台帐_填表人",":key{{dw}}")</t>
        </r>
      </text>
    </comment>
  </commentList>
</comments>
</file>

<file path=xl/sharedStrings.xml><?xml version="1.0" encoding="utf-8"?>
<sst xmlns="http://schemas.openxmlformats.org/spreadsheetml/2006/main" count="644" uniqueCount="180">
  <si>
    <t>榆林炼油厂生产调度台帐</t>
  </si>
  <si>
    <t>填报单位：榆林炼油厂</t>
  </si>
  <si>
    <t>填报日期：</t>
  </si>
  <si>
    <t>2026-01-06</t>
  </si>
  <si>
    <t>单位：吨</t>
  </si>
  <si>
    <t>规模</t>
  </si>
  <si>
    <t>220万吨/年常压</t>
  </si>
  <si>
    <t>500万吨/年常压</t>
  </si>
  <si>
    <t>合计</t>
  </si>
  <si>
    <t>30万吨/年航煤</t>
  </si>
  <si>
    <t>60万吨/年催化</t>
  </si>
  <si>
    <t>180万吨/年催化</t>
  </si>
  <si>
    <t>加工量</t>
  </si>
  <si>
    <t>产量</t>
  </si>
  <si>
    <t>收率</t>
  </si>
  <si>
    <t>饱和液化气</t>
  </si>
  <si>
    <t>原油</t>
  </si>
  <si>
    <t>原料油</t>
  </si>
  <si>
    <t>石脑油</t>
  </si>
  <si>
    <t>氢气</t>
  </si>
  <si>
    <t>其中1#渣油</t>
  </si>
  <si>
    <t>一线柴油</t>
  </si>
  <si>
    <t/>
  </si>
  <si>
    <t>精制航煤</t>
  </si>
  <si>
    <t>汽油</t>
  </si>
  <si>
    <t>燃料气</t>
  </si>
  <si>
    <t>粗石脑油</t>
  </si>
  <si>
    <t>柴油</t>
  </si>
  <si>
    <t>混合柴油</t>
  </si>
  <si>
    <t>液化气</t>
  </si>
  <si>
    <t xml:space="preserve">渣油 </t>
  </si>
  <si>
    <t>油浆</t>
  </si>
  <si>
    <t>100万吨/年重整</t>
  </si>
  <si>
    <t>90万吨/年汽油精制</t>
  </si>
  <si>
    <t>200万吨/年加氢</t>
  </si>
  <si>
    <t>20万吨/年DCC裂解石脑油</t>
  </si>
  <si>
    <t>20万吨/年DCC裂解轻油</t>
  </si>
  <si>
    <t>20万吨/年苯抽提</t>
  </si>
  <si>
    <t>加工量(产量)</t>
  </si>
  <si>
    <t>加工量（产量）</t>
  </si>
  <si>
    <t>精制柴油</t>
  </si>
  <si>
    <t>脱戊烷油</t>
  </si>
  <si>
    <t>轻汽油</t>
  </si>
  <si>
    <t>精制汽油</t>
  </si>
  <si>
    <t>粗汽油</t>
  </si>
  <si>
    <t>C5馏分油</t>
  </si>
  <si>
    <t>苯</t>
  </si>
  <si>
    <t>混合二甲苯</t>
  </si>
  <si>
    <t>轻烃液</t>
  </si>
  <si>
    <t>苯收率</t>
  </si>
  <si>
    <t>含氢气体</t>
  </si>
  <si>
    <t>轻烃气</t>
  </si>
  <si>
    <t>调入原油</t>
  </si>
  <si>
    <t>原料库存</t>
  </si>
  <si>
    <t>原料油气调拨</t>
  </si>
  <si>
    <t>销售及成品库存</t>
  </si>
  <si>
    <t>原  油</t>
  </si>
  <si>
    <t>当日</t>
  </si>
  <si>
    <t>原  料</t>
  </si>
  <si>
    <t>安全库存</t>
  </si>
  <si>
    <t>车辆调运</t>
  </si>
  <si>
    <t>调和</t>
  </si>
  <si>
    <t>外销</t>
  </si>
  <si>
    <t>外购</t>
  </si>
  <si>
    <t>内部调入</t>
  </si>
  <si>
    <t>内部调出</t>
  </si>
  <si>
    <t>库存</t>
  </si>
  <si>
    <t>成品</t>
  </si>
  <si>
    <t>公路量</t>
  </si>
  <si>
    <t>管输量</t>
  </si>
  <si>
    <t>原油入库</t>
  </si>
  <si>
    <t>1#渣油</t>
  </si>
  <si>
    <t>长庆原油</t>
  </si>
  <si>
    <t>92#</t>
  </si>
  <si>
    <t>管输原油</t>
  </si>
  <si>
    <t>原料液化气</t>
  </si>
  <si>
    <t>VCC柴油</t>
  </si>
  <si>
    <t>95#</t>
  </si>
  <si>
    <t>集运进口原油卸车</t>
  </si>
  <si>
    <t>重整原料</t>
  </si>
  <si>
    <t>集运</t>
  </si>
  <si>
    <t>20万库区</t>
  </si>
  <si>
    <t>其中：外调石脑油</t>
  </si>
  <si>
    <t>MTBE</t>
  </si>
  <si>
    <t>可售量库存</t>
  </si>
  <si>
    <t>柴油加氢原料</t>
  </si>
  <si>
    <t>二甲苯</t>
  </si>
  <si>
    <t>0#</t>
  </si>
  <si>
    <t>可售92#</t>
  </si>
  <si>
    <t>其中：外调催化柴油</t>
  </si>
  <si>
    <t xml:space="preserve"> -10#</t>
  </si>
  <si>
    <t>可售95#</t>
  </si>
  <si>
    <t>汽油精制原料</t>
  </si>
  <si>
    <t>碱渣</t>
  </si>
  <si>
    <t xml:space="preserve"> -20#</t>
  </si>
  <si>
    <t>可售0#</t>
  </si>
  <si>
    <t>裂解石脑油</t>
  </si>
  <si>
    <t>烷基化油</t>
  </si>
  <si>
    <t>可售-10#</t>
  </si>
  <si>
    <t>精制油</t>
  </si>
  <si>
    <t>硫磺</t>
  </si>
  <si>
    <t>半成品库存</t>
  </si>
  <si>
    <t>进口原油</t>
  </si>
  <si>
    <t>半成品</t>
  </si>
  <si>
    <t>进口原油日掺炼量</t>
  </si>
  <si>
    <t>航空煤油（榆林）</t>
  </si>
  <si>
    <t>进口原油月掺炼量</t>
  </si>
  <si>
    <t>进口原油月累计</t>
  </si>
  <si>
    <t>天然气用量</t>
  </si>
  <si>
    <t>进口原油年累计</t>
  </si>
  <si>
    <t>进口原油年掺炼量</t>
  </si>
  <si>
    <t>备注：</t>
  </si>
  <si>
    <t>备注</t>
  </si>
  <si>
    <t>单位负责人：</t>
  </si>
  <si>
    <t>高庆军</t>
  </si>
  <si>
    <t>审核人：</t>
  </si>
  <si>
    <t>石磐</t>
  </si>
  <si>
    <t>填表人：</t>
  </si>
  <si>
    <t>李渊波</t>
  </si>
  <si>
    <t>公式类型</t>
  </si>
  <si>
    <t>数据源</t>
  </si>
  <si>
    <t>取值</t>
  </si>
  <si>
    <t>计量点名称</t>
  </si>
  <si>
    <t>取值条件</t>
  </si>
  <si>
    <t>#SQL</t>
  </si>
  <si>
    <t>("</t>
  </si>
  <si>
    <t>YuL_MES_Dispatch</t>
  </si>
  <si>
    <t>","</t>
  </si>
  <si>
    <t>VALUE</t>
  </si>
  <si>
    <t>",":where{NAME=</t>
  </si>
  <si>
    <t>榆炼_生产_联合一车间_220万吨/年常压装置_进_原油</t>
  </si>
  <si>
    <t>}")</t>
  </si>
  <si>
    <t>榆炼_生产_联合一车间_220万吨/年常压装置_出_石脑油（常压）</t>
  </si>
  <si>
    <t>榆炼_生产_联合一车间_220万吨/年常压装置_出_二三线柴油</t>
  </si>
  <si>
    <t>榆炼_生产_联合一车间_220万吨/年常压装置_出_1#渣油 （常压）</t>
  </si>
  <si>
    <t>榆炼_生产_联合一车间_500万吨/年常压装置_进_原油</t>
  </si>
  <si>
    <t>榆炼_生产_联合一车间_500万吨/年常压装置_出_石脑油（常压）</t>
  </si>
  <si>
    <t>榆炼_生产_联合一车间_500万吨/年常压装置_出_常一线柴油</t>
  </si>
  <si>
    <t>榆炼_生产_联合一车间_500万吨/年常压装置_出_常二线柴油</t>
  </si>
  <si>
    <t>榆炼_生产_联合一车间_500万吨/年常压装置_出_混合柴油</t>
  </si>
  <si>
    <t>榆炼_生产_联合一车间_500万吨/年常压装置_出_1#渣油 （常压）</t>
  </si>
  <si>
    <t>榆炼_生产_联合一车间_500万吨/年常压装置_出_饱和液化气</t>
  </si>
  <si>
    <t>榆炼_生产_联合一车间_30万吨/年航煤加氢装置_进_直馏煤油</t>
  </si>
  <si>
    <t>榆炼_生产_联合一车间_30万吨/年航煤加氢装置_进_氢气</t>
  </si>
  <si>
    <t>榆炼_生产_联合一车间_30万吨/年航煤加氢装置_出_精制航煤</t>
  </si>
  <si>
    <t>榆炼_生产_联合一车间_30万吨/年航煤加氢装置_出_粗石脑油</t>
  </si>
  <si>
    <t>榆炼_生产_联合二车间_60万吨/年催化装置_进_常压渣油</t>
  </si>
  <si>
    <t>榆炼_生产_联合二车间_60万吨/年催化装置_出_催化汽油</t>
  </si>
  <si>
    <t>榆炼_生产_联合二车间_60万吨/年催化装置_出_催化柴油</t>
  </si>
  <si>
    <t>榆炼_生产_联合二车间_60万吨/年催化装置_出_原料液化气</t>
  </si>
  <si>
    <t>榆炼_生产_联合二车间_60万吨/年催化装置_出_2#渣油(催化渣油、催化澄清油、油浆、罐区回炼油浆）</t>
  </si>
  <si>
    <t>榆炼_生产_联合二车间_180万吨/年催化装置_进_常压渣油</t>
  </si>
  <si>
    <t>榆炼_生产_联合二车间_180万吨/年催化装置_出_催化汽油</t>
  </si>
  <si>
    <t>榆炼_生产_联合二车间_180万吨/年催化装置_出_催化柴油</t>
  </si>
  <si>
    <t>榆炼_生产_联合二车间_180万吨/年催化装置_出_原料液化气</t>
  </si>
  <si>
    <t>榆炼_生产_联合二车间_180万吨/年催化装置_出_2#渣油(催化渣油、催化澄清油、油浆、罐区回炼油浆）</t>
  </si>
  <si>
    <t>榆炼_生产_联合三车间_100万吨/年重整装置_进_直馏汽油</t>
  </si>
  <si>
    <t>榆炼_生产_联合三车间_100万吨/年重整装置_出_重整汽油</t>
  </si>
  <si>
    <t>榆炼_生产_联合三车间_100万吨/年重整装置_出_液化气</t>
  </si>
  <si>
    <t>榆炼_生产_联合三车间_100万吨/年重整装置_出_二甲苯</t>
  </si>
  <si>
    <t>榆炼_生产_联合三车间_100万吨/年重整装置_出_含氢气体</t>
  </si>
  <si>
    <t>榆炼_生产_联合四车间_90万吨/年汽油加氢装置_进_催化汽油</t>
  </si>
  <si>
    <t>榆炼_生产_联合四车间_90万吨/年汽油加氢装置_出_氢气</t>
  </si>
  <si>
    <t>榆炼_生产_联合四车间_90万吨/年汽油加氢装置_出_精制汽油</t>
  </si>
  <si>
    <t>榆炼_生产_联合四车间_90万吨/年汽油加氢装置_出_轻烃液</t>
  </si>
  <si>
    <t>榆炼_生产_联合四车间_90万吨/年汽油加氢装置_出_轻烃气</t>
  </si>
  <si>
    <t>榆炼_生产_联合四车间_200万吨/年柴油精制装置_进_常压柴油</t>
  </si>
  <si>
    <t>榆炼_生产_联合四车间_200万吨/年柴油精制装置_出_精制柴油</t>
  </si>
  <si>
    <t>榆炼_生产_联合四车间_200万吨/年柴油精制装置_出_石脑油Ⅱ (拨头油、重整轻汽油、轻石脑油、重整轻石脑油)</t>
  </si>
  <si>
    <t>榆炼_生产_联合四车间_200万吨/年柴油精制装置_出_原料液化气</t>
  </si>
  <si>
    <t>榆炼_生产_联合三车间_20万吨/年DCC裂解石脑油装置_进_裂解石脑油</t>
  </si>
  <si>
    <t>榆炼_生产_联合三车间_20万吨/年DCC裂解石脑油装置_出_脱戊烷油</t>
  </si>
  <si>
    <t>榆炼_生产_联合三车间_20万吨/年DCC裂解石脑油装置_出_塔顶C5油</t>
  </si>
  <si>
    <t>榆炼_生产_联合三车间_20万吨/年DCC裂解轻油装置_进_裂解轻油</t>
  </si>
  <si>
    <t>榆炼_生产_联合三车间_20万吨/年DCC裂解轻油装置_出_精制柴油</t>
  </si>
  <si>
    <t>榆炼_生产_联合三车间_20万吨/年DCC裂解轻油装置_出_粗汽油</t>
  </si>
  <si>
    <t>榆炼_生产_联合三车间_20万吨/年苯抽提装置_进_C6馏分油</t>
  </si>
  <si>
    <t>榆炼_生产_联合三车间_20万吨/年苯抽提装置_出_苯</t>
  </si>
  <si>
    <t>曹继虎</t>
  </si>
  <si>
    <t>罗建新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</si>
</sst>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.00_);[Red]\(0.00\)"/>
    <numFmt numFmtId="173" formatCode="0_);[Red]\(0\)"/>
    <numFmt numFmtId="174" formatCode="0_ "/>
    <numFmt numFmtId="175" formatCode="yyyy&quot;年&quot;m&quot;月&quot;d&quot;日&quot;;@"/>
  </numFmts>
  <fonts count="27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2"/>
      <color auto="1"/>
      <name val="宋体"/>
    </font>
    <font>
      <sz val="11"/>
      <color auto="1"/>
      <name val="等线"/>
    </font>
    <font>
      <sz val="11"/>
      <color theme="1"/>
      <name val="等线"/>
    </font>
    <font>
      <sz val="11"/>
      <color rgb="FF000000"/>
      <name val="等线"/>
    </font>
    <font>
      <b/>
      <sz val="11"/>
      <color auto="1"/>
      <name val="等线"/>
    </font>
    <font>
      <sz val="11"/>
      <color rgb="FFFF0000"/>
      <name val="等线"/>
    </font>
    <font>
      <sz val="11"/>
      <color rgb="FF00B050"/>
      <name val="等线"/>
    </font>
    <font>
      <b/>
      <sz val="11"/>
      <color theme="1"/>
      <name val="等线"/>
    </font>
    <font>
      <b/>
      <sz val="18"/>
      <color auto="1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29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center"/>
    </xf>
  </cellStyleXfs>
  <cellXfs count="26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center"/>
    </xf>
    <xf numFmtId="10" fontId="19" fillId="0" borderId="10" xfId="43" applyFont="1" applyBorder="1" applyNumberFormat="1">
      <alignment horizontal="center" vertical="center" wrapText="1"/>
    </xf>
    <xf numFmtId="0" fontId="19" fillId="0" borderId="10" xfId="43" applyFont="1" applyBorder="1" applyNumberFormat="1">
      <alignment horizontal="center" vertical="center" wrapText="1"/>
    </xf>
    <xf numFmtId="171" fontId="19" fillId="0" borderId="10" xfId="43" applyFont="1" applyBorder="1" applyNumberFormat="1">
      <alignment horizontal="center" vertical="center" wrapText="1"/>
    </xf>
    <xf numFmtId="172" fontId="19" fillId="33" borderId="10" xfId="47" applyFont="1" applyFill="1" applyBorder="1" applyNumberFormat="1">
      <alignment horizontal="center" vertical="center"/>
    </xf>
    <xf numFmtId="10" fontId="20" fillId="0" borderId="10" xfId="43" applyFont="1" applyBorder="1" applyNumberFormat="1">
      <alignment horizontal="center" vertical="center" wrapText="1"/>
    </xf>
    <xf numFmtId="173" fontId="20" fillId="7" borderId="10" xfId="0" applyFont="1" applyFill="1" applyBorder="1" applyNumberFormat="1">
      <alignment horizontal="center" vertical="center" wrapText="1"/>
    </xf>
    <xf numFmtId="173" fontId="20" fillId="0" borderId="10" xfId="0" applyFont="1" applyBorder="1" applyNumberFormat="1">
      <alignment horizontal="center" vertical="center" wrapText="1"/>
    </xf>
    <xf numFmtId="10" fontId="19" fillId="0" borderId="10" xfId="0" applyFont="1" applyBorder="1" applyNumberFormat="1">
      <alignment horizontal="center" vertical="center"/>
    </xf>
    <xf numFmtId="0" fontId="19" fillId="0" borderId="10" xfId="0" applyFont="1" applyBorder="1">
      <alignment horizontal="center"/>
    </xf>
    <xf numFmtId="10" fontId="19" fillId="0" borderId="10" xfId="0" applyFont="1" applyBorder="1" applyNumberFormat="1">
      <alignment horizontal="center" vertical="center" wrapText="1"/>
    </xf>
    <xf numFmtId="172" fontId="21" fillId="0" borderId="10" xfId="0" applyFont="1" applyBorder="1" applyNumberFormat="1">
      <alignment horizontal="center" vertical="center" wrapText="1"/>
    </xf>
    <xf numFmtId="10" fontId="21" fillId="0" borderId="10" xfId="0" applyFont="1" applyBorder="1" applyNumberFormat="1">
      <alignment horizontal="center" vertical="center" wrapText="1"/>
    </xf>
    <xf numFmtId="10" fontId="19" fillId="33" borderId="10" xfId="0" applyFont="1" applyFill="1" applyBorder="1" applyNumberFormat="1">
      <alignment horizontal="center" vertical="center" wrapText="1"/>
    </xf>
    <xf numFmtId="174" fontId="19" fillId="0" borderId="10" xfId="0" applyFont="1" applyBorder="1" applyNumberFormat="1">
      <alignment horizontal="center" vertical="center"/>
    </xf>
    <xf numFmtId="0" fontId="19" fillId="0" borderId="10" xfId="0" applyFont="1" applyBorder="1">
      <alignment horizontal="center" vertical="center"/>
    </xf>
    <xf numFmtId="172" fontId="19" fillId="0" borderId="11" xfId="0" applyFont="1" applyBorder="1" applyNumberFormat="1">
      <alignment horizontal="center" vertical="center"/>
    </xf>
    <xf numFmtId="173" fontId="19" fillId="0" borderId="10" xfId="0" applyFont="1" applyBorder="1" applyNumberFormat="1">
      <alignment horizontal="center" vertical="center" wrapText="1"/>
    </xf>
    <xf numFmtId="173" fontId="19" fillId="7" borderId="10" xfId="0" applyFont="1" applyFill="1" applyBorder="1" applyNumberFormat="1">
      <alignment horizontal="center" vertical="center" wrapText="1"/>
    </xf>
    <xf numFmtId="0" fontId="20" fillId="0" borderId="0" xfId="0" applyFont="1"/>
    <xf numFmtId="173" fontId="19" fillId="7" borderId="11" xfId="0" applyFont="1" applyFill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172" fontId="19" fillId="0" borderId="10" xfId="0" applyFont="1" applyBorder="1" applyNumberFormat="1">
      <alignment horizontal="center" vertical="center"/>
    </xf>
    <xf numFmtId="173" fontId="19" fillId="0" borderId="10" xfId="0" applyFont="1" applyBorder="1" applyNumberFormat="1">
      <alignment horizontal="center" vertical="center"/>
    </xf>
    <xf numFmtId="172" fontId="19" fillId="33" borderId="10" xfId="0" applyFont="1" applyFill="1" applyBorder="1" applyNumberFormat="1">
      <alignment horizontal="center" vertical="center"/>
    </xf>
    <xf numFmtId="173" fontId="19" fillId="34" borderId="13" xfId="0" applyFont="1" applyFill="1" applyBorder="1" applyNumberFormat="1">
      <alignment horizontal="center" vertical="center" wrapText="1"/>
    </xf>
    <xf numFmtId="172" fontId="19" fillId="0" borderId="14" xfId="0" applyFont="1" applyBorder="1" applyNumberFormat="1">
      <alignment horizontal="center" vertical="center"/>
    </xf>
    <xf numFmtId="173" fontId="19" fillId="7" borderId="10" xfId="0" applyFont="1" applyFill="1" applyBorder="1" applyNumberFormat="1">
      <alignment vertical="center"/>
    </xf>
    <xf numFmtId="173" fontId="19" fillId="34" borderId="10" xfId="0" applyFont="1" applyFill="1" applyBorder="1" applyNumberFormat="1">
      <alignment horizontal="center" vertical="center"/>
    </xf>
    <xf numFmtId="0" fontId="22" fillId="0" borderId="15" xfId="0" applyFont="1" applyBorder="1">
      <alignment horizontal="center" vertical="center" wrapText="1"/>
    </xf>
    <xf numFmtId="0" fontId="19" fillId="0" borderId="15" xfId="0" applyFont="1" applyBorder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10" fontId="20" fillId="0" borderId="12" xfId="43" applyFont="1" applyBorder="1" applyNumberFormat="1">
      <alignment horizontal="center" vertical="center" wrapText="1"/>
    </xf>
    <xf numFmtId="10" fontId="19" fillId="0" borderId="12" xfId="43" applyFont="1" applyBorder="1" applyNumberFormat="1">
      <alignment horizontal="center" vertical="center" wrapText="1"/>
    </xf>
    <xf numFmtId="0" fontId="19" fillId="0" borderId="15" xfId="0" applyFont="1" applyBorder="1">
      <alignment horizontal="center" vertical="center"/>
    </xf>
    <xf numFmtId="173" fontId="19" fillId="7" borderId="12" xfId="0" applyFont="1" applyFill="1" applyBorder="1" applyNumberFormat="1">
      <alignment horizontal="center" vertical="center" wrapText="1"/>
    </xf>
    <xf numFmtId="10" fontId="19" fillId="0" borderId="12" xfId="0" applyFont="1" applyBorder="1" applyNumberFormat="1">
      <alignment horizontal="center" vertical="center"/>
    </xf>
    <xf numFmtId="173" fontId="19" fillId="0" borderId="12" xfId="0" applyFont="1" applyBorder="1" applyNumberFormat="1">
      <alignment horizontal="center" vertical="center"/>
    </xf>
    <xf numFmtId="172" fontId="19" fillId="0" borderId="15" xfId="0" applyFont="1" applyBorder="1" applyNumberFormat="1">
      <alignment horizontal="center" vertical="center"/>
    </xf>
    <xf numFmtId="0" fontId="19" fillId="0" borderId="12" xfId="0" applyFont="1" applyBorder="1">
      <alignment horizontal="center" vertical="center"/>
    </xf>
    <xf numFmtId="172" fontId="19" fillId="0" borderId="15" xfId="0" applyFont="1" applyBorder="1" applyNumberFormat="1">
      <alignment horizontal="center" vertical="center" wrapText="1"/>
    </xf>
    <xf numFmtId="172" fontId="20" fillId="0" borderId="15" xfId="0" applyFont="1" applyBorder="1" applyNumberFormat="1">
      <alignment horizontal="center" vertical="center" wrapText="1"/>
    </xf>
    <xf numFmtId="173" fontId="19" fillId="7" borderId="16" xfId="0" applyFont="1" applyFill="1" applyBorder="1" applyNumberFormat="1">
      <alignment horizontal="center" vertical="center" wrapText="1"/>
    </xf>
    <xf numFmtId="172" fontId="19" fillId="0" borderId="17" xfId="0" applyFont="1" applyBorder="1" applyNumberFormat="1">
      <alignment horizontal="center" vertical="center"/>
    </xf>
    <xf numFmtId="173" fontId="19" fillId="7" borderId="18" xfId="0" applyFont="1" applyFill="1" applyBorder="1" applyNumberFormat="1">
      <alignment horizontal="center" vertical="center" wrapText="1"/>
    </xf>
    <xf numFmtId="173" fontId="19" fillId="7" borderId="19" xfId="0" applyFont="1" applyFill="1" applyBorder="1" applyNumberFormat="1">
      <alignment horizontal="center" vertical="center" wrapText="1"/>
    </xf>
    <xf numFmtId="173" fontId="20" fillId="0" borderId="18" xfId="0" applyFont="1" applyBorder="1" applyNumberFormat="1">
      <alignment horizontal="center" vertical="center"/>
    </xf>
    <xf numFmtId="172" fontId="19" fillId="0" borderId="18" xfId="0" applyFont="1" applyBorder="1" applyNumberFormat="1">
      <alignment horizontal="center" vertical="center"/>
    </xf>
    <xf numFmtId="173" fontId="23" fillId="7" borderId="20" xfId="0" applyFont="1" applyFill="1" applyBorder="1" applyNumberFormat="1">
      <alignment vertical="center"/>
    </xf>
    <xf numFmtId="173" fontId="23" fillId="7" borderId="21" xfId="0" applyFont="1" applyFill="1" applyBorder="1" applyNumberFormat="1">
      <alignment vertical="center"/>
    </xf>
    <xf numFmtId="0" fontId="19" fillId="0" borderId="10" xfId="0" applyFont="1" applyBorder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173" fontId="19" fillId="7" borderId="22" xfId="0" applyFont="1" applyFill="1" applyBorder="1" applyNumberFormat="1">
      <alignment horizontal="center" vertical="center" wrapText="1"/>
    </xf>
    <xf numFmtId="173" fontId="19" fillId="7" borderId="23" xfId="0" applyFont="1" applyFill="1" applyBorder="1" applyNumberFormat="1">
      <alignment horizontal="center" vertical="center" wrapText="1"/>
    </xf>
    <xf numFmtId="172" fontId="22" fillId="0" borderId="15" xfId="0" applyFont="1" applyBorder="1" applyNumberFormat="1">
      <alignment horizontal="center" vertical="center"/>
    </xf>
    <xf numFmtId="172" fontId="22" fillId="0" borderId="10" xfId="0" applyFont="1" applyBorder="1" applyNumberFormat="1">
      <alignment horizontal="center" vertical="center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/>
    </xf>
    <xf numFmtId="0" fontId="22" fillId="0" borderId="12" xfId="0" applyFont="1" applyBorder="1">
      <alignment horizontal="center" vertical="center"/>
    </xf>
    <xf numFmtId="172" fontId="19" fillId="0" borderId="10" xfId="0" applyFont="1" applyBorder="1" applyNumberFormat="1">
      <alignment horizontal="center" vertical="center" wrapText="1"/>
    </xf>
    <xf numFmtId="172" fontId="19" fillId="0" borderId="10" xfId="0" applyFont="1" applyBorder="1" applyNumberFormat="1">
      <alignment horizontal="center" vertical="center"/>
    </xf>
    <xf numFmtId="172" fontId="19" fillId="0" borderId="12" xfId="0" applyFont="1" applyBorder="1" applyNumberFormat="1">
      <alignment horizontal="center" vertical="center"/>
    </xf>
    <xf numFmtId="173" fontId="19" fillId="0" borderId="10" xfId="0" applyFont="1" applyBorder="1" applyNumberFormat="1">
      <alignment horizontal="center" vertical="center"/>
    </xf>
    <xf numFmtId="173" fontId="24" fillId="0" borderId="10" xfId="0" applyFont="1" applyBorder="1" applyNumberFormat="1">
      <alignment horizontal="center" vertical="center"/>
    </xf>
    <xf numFmtId="173" fontId="19" fillId="7" borderId="12" xfId="0" applyFont="1" applyFill="1" applyBorder="1" applyNumberFormat="1">
      <alignment horizontal="center" vertical="center" wrapText="1"/>
    </xf>
    <xf numFmtId="172" fontId="19" fillId="33" borderId="10" xfId="0" applyFont="1" applyFill="1" applyBorder="1" applyNumberFormat="1">
      <alignment horizontal="center" vertical="center"/>
    </xf>
    <xf numFmtId="172" fontId="19" fillId="33" borderId="12" xfId="0" applyFont="1" applyFill="1" applyBorder="1" applyNumberFormat="1">
      <alignment horizontal="center" vertical="center"/>
    </xf>
    <xf numFmtId="0" fontId="22" fillId="0" borderId="12" xfId="0" applyFont="1" applyBorder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0" fontId="26" fillId="0" borderId="24" xfId="0" applyFont="1" applyBorder="1">
      <alignment horizontal="center" vertical="center"/>
    </xf>
    <xf numFmtId="0" fontId="26" fillId="0" borderId="25" xfId="0" applyFont="1" applyBorder="1">
      <alignment horizontal="center" vertical="center"/>
    </xf>
    <xf numFmtId="0" fontId="26" fillId="0" borderId="26" xfId="0" applyFont="1" applyBorder="1">
      <alignment horizontal="center" vertical="center"/>
    </xf>
    <xf numFmtId="0" fontId="19" fillId="0" borderId="15" xfId="0" applyFont="1" applyBorder="1">
      <alignment horizontal="center" vertical="center" wrapText="1"/>
    </xf>
    <xf numFmtId="175" fontId="20" fillId="0" borderId="27" xfId="0" applyFont="1" applyBorder="1" applyNumberFormat="1">
      <alignment horizontal="center" vertical="center"/>
    </xf>
    <xf numFmtId="175" fontId="20" fillId="0" borderId="23" xfId="0" applyFont="1" applyBorder="1" applyNumberFormat="1">
      <alignment horizontal="center" vertical="center"/>
    </xf>
    <xf numFmtId="175" fontId="19" fillId="0" borderId="10" xfId="0" applyFont="1" applyBorder="1" applyNumberFormat="1">
      <alignment horizontal="center" vertical="center"/>
    </xf>
    <xf numFmtId="172" fontId="19" fillId="0" borderId="15" xfId="0" applyFont="1" applyBorder="1" applyNumberFormat="1">
      <alignment horizontal="center" vertical="center"/>
    </xf>
    <xf numFmtId="172" fontId="22" fillId="0" borderId="15" xfId="0" applyFont="1" applyBorder="1" applyNumberFormat="1">
      <alignment horizontal="center" vertical="center" wrapText="1"/>
    </xf>
    <xf numFmtId="172" fontId="22" fillId="0" borderId="10" xfId="0" applyFont="1" applyBorder="1" applyNumberFormat="1">
      <alignment horizontal="center" vertical="center" wrapText="1"/>
    </xf>
    <xf numFmtId="173" fontId="19" fillId="0" borderId="18" xfId="0" applyFont="1" applyBorder="1" applyNumberFormat="1">
      <alignment horizontal="center" vertical="center"/>
    </xf>
    <xf numFmtId="173" fontId="23" fillId="7" borderId="28" xfId="0" applyFont="1" applyFill="1" applyBorder="1" applyNumberFormat="1">
      <alignment horizontal="center" vertical="center"/>
    </xf>
    <xf numFmtId="173" fontId="23" fillId="7" borderId="18" xfId="0" applyFont="1" applyFill="1" applyBorder="1" applyNumberFormat="1">
      <alignment horizontal="center" vertical="center"/>
    </xf>
    <xf numFmtId="173" fontId="23" fillId="7" borderId="19" xfId="0" applyFont="1" applyFill="1" applyBorder="1" applyNumberFormat="1">
      <alignment horizontal="center" vertical="center"/>
    </xf>
    <xf numFmtId="0" fontId="19" fillId="0" borderId="0" xfId="0" applyFont="1">
      <alignment horizontal="right" vertical="center"/>
    </xf>
    <xf numFmtId="0" fontId="19" fillId="34" borderId="0" xfId="0" applyFont="1" applyFill="1">
      <alignment horizontal="left" vertical="center"/>
    </xf>
    <xf numFmtId="0" fontId="19" fillId="34" borderId="0" xfId="0" applyFont="1" applyFill="1">
      <alignment horizontal="right" vertical="center"/>
    </xf>
    <xf numFmtId="0" fontId="19" fillId="34" borderId="0" xfId="0" applyFont="1" applyFill="1">
      <alignment horizontal="right" vertical="center"/>
    </xf>
    <xf numFmtId="0" fontId="0" fillId="0" borderId="0" xfId="0" applyFont="1">
      <alignment wrapText="1"/>
    </xf>
    <xf numFmtId="0" fontId="26" fillId="0" borderId="24" xfId="0" applyFont="1" applyBorder="1">
      <alignment horizontal="center" vertical="center" wrapText="1"/>
    </xf>
    <xf numFmtId="0" fontId="26" fillId="0" borderId="25" xfId="0" applyFont="1" applyBorder="1">
      <alignment horizontal="center" vertical="center" wrapText="1"/>
    </xf>
    <xf numFmtId="0" fontId="26" fillId="0" borderId="26" xfId="0" applyFont="1" applyBorder="1">
      <alignment horizontal="center" vertical="center" wrapText="1"/>
    </xf>
    <xf numFmtId="0" fontId="20" fillId="0" borderId="0" xfId="0" applyFont="1">
      <alignment wrapText="1"/>
    </xf>
    <xf numFmtId="0" fontId="19" fillId="0" borderId="15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175" fontId="19" fillId="0" borderId="10" xfId="0" applyFont="1" applyBorder="1" applyNumberFormat="1">
      <alignment horizontal="center" vertical="center" wrapText="1"/>
    </xf>
    <xf numFmtId="175" fontId="20" fillId="0" borderId="27" xfId="0" applyFont="1" applyBorder="1" applyNumberFormat="1">
      <alignment horizontal="center" vertical="center" wrapText="1"/>
    </xf>
    <xf numFmtId="175" fontId="20" fillId="0" borderId="23" xfId="0" applyFont="1" applyBorder="1" applyNumberFormat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22" fillId="0" borderId="15" xfId="0" applyFont="1" applyBorder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5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10" fontId="19" fillId="0" borderId="10" xfId="0" applyFont="1" applyBorder="1" applyNumberFormat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173" fontId="19" fillId="7" borderId="10" xfId="0" applyFont="1" applyFill="1" applyBorder="1" applyNumberFormat="1">
      <alignment horizontal="center" vertical="center" wrapText="1"/>
      <protection locked="0"/>
    </xf>
    <xf numFmtId="173" fontId="20" fillId="7" borderId="10" xfId="0" applyFont="1" applyFill="1" applyBorder="1" applyNumberFormat="1">
      <alignment horizontal="center" vertical="center" wrapText="1"/>
      <protection locked="0"/>
    </xf>
    <xf numFmtId="173" fontId="20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10" fontId="19" fillId="0" borderId="10" xfId="0" applyFont="1" applyBorder="1" applyNumberFormat="1">
      <alignment horizontal="center" vertical="center" wrapText="1"/>
    </xf>
    <xf numFmtId="10" fontId="20" fillId="0" borderId="10" xfId="0" applyFont="1" applyBorder="1" applyNumberFormat="1">
      <alignment horizontal="center" vertical="center" wrapText="1"/>
    </xf>
    <xf numFmtId="10" fontId="20" fillId="0" borderId="12" xfId="0" applyFont="1" applyBorder="1" applyNumberFormat="1">
      <alignment horizontal="center" vertical="center" wrapText="1"/>
    </xf>
    <xf numFmtId="173" fontId="19" fillId="0" borderId="10" xfId="0" applyFont="1" applyBorder="1" applyNumberFormat="1">
      <alignment horizontal="center" vertical="center" wrapText="1"/>
    </xf>
    <xf numFmtId="171" fontId="19" fillId="0" borderId="10" xfId="0" applyFont="1" applyBorder="1" applyNumberFormat="1">
      <alignment horizontal="center" vertical="center" wrapText="1"/>
    </xf>
    <xf numFmtId="10" fontId="19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10" fontId="19" fillId="0" borderId="12" xfId="0" applyFont="1" applyBorder="1" applyNumberFormat="1">
      <alignment horizontal="center" vertical="center" wrapText="1"/>
    </xf>
    <xf numFmtId="0" fontId="19" fillId="0" borderId="15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0" xfId="0" applyFont="1" applyBorder="1">
      <alignment horizontal="center" wrapText="1"/>
    </xf>
    <xf numFmtId="172" fontId="19" fillId="0" borderId="10" xfId="0" applyFont="1" applyBorder="1" applyNumberFormat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172" fontId="21" fillId="0" borderId="10" xfId="0" applyFont="1" applyBorder="1" applyNumberFormat="1">
      <alignment horizontal="center" vertical="center" wrapText="1"/>
    </xf>
    <xf numFmtId="173" fontId="19" fillId="0" borderId="10" xfId="0" applyFont="1" applyBorder="1" applyNumberFormat="1">
      <alignment horizontal="center" vertical="center" wrapText="1"/>
    </xf>
    <xf numFmtId="10" fontId="21" fillId="0" borderId="10" xfId="0" applyFont="1" applyBorder="1" applyNumberFormat="1">
      <alignment horizontal="center" vertical="center" wrapText="1"/>
    </xf>
    <xf numFmtId="173" fontId="19" fillId="7" borderId="12" xfId="0" applyFont="1" applyFill="1" applyBorder="1" applyNumberFormat="1">
      <alignment horizontal="center" vertical="center" wrapText="1"/>
      <protection locked="0"/>
    </xf>
    <xf numFmtId="10" fontId="19" fillId="33" borderId="10" xfId="0" applyFont="1" applyFill="1" applyBorder="1" applyNumberFormat="1">
      <alignment horizontal="center" vertical="center" wrapText="1"/>
    </xf>
    <xf numFmtId="174" fontId="19" fillId="0" borderId="10" xfId="0" applyFont="1" applyBorder="1" applyNumberFormat="1">
      <alignment horizontal="center" vertical="center" wrapText="1"/>
    </xf>
    <xf numFmtId="10" fontId="19" fillId="0" borderId="12" xfId="0" applyFont="1" applyBorder="1" applyNumberFormat="1">
      <alignment horizontal="center" vertical="center" wrapText="1"/>
    </xf>
    <xf numFmtId="173" fontId="19" fillId="0" borderId="12" xfId="0" applyFont="1" applyBorder="1" applyNumberFormat="1">
      <alignment horizontal="center" vertical="center" wrapText="1"/>
    </xf>
    <xf numFmtId="172" fontId="22" fillId="0" borderId="15" xfId="0" applyFont="1" applyBorder="1" applyNumberFormat="1">
      <alignment horizontal="center" vertical="center" wrapText="1"/>
    </xf>
    <xf numFmtId="172" fontId="22" fillId="0" borderId="10" xfId="0" applyFont="1" applyBorder="1" applyNumberFormat="1">
      <alignment horizontal="center" vertical="center" wrapText="1"/>
    </xf>
    <xf numFmtId="172" fontId="19" fillId="0" borderId="15" xfId="0" applyFont="1" applyBorder="1" applyNumberFormat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172" fontId="19" fillId="0" borderId="12" xfId="0" applyFont="1" applyBorder="1" applyNumberFormat="1">
      <alignment horizontal="center" vertical="center" wrapText="1"/>
    </xf>
    <xf numFmtId="173" fontId="19" fillId="0" borderId="10" xfId="0" applyFont="1" applyBorder="1" applyNumberFormat="1">
      <alignment horizontal="center" vertical="center" wrapText="1"/>
    </xf>
    <xf numFmtId="173" fontId="24" fillId="0" borderId="10" xfId="0" applyFont="1" applyBorder="1" applyNumberFormat="1">
      <alignment horizontal="center" vertical="center" wrapText="1"/>
    </xf>
    <xf numFmtId="172" fontId="19" fillId="33" borderId="10" xfId="0" applyFont="1" applyFill="1" applyBorder="1" applyNumberFormat="1">
      <alignment horizontal="center" vertical="center" wrapText="1"/>
    </xf>
    <xf numFmtId="173" fontId="19" fillId="7" borderId="12" xfId="0" applyFont="1" applyFill="1" applyBorder="1" applyNumberFormat="1">
      <alignment horizontal="center" vertical="center" wrapText="1"/>
      <protection locked="0"/>
    </xf>
    <xf numFmtId="172" fontId="19" fillId="0" borderId="15" xfId="0" applyFont="1" applyBorder="1" applyNumberFormat="1">
      <alignment horizontal="center" vertical="center" wrapText="1"/>
    </xf>
    <xf numFmtId="173" fontId="19" fillId="7" borderId="12" xfId="0" applyFont="1" applyFill="1" applyBorder="1" applyNumberFormat="1">
      <alignment horizontal="center" vertical="center" wrapText="1"/>
    </xf>
    <xf numFmtId="172" fontId="20" fillId="0" borderId="15" xfId="0" applyFont="1" applyBorder="1" applyNumberFormat="1">
      <alignment horizontal="center" vertical="center" wrapText="1"/>
    </xf>
    <xf numFmtId="172" fontId="19" fillId="33" borderId="10" xfId="0" applyFont="1" applyFill="1" applyBorder="1" applyNumberFormat="1">
      <alignment horizontal="center" vertical="center" wrapText="1"/>
    </xf>
    <xf numFmtId="172" fontId="19" fillId="33" borderId="12" xfId="0" applyFont="1" applyFill="1" applyBorder="1" applyNumberFormat="1">
      <alignment horizontal="center" vertical="center" wrapText="1"/>
    </xf>
    <xf numFmtId="172" fontId="22" fillId="0" borderId="15" xfId="0" applyFont="1" applyBorder="1" applyNumberFormat="1">
      <alignment horizontal="center" vertical="center" wrapText="1"/>
    </xf>
    <xf numFmtId="172" fontId="22" fillId="0" borderId="10" xfId="0" applyFont="1" applyBorder="1" applyNumberFormat="1">
      <alignment horizontal="center" vertical="center" wrapText="1"/>
    </xf>
    <xf numFmtId="172" fontId="19" fillId="33" borderId="10" xfId="0" applyFont="1" applyFill="1" applyBorder="1" applyNumberFormat="1">
      <alignment horizontal="center" vertical="center" wrapText="1"/>
    </xf>
    <xf numFmtId="172" fontId="19" fillId="0" borderId="15" xfId="0" applyFont="1" applyBorder="1" applyNumberFormat="1">
      <alignment horizontal="center" vertical="center" wrapText="1"/>
    </xf>
    <xf numFmtId="173" fontId="19" fillId="34" borderId="10" xfId="0" applyFont="1" applyFill="1" applyBorder="1" applyNumberFormat="1">
      <alignment horizontal="center" vertical="center" wrapText="1"/>
    </xf>
    <xf numFmtId="173" fontId="19" fillId="7" borderId="11" xfId="0" applyFont="1" applyFill="1" applyBorder="1" applyNumberFormat="1">
      <alignment horizontal="center" vertical="center" wrapText="1"/>
      <protection locked="0"/>
    </xf>
    <xf numFmtId="173" fontId="19" fillId="34" borderId="13" xfId="0" applyFont="1" applyFill="1" applyBorder="1" applyNumberFormat="1">
      <alignment horizontal="center" vertical="center" wrapText="1"/>
    </xf>
    <xf numFmtId="173" fontId="19" fillId="7" borderId="10" xfId="0" applyFont="1" applyFill="1" applyBorder="1" applyNumberFormat="1">
      <alignment vertical="center" wrapText="1"/>
      <protection locked="0"/>
    </xf>
    <xf numFmtId="172" fontId="19" fillId="0" borderId="14" xfId="0" applyFont="1" applyBorder="1" applyNumberFormat="1">
      <alignment horizontal="center" vertical="center" wrapText="1"/>
    </xf>
    <xf numFmtId="173" fontId="19" fillId="7" borderId="22" xfId="0" applyFont="1" applyFill="1" applyBorder="1" applyNumberFormat="1">
      <alignment horizontal="center" vertical="center" wrapText="1"/>
      <protection locked="0"/>
    </xf>
    <xf numFmtId="173" fontId="19" fillId="7" borderId="23" xfId="0" applyFont="1" applyFill="1" applyBorder="1" applyNumberFormat="1">
      <alignment horizontal="center" vertical="center" wrapText="1"/>
    </xf>
    <xf numFmtId="172" fontId="19" fillId="0" borderId="11" xfId="0" applyFont="1" applyBorder="1" applyNumberFormat="1">
      <alignment horizontal="center" vertical="center" wrapText="1"/>
    </xf>
    <xf numFmtId="173" fontId="19" fillId="7" borderId="16" xfId="0" applyFont="1" applyFill="1" applyBorder="1" applyNumberFormat="1">
      <alignment horizontal="center" vertical="center" wrapText="1"/>
      <protection locked="0"/>
    </xf>
    <xf numFmtId="172" fontId="19" fillId="0" borderId="17" xfId="0" applyFont="1" applyBorder="1" applyNumberFormat="1">
      <alignment horizontal="center" vertical="center" wrapText="1"/>
    </xf>
    <xf numFmtId="173" fontId="19" fillId="7" borderId="18" xfId="0" applyFont="1" applyFill="1" applyBorder="1" applyNumberFormat="1">
      <alignment horizontal="center" vertical="center" wrapText="1"/>
      <protection locked="0"/>
    </xf>
    <xf numFmtId="173" fontId="19" fillId="0" borderId="18" xfId="0" applyFont="1" applyBorder="1" applyNumberFormat="1">
      <alignment horizontal="center" vertical="center" wrapText="1"/>
    </xf>
    <xf numFmtId="173" fontId="19" fillId="7" borderId="19" xfId="0" applyFont="1" applyFill="1" applyBorder="1" applyNumberFormat="1">
      <alignment horizontal="center" vertical="center" wrapText="1"/>
      <protection locked="0"/>
    </xf>
    <xf numFmtId="173" fontId="20" fillId="0" borderId="18" xfId="0" applyFont="1" applyBorder="1" applyNumberFormat="1">
      <alignment horizontal="center" vertical="center" wrapText="1"/>
    </xf>
    <xf numFmtId="173" fontId="23" fillId="7" borderId="28" xfId="0" applyFont="1" applyFill="1" applyBorder="1" applyNumberFormat="1">
      <alignment horizontal="center" vertical="center" wrapText="1"/>
      <protection locked="0"/>
    </xf>
    <xf numFmtId="173" fontId="23" fillId="7" borderId="28" xfId="0" applyFont="1" applyFill="1" applyBorder="1" applyNumberFormat="1">
      <alignment horizontal="center" vertical="center" wrapText="1"/>
    </xf>
    <xf numFmtId="173" fontId="23" fillId="7" borderId="18" xfId="0" applyFont="1" applyFill="1" applyBorder="1" applyNumberFormat="1">
      <alignment horizontal="center" vertical="center" wrapText="1"/>
    </xf>
    <xf numFmtId="173" fontId="23" fillId="7" borderId="19" xfId="0" applyFont="1" applyFill="1" applyBorder="1" applyNumberFormat="1">
      <alignment horizontal="center" vertical="center" wrapText="1"/>
    </xf>
    <xf numFmtId="172" fontId="19" fillId="0" borderId="18" xfId="0" applyFont="1" applyBorder="1" applyNumberFormat="1">
      <alignment horizontal="center" vertical="center" wrapText="1"/>
    </xf>
    <xf numFmtId="173" fontId="23" fillId="7" borderId="20" xfId="0" applyFont="1" applyFill="1" applyBorder="1" applyNumberFormat="1">
      <alignment vertical="center" wrapText="1"/>
    </xf>
    <xf numFmtId="173" fontId="23" fillId="7" borderId="20" xfId="0" applyFont="1" applyFill="1" applyBorder="1" applyNumberFormat="1">
      <alignment vertical="center" wrapText="1"/>
      <protection locked="0"/>
    </xf>
    <xf numFmtId="173" fontId="23" fillId="7" borderId="21" xfId="0" applyFont="1" applyFill="1" applyBorder="1" applyNumberFormat="1">
      <alignment vertical="center" wrapText="1"/>
    </xf>
    <xf numFmtId="0" fontId="19" fillId="0" borderId="0" xfId="0" applyFont="1">
      <alignment horizontal="right" vertical="center" wrapText="1"/>
    </xf>
    <xf numFmtId="0" fontId="19" fillId="34" borderId="0" xfId="0" applyFont="1" applyFill="1">
      <alignment horizontal="left" vertical="center" wrapText="1"/>
      <protection locked="0"/>
    </xf>
    <xf numFmtId="0" fontId="19" fillId="34" borderId="0" xfId="0" applyFont="1" applyFill="1">
      <alignment horizontal="left" vertical="center" wrapText="1"/>
    </xf>
    <xf numFmtId="0" fontId="19" fillId="34" borderId="0" xfId="0" applyFont="1" applyFill="1">
      <alignment horizontal="right" vertical="center" wrapText="1"/>
    </xf>
    <xf numFmtId="0" fontId="19" fillId="34" borderId="0" xfId="0" applyFont="1" applyFill="1">
      <alignment horizontal="righ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_Sheet1_1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A15139-ACBB-04B8-6378-6346B100F8A4}" mc:Ignorable="x14ac xr xr2 xr3">
  <dimension ref="A1:S36"/>
  <sheetViews>
    <sheetView topLeftCell="A1" showGridLines="0" zoomScale="80" workbookViewId="0" tabSelected="1">
      <selection activeCell="A1" sqref="A1"/>
    </sheetView>
  </sheetViews>
  <sheetFormatPr customHeight="1" defaultRowHeight="14.25"/>
  <cols>
    <col min="1" max="1" style="231" width="2.57421875" customWidth="1"/>
    <col min="2" max="2" style="232" width="17.28125" customWidth="1"/>
    <col min="3" max="3" style="233" width="12.57421875" customWidth="1"/>
    <col min="4" max="4" style="234" width="12.57421875" customWidth="1"/>
    <col min="5" max="5" style="235" width="14.421875" customWidth="1"/>
    <col min="6" max="6" style="236" width="12.57421875" customWidth="1"/>
    <col min="7" max="7" style="237" width="12.57421875" customWidth="1"/>
    <col min="8" max="8" style="238" width="17.28125" customWidth="1"/>
    <col min="9" max="9" style="239" width="14.8515625" customWidth="1"/>
    <col min="10" max="10" style="240" width="12.57421875" customWidth="1"/>
    <col min="11" max="11" style="241" width="12.57421875" customWidth="1"/>
    <col min="12" max="12" style="242" width="15.140625" customWidth="1"/>
    <col min="13" max="13" style="243" width="12.57421875" customWidth="1"/>
    <col min="14" max="14" style="244" width="12.57421875" customWidth="1"/>
    <col min="15" max="15" style="245" width="12.57421875" customWidth="1"/>
    <col min="16" max="16" style="246" width="12.57421875" customWidth="1"/>
    <col min="17" max="17" style="247" width="12.57421875" customWidth="1"/>
    <col min="18" max="18" style="248" width="12.57421875" customWidth="1"/>
    <col min="19" max="19" style="249" width="12.57421875" customWidth="1"/>
  </cols>
  <sheetData>
    <row customHeight="1" ht="2.25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customHeight="1" ht="38.25">
      <c r="A2" s="137"/>
      <c r="B2" s="138" t="s">
        <v>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40"/>
    </row>
    <row s="66" customFormat="1" customHeight="1" ht="20.25">
      <c r="A3" s="141"/>
      <c r="B3" s="122" t="s">
        <v>1</v>
      </c>
      <c r="C3" s="100"/>
      <c r="D3" s="100"/>
      <c r="E3" s="144" t="s">
        <v>2</v>
      </c>
      <c r="F3" s="144"/>
      <c r="G3" s="144"/>
      <c r="H3" s="144"/>
      <c r="I3" s="145" t="s">
        <v>3</v>
      </c>
      <c r="J3" s="145"/>
      <c r="K3" s="145"/>
      <c r="L3" s="145"/>
      <c r="M3" s="145"/>
      <c r="N3" s="145"/>
      <c r="O3" s="145"/>
      <c r="P3" s="145"/>
      <c r="Q3" s="146"/>
      <c r="R3" s="100" t="s">
        <v>4</v>
      </c>
      <c r="S3" s="101"/>
    </row>
    <row s="66" customFormat="1" customHeight="1" ht="20.25">
      <c r="A4" s="141"/>
      <c r="B4" s="79" t="s">
        <v>5</v>
      </c>
      <c r="C4" s="118" t="s">
        <v>6</v>
      </c>
      <c r="D4" s="118"/>
      <c r="E4" s="106" t="s">
        <v>7</v>
      </c>
      <c r="F4" s="106"/>
      <c r="G4" s="106" t="s">
        <v>8</v>
      </c>
      <c r="H4" s="106"/>
      <c r="I4" s="106" t="s">
        <v>5</v>
      </c>
      <c r="J4" s="106"/>
      <c r="K4" s="106" t="s">
        <v>9</v>
      </c>
      <c r="L4" s="106"/>
      <c r="M4" s="70" t="s">
        <v>5</v>
      </c>
      <c r="N4" s="106" t="s">
        <v>10</v>
      </c>
      <c r="O4" s="106"/>
      <c r="P4" s="106" t="s">
        <v>11</v>
      </c>
      <c r="Q4" s="106"/>
      <c r="R4" s="106" t="s">
        <v>8</v>
      </c>
      <c r="S4" s="117"/>
    </row>
    <row s="66" customFormat="1" customHeight="1" ht="20.25">
      <c r="A5" s="141"/>
      <c r="B5" s="80" t="s">
        <v>12</v>
      </c>
      <c r="C5" s="68" t="s">
        <v>13</v>
      </c>
      <c r="D5" s="48" t="s">
        <v>14</v>
      </c>
      <c r="E5" s="68" t="s">
        <v>13</v>
      </c>
      <c r="F5" s="68" t="s">
        <v>14</v>
      </c>
      <c r="G5" s="68" t="s">
        <v>13</v>
      </c>
      <c r="H5" s="68" t="s">
        <v>14</v>
      </c>
      <c r="I5" s="68" t="s">
        <v>15</v>
      </c>
      <c r="J5" s="68" t="s">
        <v>12</v>
      </c>
      <c r="K5" s="68" t="s">
        <v>13</v>
      </c>
      <c r="L5" s="68" t="s">
        <v>14</v>
      </c>
      <c r="M5" s="68" t="s">
        <v>12</v>
      </c>
      <c r="N5" s="68" t="s">
        <v>13</v>
      </c>
      <c r="O5" s="68" t="s">
        <v>14</v>
      </c>
      <c r="P5" s="68" t="s">
        <v>13</v>
      </c>
      <c r="Q5" s="68" t="s">
        <v>14</v>
      </c>
      <c r="R5" s="68" t="s">
        <v>13</v>
      </c>
      <c r="S5" s="81" t="s">
        <v>14</v>
      </c>
    </row>
    <row s="66" customFormat="1" customHeight="1" ht="20.25">
      <c r="A6" s="141"/>
      <c r="B6" s="80" t="s">
        <v>16</v>
      </c>
      <c r="C6" s="157">
        <v>3409</v>
      </c>
      <c r="D6" s="48"/>
      <c r="E6" s="158">
        <v>10102</v>
      </c>
      <c r="F6" s="48"/>
      <c r="G6" s="54">
        <f>_xlfn.IFERROR(C6+E6,"")</f>
        <v>13511</v>
      </c>
      <c r="H6" s="48"/>
      <c r="I6" s="157">
        <v>87</v>
      </c>
      <c r="J6" s="49" t="s">
        <v>17</v>
      </c>
      <c r="K6" s="157">
        <v>790</v>
      </c>
      <c r="L6" s="57"/>
      <c r="M6" s="68" t="s">
        <v>17</v>
      </c>
      <c r="N6" s="157">
        <v>0</v>
      </c>
      <c r="O6" s="48"/>
      <c r="P6" s="158">
        <v>4763</v>
      </c>
      <c r="Q6" s="52"/>
      <c r="R6" s="54">
        <f>_xlfn.IFERROR(N6+P6,"")</f>
        <v>4763</v>
      </c>
      <c r="S6" s="82"/>
    </row>
    <row s="66" customFormat="1" customHeight="1" ht="20.25">
      <c r="A7" s="141"/>
      <c r="B7" s="80" t="s">
        <v>18</v>
      </c>
      <c r="C7" s="157">
        <v>1550</v>
      </c>
      <c r="D7" s="48">
        <f>_xlfn.IFERROR(C7/C6,"")</f>
        <v>0.454678791434438</v>
      </c>
      <c r="E7" s="157">
        <v>1440.0668</v>
      </c>
      <c r="F7" s="48">
        <f>_xlfn.IFERROR(E7/E6,"")</f>
        <v>0.142552643040982</v>
      </c>
      <c r="G7" s="64">
        <f>_xlfn.IFERROR(C7+E7,"")</f>
        <v>2990.0668</v>
      </c>
      <c r="H7" s="48">
        <f>_xlfn.IFERROR(G7/G6,"")</f>
        <v>0.221306106135741</v>
      </c>
      <c r="I7" s="64"/>
      <c r="J7" s="50" t="s">
        <v>19</v>
      </c>
      <c r="K7" s="157">
        <v>2</v>
      </c>
      <c r="L7" s="166"/>
      <c r="M7" s="167" t="s">
        <v>20</v>
      </c>
      <c r="N7" s="157">
        <v>0</v>
      </c>
      <c r="O7" s="48"/>
      <c r="P7" s="158">
        <v>4677.44</v>
      </c>
      <c r="Q7" s="52"/>
      <c r="R7" s="54">
        <f>_xlfn.IFERROR(N7+P7,"")</f>
        <v>4677.44</v>
      </c>
      <c r="S7" s="83"/>
    </row>
    <row s="66" customFormat="1" customHeight="1" ht="20.25">
      <c r="A8" s="141"/>
      <c r="B8" s="169" t="s">
        <v>21</v>
      </c>
      <c r="C8" s="157" t="s">
        <v>22</v>
      </c>
      <c r="D8" s="48" t="str">
        <f>_xlfn.IFERROR(C8/C6,"")</f>
        <v/>
      </c>
      <c r="E8" s="157">
        <v>0</v>
      </c>
      <c r="F8" s="48">
        <f>_xlfn.IFERROR(E8/E6,"")</f>
        <v>0</v>
      </c>
      <c r="G8" s="64" t="str">
        <f>_xlfn.IFERROR(C8+E8,"")</f>
        <v/>
      </c>
      <c r="H8" s="48" t="str">
        <f>_xlfn.IFERROR(G8/G6,"")</f>
        <v/>
      </c>
      <c r="I8" s="64"/>
      <c r="J8" s="50" t="s">
        <v>23</v>
      </c>
      <c r="K8" s="157">
        <v>731</v>
      </c>
      <c r="L8" s="166">
        <f>_xlfn.IFERROR(K8/K6,"")</f>
        <v>0.925316455696203</v>
      </c>
      <c r="M8" s="68" t="s">
        <v>24</v>
      </c>
      <c r="N8" s="157">
        <v>0</v>
      </c>
      <c r="O8" s="48" t="str">
        <f>_xlfn.IFERROR(N8/N6,"")</f>
        <v/>
      </c>
      <c r="P8" s="157">
        <v>2427</v>
      </c>
      <c r="Q8" s="48">
        <f>_xlfn.IFERROR(P8/P6,"")</f>
        <v>0.509552802855343</v>
      </c>
      <c r="R8" s="54">
        <f>_xlfn.IFERROR(N8+P8,"")</f>
        <v>2427</v>
      </c>
      <c r="S8" s="83">
        <f>_xlfn.IFERROR(R8/R6,"")</f>
        <v>0.509552802855343</v>
      </c>
    </row>
    <row s="66" customFormat="1" customHeight="1" ht="20.25">
      <c r="A9" s="141"/>
      <c r="B9" s="80" t="s">
        <v>25</v>
      </c>
      <c r="C9" s="157" t="s">
        <v>22</v>
      </c>
      <c r="D9" s="48" t="str">
        <f>_xlfn.IFERROR(C9/C6,"")</f>
        <v/>
      </c>
      <c r="E9" s="157">
        <v>0</v>
      </c>
      <c r="F9" s="48">
        <f>_xlfn.IFERROR(E9/E6,"")</f>
        <v>0</v>
      </c>
      <c r="G9" s="64" t="str">
        <f>_xlfn.IFERROR(C9+E9,"")</f>
        <v/>
      </c>
      <c r="H9" s="48" t="str">
        <f>_xlfn.IFERROR(G9/G6,"")</f>
        <v/>
      </c>
      <c r="I9" s="64"/>
      <c r="J9" s="50" t="s">
        <v>26</v>
      </c>
      <c r="K9" s="157">
        <v>51</v>
      </c>
      <c r="L9" s="166">
        <f>_xlfn.IFERROR(K9/K6,"")</f>
        <v>0.0645569620253165</v>
      </c>
      <c r="M9" s="68" t="s">
        <v>27</v>
      </c>
      <c r="N9" s="157">
        <v>0</v>
      </c>
      <c r="O9" s="48" t="str">
        <f>_xlfn.IFERROR(N9/N6,"")</f>
        <v/>
      </c>
      <c r="P9" s="157">
        <v>900</v>
      </c>
      <c r="Q9" s="48">
        <f>_xlfn.IFERROR(P9/P6,"")</f>
        <v>0.188956539995801</v>
      </c>
      <c r="R9" s="54">
        <f>_xlfn.IFERROR(N9+P9,"")</f>
        <v>900</v>
      </c>
      <c r="S9" s="83">
        <f>_xlfn.IFERROR(R9/R6,"")</f>
        <v>0.188956539995801</v>
      </c>
    </row>
    <row s="66" customFormat="1" customHeight="1" ht="20.25">
      <c r="A10" s="141"/>
      <c r="B10" s="80" t="s">
        <v>28</v>
      </c>
      <c r="C10" s="157">
        <v>969</v>
      </c>
      <c r="D10" s="48">
        <f>_xlfn.IFERROR(C10/C6,"")</f>
        <v>0.284247579935465</v>
      </c>
      <c r="E10" s="157">
        <v>3407</v>
      </c>
      <c r="F10" s="48">
        <f>_xlfn.IFERROR(E10/E6,"")</f>
        <v>0.337259948525045</v>
      </c>
      <c r="G10" s="64">
        <f>_xlfn.IFERROR(C10+E10,"")</f>
        <v>4376</v>
      </c>
      <c r="H10" s="48">
        <f>_xlfn.IFERROR(G10/G6,"")</f>
        <v>0.323884242469099</v>
      </c>
      <c r="I10" s="64"/>
      <c r="J10" s="50"/>
      <c r="K10" s="64"/>
      <c r="L10" s="166"/>
      <c r="M10" s="68" t="s">
        <v>29</v>
      </c>
      <c r="N10" s="157">
        <v>0</v>
      </c>
      <c r="O10" s="48" t="str">
        <f>_xlfn.IFERROR(N10/N6,"")</f>
        <v/>
      </c>
      <c r="P10" s="157">
        <v>718</v>
      </c>
      <c r="Q10" s="48">
        <f>_xlfn.IFERROR(P10/P6,"")</f>
        <v>0.150745328574428</v>
      </c>
      <c r="R10" s="54">
        <f>_xlfn.IFERROR(N10+P10,"")</f>
        <v>718</v>
      </c>
      <c r="S10" s="83">
        <f>_xlfn.IFERROR(R10/R6,"")</f>
        <v>0.150745328574428</v>
      </c>
    </row>
    <row s="66" customFormat="1" customHeight="1" ht="20.25">
      <c r="A11" s="141"/>
      <c r="B11" s="80" t="s">
        <v>30</v>
      </c>
      <c r="C11" s="157">
        <v>871</v>
      </c>
      <c r="D11" s="48">
        <f>_xlfn.IFERROR(C11/C6,"")</f>
        <v>0.255500146670578</v>
      </c>
      <c r="E11" s="157">
        <v>5069</v>
      </c>
      <c r="F11" s="48">
        <f>_xlfn.IFERROR(E11/E6,"")</f>
        <v>0.501781825381113</v>
      </c>
      <c r="G11" s="64">
        <f>_xlfn.IFERROR(C11+E11,"")</f>
        <v>5940</v>
      </c>
      <c r="H11" s="48">
        <f>_xlfn.IFERROR(G11/G6,"")</f>
        <v>0.439641773369847</v>
      </c>
      <c r="I11" s="64"/>
      <c r="J11" s="50"/>
      <c r="K11" s="64"/>
      <c r="L11" s="166"/>
      <c r="M11" s="68" t="s">
        <v>31</v>
      </c>
      <c r="N11" s="157">
        <v>0</v>
      </c>
      <c r="O11" s="48" t="str">
        <f>_xlfn.IFERROR(N11/N6,"")</f>
        <v/>
      </c>
      <c r="P11" s="157">
        <v>213</v>
      </c>
      <c r="Q11" s="48">
        <f>_xlfn.IFERROR(P11/P6,"")</f>
        <v>0.0447197144656729</v>
      </c>
      <c r="R11" s="54">
        <f>_xlfn.IFERROR(N11+P11,"")</f>
        <v>213</v>
      </c>
      <c r="S11" s="83">
        <f>_xlfn.IFERROR(R11/R6,"")</f>
        <v>0.0447197144656729</v>
      </c>
    </row>
    <row s="66" customFormat="1" customHeight="1" ht="20.25">
      <c r="A12" s="141"/>
      <c r="B12" s="79" t="s">
        <v>5</v>
      </c>
      <c r="C12" s="170" t="s">
        <v>32</v>
      </c>
      <c r="D12" s="170"/>
      <c r="E12" s="170" t="s">
        <v>33</v>
      </c>
      <c r="F12" s="170"/>
      <c r="G12" s="170"/>
      <c r="H12" s="70"/>
      <c r="I12" s="170" t="s">
        <v>34</v>
      </c>
      <c r="J12" s="170"/>
      <c r="K12" s="170"/>
      <c r="L12" s="106" t="s">
        <v>35</v>
      </c>
      <c r="M12" s="106"/>
      <c r="N12" s="106"/>
      <c r="O12" s="106" t="s">
        <v>36</v>
      </c>
      <c r="P12" s="106"/>
      <c r="Q12" s="106"/>
      <c r="R12" s="170" t="s">
        <v>37</v>
      </c>
      <c r="S12" s="171"/>
    </row>
    <row s="66" customFormat="1" customHeight="1" ht="20.25">
      <c r="A13" s="141"/>
      <c r="B13" s="80" t="s">
        <v>12</v>
      </c>
      <c r="C13" s="172" t="s">
        <v>13</v>
      </c>
      <c r="D13" s="68" t="s">
        <v>14</v>
      </c>
      <c r="E13" s="167" t="s">
        <v>12</v>
      </c>
      <c r="F13" s="167" t="s">
        <v>13</v>
      </c>
      <c r="G13" s="167" t="s">
        <v>14</v>
      </c>
      <c r="H13" s="68"/>
      <c r="I13" s="68" t="s">
        <v>12</v>
      </c>
      <c r="J13" s="68" t="s">
        <v>13</v>
      </c>
      <c r="K13" s="167" t="s">
        <v>14</v>
      </c>
      <c r="L13" s="68" t="s">
        <v>13</v>
      </c>
      <c r="M13" s="173" t="s">
        <v>13</v>
      </c>
      <c r="N13" s="68" t="s">
        <v>14</v>
      </c>
      <c r="O13" s="68" t="s">
        <v>38</v>
      </c>
      <c r="P13" s="68" t="s">
        <v>13</v>
      </c>
      <c r="Q13" s="68" t="s">
        <v>14</v>
      </c>
      <c r="R13" s="100" t="s">
        <v>39</v>
      </c>
      <c r="S13" s="101"/>
    </row>
    <row s="66" customFormat="1" customHeight="1" ht="20.25">
      <c r="A14" s="141"/>
      <c r="B14" s="169" t="s">
        <v>17</v>
      </c>
      <c r="C14" s="157">
        <v>3340</v>
      </c>
      <c r="D14" s="57"/>
      <c r="E14" s="173" t="s">
        <v>17</v>
      </c>
      <c r="F14" s="157">
        <v>2061</v>
      </c>
      <c r="G14" s="166"/>
      <c r="H14" s="71"/>
      <c r="I14" s="58" t="s">
        <v>17</v>
      </c>
      <c r="J14" s="157">
        <v>4379</v>
      </c>
      <c r="K14" s="57"/>
      <c r="L14" s="176" t="s">
        <v>17</v>
      </c>
      <c r="M14" s="157">
        <v>0</v>
      </c>
      <c r="N14" s="57"/>
      <c r="O14" s="173" t="s">
        <v>17</v>
      </c>
      <c r="P14" s="157">
        <v>0</v>
      </c>
      <c r="Q14" s="59"/>
      <c r="R14" s="173" t="s">
        <v>17</v>
      </c>
      <c r="S14" s="178">
        <v>471</v>
      </c>
    </row>
    <row s="66" customFormat="1" customHeight="1" ht="20.25">
      <c r="A15" s="141"/>
      <c r="B15" s="169" t="s">
        <v>24</v>
      </c>
      <c r="C15" s="157">
        <v>1932</v>
      </c>
      <c r="D15" s="166">
        <f>_xlfn.IFERROR(C15/C14,"")</f>
        <v>0.578443113772455</v>
      </c>
      <c r="E15" s="173" t="s">
        <v>19</v>
      </c>
      <c r="F15" s="157">
        <v>0</v>
      </c>
      <c r="G15" s="166"/>
      <c r="H15" s="50"/>
      <c r="I15" s="71" t="s">
        <v>40</v>
      </c>
      <c r="J15" s="157">
        <v>3018</v>
      </c>
      <c r="K15" s="48">
        <f>_xlfn.IFERROR(J15/J14,"")</f>
        <v>0.689198447134049</v>
      </c>
      <c r="L15" s="68" t="s">
        <v>41</v>
      </c>
      <c r="M15" s="157">
        <v>0</v>
      </c>
      <c r="N15" s="48" t="str">
        <f>_xlfn.IFERROR(M15/M14,"")</f>
        <v/>
      </c>
      <c r="O15" s="173" t="s">
        <v>27</v>
      </c>
      <c r="P15" s="157">
        <v>0</v>
      </c>
      <c r="Q15" s="60" t="str">
        <f>_xlfn.IFERROR(P15/P14,"")</f>
        <v/>
      </c>
      <c r="R15" s="173" t="s">
        <v>42</v>
      </c>
      <c r="S15" s="178">
        <v>286</v>
      </c>
    </row>
    <row s="66" customFormat="1" customHeight="1" ht="20.25">
      <c r="A16" s="141"/>
      <c r="B16" s="169" t="s">
        <v>29</v>
      </c>
      <c r="C16" s="157">
        <v>136</v>
      </c>
      <c r="D16" s="166">
        <f>_xlfn.IFERROR(C16/C14,"")</f>
        <v>0.0407185628742515</v>
      </c>
      <c r="E16" s="173" t="s">
        <v>43</v>
      </c>
      <c r="F16" s="157">
        <v>1680</v>
      </c>
      <c r="G16" s="166">
        <f>_xlfn.IFERROR(F16/F14,"")</f>
        <v>0.815138282387191</v>
      </c>
      <c r="H16" s="50"/>
      <c r="I16" s="71" t="s">
        <v>44</v>
      </c>
      <c r="J16" s="157">
        <v>252</v>
      </c>
      <c r="K16" s="48">
        <f>_xlfn.IFERROR(J16/J14,"")</f>
        <v>0.0575473852477735</v>
      </c>
      <c r="L16" s="68" t="s">
        <v>45</v>
      </c>
      <c r="M16" s="157">
        <v>0</v>
      </c>
      <c r="N16" s="48" t="str">
        <f>_xlfn.IFERROR(M16/M14,"")</f>
        <v/>
      </c>
      <c r="O16" s="173" t="s">
        <v>44</v>
      </c>
      <c r="P16" s="157">
        <v>0</v>
      </c>
      <c r="Q16" s="60" t="str">
        <f>_xlfn.IFERROR(P16/P14,"")</f>
        <v/>
      </c>
      <c r="R16" s="173" t="s">
        <v>46</v>
      </c>
      <c r="S16" s="178">
        <v>163</v>
      </c>
    </row>
    <row s="66" customFormat="1" customHeight="1" ht="20.25">
      <c r="A17" s="141"/>
      <c r="B17" s="169" t="s">
        <v>47</v>
      </c>
      <c r="C17" s="157">
        <v>458</v>
      </c>
      <c r="D17" s="166">
        <f>_xlfn.IFERROR(C17/C14,"")</f>
        <v>0.137125748502994</v>
      </c>
      <c r="E17" s="180" t="s">
        <v>48</v>
      </c>
      <c r="F17" s="157">
        <v>365</v>
      </c>
      <c r="G17" s="166">
        <f>_xlfn.IFERROR(F17/F14,"")</f>
        <v>0.177098495875788</v>
      </c>
      <c r="H17" s="50"/>
      <c r="I17" s="173" t="s">
        <v>29</v>
      </c>
      <c r="J17" s="157" t="s">
        <v>22</v>
      </c>
      <c r="K17" s="48" t="str">
        <f>_xlfn.IFERROR(J17/J14,"")</f>
        <v/>
      </c>
      <c r="L17" s="173"/>
      <c r="M17" s="64"/>
      <c r="N17" s="57"/>
      <c r="O17" s="173"/>
      <c r="P17" s="176"/>
      <c r="Q17" s="60"/>
      <c r="R17" s="173" t="s">
        <v>49</v>
      </c>
      <c r="S17" s="181">
        <f>_xlfn.IFERROR(S16/S14,"")</f>
        <v>0.346072186836518</v>
      </c>
    </row>
    <row s="66" customFormat="1" customHeight="1" ht="20.25">
      <c r="A18" s="141"/>
      <c r="B18" s="169" t="s">
        <v>50</v>
      </c>
      <c r="C18" s="157">
        <v>220</v>
      </c>
      <c r="D18" s="166">
        <f>_xlfn.IFERROR(C18/C14,"")</f>
        <v>0.0658682634730539</v>
      </c>
      <c r="E18" s="167" t="s">
        <v>51</v>
      </c>
      <c r="F18" s="157">
        <v>5</v>
      </c>
      <c r="G18" s="166">
        <f>_xlfn.IFERROR(F18/F14,"")</f>
        <v>0.00242600679281902</v>
      </c>
      <c r="H18" s="167"/>
      <c r="I18" s="173"/>
      <c r="J18" s="64"/>
      <c r="K18" s="48"/>
      <c r="L18" s="173"/>
      <c r="M18" s="64"/>
      <c r="N18" s="57"/>
      <c r="O18" s="173"/>
      <c r="P18" s="176"/>
      <c r="Q18" s="60"/>
      <c r="R18" s="173"/>
      <c r="S18" s="182"/>
    </row>
    <row s="66" customFormat="1" customHeight="1" ht="20.25">
      <c r="A19" s="141"/>
      <c r="B19" s="183" t="s">
        <v>52</v>
      </c>
      <c r="C19" s="184"/>
      <c r="D19" s="184" t="s">
        <v>53</v>
      </c>
      <c r="E19" s="184"/>
      <c r="F19" s="184"/>
      <c r="G19" s="184"/>
      <c r="H19" s="106" t="s">
        <v>54</v>
      </c>
      <c r="I19" s="106"/>
      <c r="J19" s="106"/>
      <c r="K19" s="106"/>
      <c r="L19" s="106"/>
      <c r="M19" s="106"/>
      <c r="N19" s="106"/>
      <c r="O19" s="170" t="s">
        <v>55</v>
      </c>
      <c r="P19" s="170"/>
      <c r="Q19" s="170"/>
      <c r="R19" s="170"/>
      <c r="S19" s="171"/>
    </row>
    <row s="66" customFormat="1" customHeight="1" ht="20.25">
      <c r="A20" s="141"/>
      <c r="B20" s="185" t="s">
        <v>56</v>
      </c>
      <c r="C20" s="167" t="s">
        <v>57</v>
      </c>
      <c r="D20" s="186" t="s">
        <v>58</v>
      </c>
      <c r="E20" s="186"/>
      <c r="F20" s="173" t="s">
        <v>57</v>
      </c>
      <c r="G20" s="173" t="s">
        <v>59</v>
      </c>
      <c r="H20" s="68" t="s">
        <v>60</v>
      </c>
      <c r="I20" s="68" t="s">
        <v>61</v>
      </c>
      <c r="J20" s="68" t="s">
        <v>62</v>
      </c>
      <c r="K20" s="68" t="s">
        <v>63</v>
      </c>
      <c r="L20" s="68" t="s">
        <v>64</v>
      </c>
      <c r="M20" s="68" t="s">
        <v>65</v>
      </c>
      <c r="N20" s="69" t="s">
        <v>66</v>
      </c>
      <c r="O20" s="167" t="s">
        <v>67</v>
      </c>
      <c r="P20" s="176" t="s">
        <v>68</v>
      </c>
      <c r="Q20" s="68" t="s">
        <v>69</v>
      </c>
      <c r="R20" s="167" t="s">
        <v>66</v>
      </c>
      <c r="S20" s="188" t="s">
        <v>59</v>
      </c>
    </row>
    <row s="66" customFormat="1" customHeight="1" ht="20.25">
      <c r="A21" s="141"/>
      <c r="B21" s="185" t="s">
        <v>70</v>
      </c>
      <c r="C21" s="157">
        <v>13048.1</v>
      </c>
      <c r="D21" s="109" t="s">
        <v>56</v>
      </c>
      <c r="E21" s="109"/>
      <c r="F21" s="157">
        <v>39548.6</v>
      </c>
      <c r="G21" s="157">
        <v>30000</v>
      </c>
      <c r="H21" s="71" t="s">
        <v>71</v>
      </c>
      <c r="I21" s="157" t="s">
        <v>22</v>
      </c>
      <c r="J21" s="157">
        <v>2432</v>
      </c>
      <c r="K21" s="157">
        <v>0</v>
      </c>
      <c r="L21" s="157">
        <v>0</v>
      </c>
      <c r="M21" s="157" t="s">
        <v>22</v>
      </c>
      <c r="N21" s="157">
        <v>30663</v>
      </c>
      <c r="O21" s="186" t="s">
        <v>24</v>
      </c>
      <c r="P21" s="186"/>
      <c r="Q21" s="186"/>
      <c r="R21" s="186"/>
      <c r="S21" s="190"/>
    </row>
    <row s="66" customFormat="1" customHeight="1" ht="20.25">
      <c r="A22" s="141"/>
      <c r="B22" s="185" t="s">
        <v>72</v>
      </c>
      <c r="C22" s="157">
        <v>0</v>
      </c>
      <c r="D22" s="191" t="s">
        <v>71</v>
      </c>
      <c r="E22" s="192"/>
      <c r="F22" s="157">
        <v>30663</v>
      </c>
      <c r="G22" s="157">
        <v>50000</v>
      </c>
      <c r="H22" s="71" t="s">
        <v>18</v>
      </c>
      <c r="I22" s="157" t="s">
        <v>22</v>
      </c>
      <c r="J22" s="157">
        <v>0</v>
      </c>
      <c r="K22" s="157" t="s">
        <v>22</v>
      </c>
      <c r="L22" s="157" t="s">
        <v>22</v>
      </c>
      <c r="M22" s="157">
        <v>352.74</v>
      </c>
      <c r="N22" s="157">
        <v>22050.6</v>
      </c>
      <c r="O22" s="193" t="s">
        <v>73</v>
      </c>
      <c r="P22" s="157">
        <v>573.44</v>
      </c>
      <c r="Q22" s="157">
        <v>0</v>
      </c>
      <c r="R22" s="157">
        <v>74515.76</v>
      </c>
      <c r="S22" s="194">
        <v>98000</v>
      </c>
    </row>
    <row s="66" customFormat="1" customHeight="1" ht="20.25">
      <c r="A23" s="141"/>
      <c r="B23" s="90" t="s">
        <v>74</v>
      </c>
      <c r="C23" s="157">
        <v>7259.45300000001</v>
      </c>
      <c r="D23" s="109" t="s">
        <v>75</v>
      </c>
      <c r="E23" s="109"/>
      <c r="F23" s="157">
        <v>1002.16928</v>
      </c>
      <c r="G23" s="157">
        <v>4460</v>
      </c>
      <c r="H23" s="71" t="s">
        <v>76</v>
      </c>
      <c r="I23" s="157" t="s">
        <v>22</v>
      </c>
      <c r="J23" s="157" t="s">
        <v>22</v>
      </c>
      <c r="K23" s="157" t="s">
        <v>22</v>
      </c>
      <c r="L23" s="157" t="s">
        <v>22</v>
      </c>
      <c r="M23" s="157" t="s">
        <v>22</v>
      </c>
      <c r="N23" s="157" t="s">
        <v>22</v>
      </c>
      <c r="O23" s="193" t="s">
        <v>77</v>
      </c>
      <c r="P23" s="157">
        <v>416</v>
      </c>
      <c r="Q23" s="157">
        <v>0</v>
      </c>
      <c r="R23" s="157">
        <v>4814.4</v>
      </c>
      <c r="S23" s="114"/>
    </row>
    <row s="66" customFormat="1" customHeight="1" ht="20.25">
      <c r="A24" s="141"/>
      <c r="B24" s="90" t="s">
        <v>78</v>
      </c>
      <c r="C24" s="157">
        <v>5788.647</v>
      </c>
      <c r="D24" s="186" t="s">
        <v>79</v>
      </c>
      <c r="E24" s="186"/>
      <c r="F24" s="157">
        <v>22050.6</v>
      </c>
      <c r="G24" s="157">
        <v>18000</v>
      </c>
      <c r="H24" s="71" t="s">
        <v>75</v>
      </c>
      <c r="I24" s="157" t="s">
        <v>22</v>
      </c>
      <c r="J24" s="157">
        <v>315.9</v>
      </c>
      <c r="K24" s="157" t="s">
        <v>22</v>
      </c>
      <c r="L24" s="157" t="s">
        <v>22</v>
      </c>
      <c r="M24" s="157">
        <v>536.32</v>
      </c>
      <c r="N24" s="157">
        <v>1002.16928</v>
      </c>
      <c r="O24" s="173" t="s">
        <v>80</v>
      </c>
      <c r="P24" s="157">
        <v>2193</v>
      </c>
      <c r="Q24" s="157" t="s">
        <v>22</v>
      </c>
      <c r="R24" s="157">
        <v>55355.06</v>
      </c>
      <c r="S24" s="114"/>
    </row>
    <row s="66" customFormat="1" customHeight="1" ht="20.25">
      <c r="A25" s="141"/>
      <c r="B25" s="91" t="s">
        <v>81</v>
      </c>
      <c r="C25" s="157">
        <v>29520</v>
      </c>
      <c r="D25" s="186" t="s">
        <v>82</v>
      </c>
      <c r="E25" s="186"/>
      <c r="F25" s="157" t="s">
        <v>22</v>
      </c>
      <c r="G25" s="157" t="s">
        <v>22</v>
      </c>
      <c r="H25" s="71" t="s">
        <v>83</v>
      </c>
      <c r="I25" s="157">
        <v>293</v>
      </c>
      <c r="J25" s="157" t="s">
        <v>22</v>
      </c>
      <c r="K25" s="157">
        <v>307</v>
      </c>
      <c r="L25" s="157" t="s">
        <v>22</v>
      </c>
      <c r="M25" s="157" t="s">
        <v>22</v>
      </c>
      <c r="N25" s="157">
        <v>1917.6</v>
      </c>
      <c r="O25" s="198" t="s">
        <v>27</v>
      </c>
      <c r="P25" s="198"/>
      <c r="Q25" s="198"/>
      <c r="R25" s="198"/>
      <c r="S25" s="199"/>
    </row>
    <row s="66" customFormat="1" customHeight="1" ht="20.25">
      <c r="A26" s="141"/>
      <c r="B26" s="127" t="s">
        <v>84</v>
      </c>
      <c r="C26" s="128"/>
      <c r="D26" s="186" t="s">
        <v>85</v>
      </c>
      <c r="E26" s="186"/>
      <c r="F26" s="157">
        <v>18256.4</v>
      </c>
      <c r="G26" s="157">
        <v>18000</v>
      </c>
      <c r="H26" s="64" t="s">
        <v>86</v>
      </c>
      <c r="I26" s="157">
        <v>0</v>
      </c>
      <c r="J26" s="157">
        <v>430.26</v>
      </c>
      <c r="K26" s="157" t="s">
        <v>22</v>
      </c>
      <c r="L26" s="157" t="s">
        <v>22</v>
      </c>
      <c r="M26" s="157">
        <v>128.68</v>
      </c>
      <c r="N26" s="157">
        <v>3565.92</v>
      </c>
      <c r="O26" s="202" t="s">
        <v>87</v>
      </c>
      <c r="P26" s="157">
        <v>94.76</v>
      </c>
      <c r="Q26" s="157">
        <v>0</v>
      </c>
      <c r="R26" s="157">
        <v>86181.65</v>
      </c>
      <c r="S26" s="194">
        <v>103000</v>
      </c>
    </row>
    <row s="66" customFormat="1" customHeight="1" ht="20.25">
      <c r="A27" s="141"/>
      <c r="B27" s="169" t="s">
        <v>88</v>
      </c>
      <c r="C27" s="157">
        <v>62515.76</v>
      </c>
      <c r="D27" s="186" t="s">
        <v>89</v>
      </c>
      <c r="E27" s="186"/>
      <c r="F27" s="157" t="s">
        <v>22</v>
      </c>
      <c r="G27" s="157" t="s">
        <v>22</v>
      </c>
      <c r="H27" s="173" t="s">
        <v>31</v>
      </c>
      <c r="I27" s="157" t="s">
        <v>22</v>
      </c>
      <c r="J27" s="157">
        <v>287.26</v>
      </c>
      <c r="K27" s="157" t="s">
        <v>22</v>
      </c>
      <c r="L27" s="157">
        <v>0</v>
      </c>
      <c r="M27" s="157" t="s">
        <v>22</v>
      </c>
      <c r="N27" s="157">
        <v>4493.02</v>
      </c>
      <c r="O27" s="202" t="s">
        <v>90</v>
      </c>
      <c r="P27" s="157">
        <v>192.9</v>
      </c>
      <c r="Q27" s="157">
        <v>1480</v>
      </c>
      <c r="R27" s="157">
        <v>6958.85</v>
      </c>
      <c r="S27" s="114"/>
    </row>
    <row s="66" customFormat="1" customHeight="1" ht="20.25">
      <c r="A28" s="141"/>
      <c r="B28" s="90" t="s">
        <v>91</v>
      </c>
      <c r="C28" s="157">
        <v>3714.4</v>
      </c>
      <c r="D28" s="186" t="s">
        <v>92</v>
      </c>
      <c r="E28" s="186"/>
      <c r="F28" s="157">
        <v>6102.8</v>
      </c>
      <c r="G28" s="157">
        <v>12000</v>
      </c>
      <c r="H28" s="71" t="s">
        <v>93</v>
      </c>
      <c r="I28" s="157" t="s">
        <v>22</v>
      </c>
      <c r="J28" s="157" t="s">
        <v>22</v>
      </c>
      <c r="K28" s="157" t="s">
        <v>22</v>
      </c>
      <c r="L28" s="157" t="s">
        <v>22</v>
      </c>
      <c r="M28" s="157">
        <v>0</v>
      </c>
      <c r="N28" s="157" t="s">
        <v>22</v>
      </c>
      <c r="O28" s="173" t="s">
        <v>94</v>
      </c>
      <c r="P28" s="157">
        <v>0</v>
      </c>
      <c r="Q28" s="157">
        <v>0</v>
      </c>
      <c r="R28" s="157">
        <v>1220</v>
      </c>
      <c r="S28" s="114"/>
    </row>
    <row s="66" customFormat="1" customHeight="1" ht="20.25">
      <c r="A29" s="141"/>
      <c r="B29" s="169" t="s">
        <v>95</v>
      </c>
      <c r="C29" s="157">
        <v>74181.65</v>
      </c>
      <c r="D29" s="186" t="s">
        <v>96</v>
      </c>
      <c r="E29" s="186"/>
      <c r="F29" s="157">
        <v>0</v>
      </c>
      <c r="G29" s="157">
        <v>12000</v>
      </c>
      <c r="H29" s="173" t="s">
        <v>97</v>
      </c>
      <c r="I29" s="157">
        <v>133</v>
      </c>
      <c r="J29" s="157" t="s">
        <v>22</v>
      </c>
      <c r="K29" s="157" t="s">
        <v>22</v>
      </c>
      <c r="L29" s="157">
        <v>213.54</v>
      </c>
      <c r="M29" s="157" t="s">
        <v>22</v>
      </c>
      <c r="N29" s="157">
        <v>2512.8</v>
      </c>
      <c r="O29" s="173" t="s">
        <v>80</v>
      </c>
      <c r="P29" s="157">
        <v>5251</v>
      </c>
      <c r="Q29" s="157" t="s">
        <v>22</v>
      </c>
      <c r="R29" s="157">
        <v>76095.45</v>
      </c>
      <c r="S29" s="114"/>
    </row>
    <row s="66" customFormat="1" customHeight="1" ht="20.25">
      <c r="A30" s="141"/>
      <c r="B30" s="185" t="s">
        <v>98</v>
      </c>
      <c r="C30" s="157" t="s">
        <v>22</v>
      </c>
      <c r="D30" s="186" t="s">
        <v>93</v>
      </c>
      <c r="E30" s="186"/>
      <c r="F30" s="157" t="s">
        <v>22</v>
      </c>
      <c r="G30" s="157" t="s">
        <v>22</v>
      </c>
      <c r="H30" s="173" t="s">
        <v>96</v>
      </c>
      <c r="I30" s="157" t="s">
        <v>22</v>
      </c>
      <c r="J30" s="157" t="s">
        <v>22</v>
      </c>
      <c r="K30" s="157" t="s">
        <v>22</v>
      </c>
      <c r="L30" s="157" t="s">
        <v>22</v>
      </c>
      <c r="M30" s="157" t="s">
        <v>22</v>
      </c>
      <c r="N30" s="157" t="s">
        <v>22</v>
      </c>
      <c r="O30" s="173" t="s">
        <v>71</v>
      </c>
      <c r="P30" s="157" t="s">
        <v>22</v>
      </c>
      <c r="Q30" s="157" t="s">
        <v>22</v>
      </c>
      <c r="R30" s="157">
        <v>30663</v>
      </c>
      <c r="S30" s="178">
        <v>51000</v>
      </c>
    </row>
    <row s="66" customFormat="1" customHeight="1" ht="20.25">
      <c r="A31" s="141"/>
      <c r="B31" s="203"/>
      <c r="C31" s="186"/>
      <c r="D31" s="191" t="s">
        <v>99</v>
      </c>
      <c r="E31" s="191"/>
      <c r="F31" s="157" t="s">
        <v>22</v>
      </c>
      <c r="G31" s="157" t="s">
        <v>22</v>
      </c>
      <c r="H31" s="173" t="s">
        <v>15</v>
      </c>
      <c r="I31" s="157" t="s">
        <v>22</v>
      </c>
      <c r="J31" s="157">
        <v>198.6</v>
      </c>
      <c r="K31" s="157" t="s">
        <v>22</v>
      </c>
      <c r="L31" s="157" t="s">
        <v>22</v>
      </c>
      <c r="M31" s="157">
        <v>250.12</v>
      </c>
      <c r="N31" s="157">
        <v>686.43624</v>
      </c>
      <c r="O31" s="173" t="s">
        <v>100</v>
      </c>
      <c r="P31" s="157" t="s">
        <v>22</v>
      </c>
      <c r="Q31" s="157" t="s">
        <v>22</v>
      </c>
      <c r="R31" s="157" t="s">
        <v>22</v>
      </c>
      <c r="S31" s="178" t="s">
        <v>22</v>
      </c>
    </row>
    <row s="66" customFormat="1" customHeight="1" ht="20.25">
      <c r="A32" s="141"/>
      <c r="B32" s="127" t="s">
        <v>101</v>
      </c>
      <c r="C32" s="128"/>
      <c r="D32" s="191" t="s">
        <v>102</v>
      </c>
      <c r="E32" s="191"/>
      <c r="F32" s="157">
        <v>40737</v>
      </c>
      <c r="G32" s="157">
        <v>70000</v>
      </c>
      <c r="H32" s="176" t="s">
        <v>85</v>
      </c>
      <c r="I32" s="157" t="s">
        <v>22</v>
      </c>
      <c r="J32" s="157" t="s">
        <v>22</v>
      </c>
      <c r="K32" s="157" t="s">
        <v>22</v>
      </c>
      <c r="L32" s="157" t="s">
        <v>22</v>
      </c>
      <c r="M32" s="157">
        <v>0</v>
      </c>
      <c r="N32" s="157">
        <v>18256.4</v>
      </c>
      <c r="O32" s="173" t="s">
        <v>46</v>
      </c>
      <c r="P32" s="157">
        <v>418.92</v>
      </c>
      <c r="Q32" s="157" t="s">
        <v>22</v>
      </c>
      <c r="R32" s="157">
        <v>742.02</v>
      </c>
      <c r="S32" s="178">
        <v>1500</v>
      </c>
    </row>
    <row s="66" customFormat="1" customHeight="1" ht="20.25">
      <c r="A33" s="141"/>
      <c r="B33" s="185" t="s">
        <v>103</v>
      </c>
      <c r="C33" s="173" t="s">
        <v>66</v>
      </c>
      <c r="D33" s="191" t="s">
        <v>104</v>
      </c>
      <c r="E33" s="191"/>
      <c r="F33" s="157">
        <v>4403</v>
      </c>
      <c r="G33" s="157" t="s">
        <v>22</v>
      </c>
      <c r="H33" s="204" t="s">
        <v>105</v>
      </c>
      <c r="I33" s="205" t="s">
        <v>22</v>
      </c>
      <c r="J33" s="205">
        <v>1905</v>
      </c>
      <c r="K33" s="205" t="s">
        <v>22</v>
      </c>
      <c r="L33" s="157" t="s">
        <v>22</v>
      </c>
      <c r="M33" s="157" t="s">
        <v>22</v>
      </c>
      <c r="N33" s="157">
        <v>6723.99</v>
      </c>
      <c r="O33" s="71" t="s">
        <v>31</v>
      </c>
      <c r="P33" s="157">
        <v>287.26</v>
      </c>
      <c r="Q33" s="157" t="s">
        <v>22</v>
      </c>
      <c r="R33" s="157">
        <v>4493.02</v>
      </c>
      <c r="S33" s="178">
        <v>900</v>
      </c>
    </row>
    <row s="66" customFormat="1" customHeight="1" ht="20.25">
      <c r="A34" s="141"/>
      <c r="B34" s="185" t="s">
        <v>24</v>
      </c>
      <c r="C34" s="157">
        <v>17391.2</v>
      </c>
      <c r="D34" s="191" t="s">
        <v>106</v>
      </c>
      <c r="E34" s="191"/>
      <c r="F34" s="157">
        <v>29279</v>
      </c>
      <c r="G34" s="157" t="s">
        <v>22</v>
      </c>
      <c r="H34" s="75" t="s">
        <v>107</v>
      </c>
      <c r="I34" s="207">
        <v>42482.56</v>
      </c>
      <c r="J34" s="204" t="s">
        <v>108</v>
      </c>
      <c r="K34" s="207">
        <v>40000</v>
      </c>
      <c r="L34" s="208" t="s">
        <v>109</v>
      </c>
      <c r="M34" s="209">
        <v>48461.895</v>
      </c>
      <c r="N34" s="103"/>
      <c r="O34" s="211" t="s">
        <v>15</v>
      </c>
      <c r="P34" s="205">
        <v>448.72</v>
      </c>
      <c r="Q34" s="205" t="s">
        <v>22</v>
      </c>
      <c r="R34" s="205">
        <v>686.43624</v>
      </c>
      <c r="S34" s="212">
        <v>1750</v>
      </c>
    </row>
    <row s="66" customFormat="1" customHeight="1" ht="20.25">
      <c r="A35" s="141"/>
      <c r="B35" s="213" t="s">
        <v>27</v>
      </c>
      <c r="C35" s="214">
        <v>13556</v>
      </c>
      <c r="D35" s="215" t="s">
        <v>110</v>
      </c>
      <c r="E35" s="215"/>
      <c r="F35" s="214">
        <v>29279</v>
      </c>
      <c r="G35" s="216" t="s">
        <v>22</v>
      </c>
      <c r="H35" s="217" t="s">
        <v>111</v>
      </c>
      <c r="I35" s="218" t="s">
        <v>22</v>
      </c>
      <c r="J35" s="219"/>
      <c r="K35" s="219"/>
      <c r="L35" s="220"/>
      <c r="M35" s="220"/>
      <c r="N35" s="221"/>
      <c r="O35" s="222" t="s">
        <v>112</v>
      </c>
      <c r="P35" s="223"/>
      <c r="Q35" s="223"/>
      <c r="R35" s="224" t="s">
        <v>22</v>
      </c>
      <c r="S35" s="225"/>
    </row>
    <row s="66" customFormat="1" customHeight="1" ht="20.25">
      <c r="A36" s="141"/>
      <c r="B36" s="226" t="s">
        <v>113</v>
      </c>
      <c r="C36" s="226"/>
      <c r="D36" s="227" t="s">
        <v>114</v>
      </c>
      <c r="E36" s="228"/>
      <c r="F36" s="228"/>
      <c r="G36" s="228"/>
      <c r="H36" s="228"/>
      <c r="I36" s="229" t="s">
        <v>115</v>
      </c>
      <c r="J36" s="227" t="s">
        <v>116</v>
      </c>
      <c r="K36" s="228"/>
      <c r="L36" s="228"/>
      <c r="M36" s="228"/>
      <c r="N36" s="228"/>
      <c r="O36" s="230" t="s">
        <v>117</v>
      </c>
      <c r="P36" s="230"/>
      <c r="Q36" s="227" t="s">
        <v>118</v>
      </c>
      <c r="R36" s="228"/>
      <c r="S36" s="228"/>
    </row>
  </sheetData>
  <mergeCells count="54">
    <mergeCell ref="D33:E33"/>
    <mergeCell ref="J36:N36"/>
    <mergeCell ref="I35:N35"/>
    <mergeCell ref="B36:C36"/>
    <mergeCell ref="D36:H36"/>
    <mergeCell ref="S26:S29"/>
    <mergeCell ref="B31:C31"/>
    <mergeCell ref="D31:E31"/>
    <mergeCell ref="B32:C32"/>
    <mergeCell ref="D32:E32"/>
    <mergeCell ref="D29:E29"/>
    <mergeCell ref="B26:C26"/>
    <mergeCell ref="D26:E26"/>
    <mergeCell ref="D27:E27"/>
    <mergeCell ref="D28:E28"/>
    <mergeCell ref="Q36:S36"/>
    <mergeCell ref="D34:E34"/>
    <mergeCell ref="D35:E35"/>
    <mergeCell ref="O36:P36"/>
    <mergeCell ref="B2:S2"/>
    <mergeCell ref="B3:D3"/>
    <mergeCell ref="R3:S3"/>
    <mergeCell ref="I3:Q3"/>
    <mergeCell ref="E3:H3"/>
    <mergeCell ref="N4:O4"/>
    <mergeCell ref="P4:Q4"/>
    <mergeCell ref="R4:S4"/>
    <mergeCell ref="C12:D12"/>
    <mergeCell ref="E12:G12"/>
    <mergeCell ref="I12:K12"/>
    <mergeCell ref="L12:N12"/>
    <mergeCell ref="O12:Q12"/>
    <mergeCell ref="R12:S12"/>
    <mergeCell ref="C4:D4"/>
    <mergeCell ref="E4:F4"/>
    <mergeCell ref="G4:H4"/>
    <mergeCell ref="I4:J4"/>
    <mergeCell ref="K4:L4"/>
    <mergeCell ref="R13:S13"/>
    <mergeCell ref="M34:N34"/>
    <mergeCell ref="B19:C19"/>
    <mergeCell ref="D19:G19"/>
    <mergeCell ref="H19:N19"/>
    <mergeCell ref="O19:S19"/>
    <mergeCell ref="D21:E21"/>
    <mergeCell ref="O21:S21"/>
    <mergeCell ref="D20:E20"/>
    <mergeCell ref="D22:E22"/>
    <mergeCell ref="S22:S24"/>
    <mergeCell ref="D23:E23"/>
    <mergeCell ref="D24:E24"/>
    <mergeCell ref="D30:E30"/>
    <mergeCell ref="O25:S25"/>
    <mergeCell ref="D25:E25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00D0C6D-F4B8-3AAE-5778-F3A070178888}" mc:Ignorable="x14ac xr xr2 xr3">
  <dimension ref="A1:I58"/>
  <sheetViews>
    <sheetView topLeftCell="A1" workbookViewId="0">
      <selection activeCell="G2" sqref="G2"/>
    </sheetView>
  </sheetViews>
  <sheetFormatPr customHeight="1" defaultRowHeight="14.25"/>
  <cols>
    <col min="2" max="2" style="253" width="5.00390625" customWidth="1"/>
    <col min="3" max="3" style="254" width="18.421875" customWidth="1"/>
    <col min="4" max="4" style="255" width="4.57421875" customWidth="1"/>
    <col min="5" max="5" style="256" width="8.28125" customWidth="1"/>
    <col min="6" max="6" style="257" width="17.421875" customWidth="1"/>
    <col min="7" max="7" style="258" width="53.8515625" customWidth="1"/>
    <col min="8" max="8" style="259" width="5.7109375" customWidth="1"/>
  </cols>
  <sheetData>
    <row customHeight="1" ht="14.25">
      <c r="A1" s="250" t="s">
        <v>119</v>
      </c>
      <c r="B1" s="137"/>
      <c r="C1" s="251" t="s">
        <v>120</v>
      </c>
      <c r="D1" s="137"/>
      <c r="E1" s="137" t="s">
        <v>121</v>
      </c>
      <c r="F1" s="137"/>
      <c r="G1" s="137" t="s">
        <v>122</v>
      </c>
      <c r="H1" s="137"/>
      <c r="I1" s="250" t="s">
        <v>123</v>
      </c>
    </row>
    <row customHeight="1" ht="14.25">
      <c r="A2" s="252" t="s">
        <v>124</v>
      </c>
      <c r="B2" s="252" t="s">
        <v>125</v>
      </c>
      <c r="C2" s="252" t="s">
        <v>126</v>
      </c>
      <c r="D2" s="252" t="s">
        <v>127</v>
      </c>
      <c r="E2" s="252" t="s">
        <v>128</v>
      </c>
      <c r="F2" s="252" t="s">
        <v>129</v>
      </c>
      <c r="G2" s="252" t="s">
        <v>130</v>
      </c>
      <c r="H2" s="252" t="s">
        <v>131</v>
      </c>
      <c r="I2" s="252" t="str">
        <f>A2&amp;B2&amp;C2&amp;D2&amp;E2&amp;F2&amp;G2&amp;H2</f>
        <v>#SQL("YuL_MES_Dispatch","VALUE",":where{NAME=榆炼_生产_联合一车间_220万吨/年常压装置_进_原油}")</v>
      </c>
    </row>
    <row customHeight="1" ht="14.25">
      <c r="A3" s="252" t="s">
        <v>124</v>
      </c>
      <c r="B3" s="252" t="s">
        <v>125</v>
      </c>
      <c r="C3" s="252" t="s">
        <v>126</v>
      </c>
      <c r="D3" s="252" t="s">
        <v>127</v>
      </c>
      <c r="E3" s="252" t="s">
        <v>128</v>
      </c>
      <c r="F3" s="252" t="s">
        <v>129</v>
      </c>
      <c r="G3" s="252" t="s">
        <v>132</v>
      </c>
      <c r="H3" s="252" t="s">
        <v>131</v>
      </c>
      <c r="I3" s="252" t="str">
        <f>A3&amp;B3&amp;C3&amp;D3&amp;E3&amp;F3&amp;G3&amp;H3</f>
        <v>#SQL("YuL_MES_Dispatch","VALUE",":where{NAME=榆炼_生产_联合一车间_220万吨/年常压装置_出_石脑油（常压）}")</v>
      </c>
    </row>
    <row customHeight="1" ht="14.25">
      <c r="A4" s="252" t="s">
        <v>124</v>
      </c>
      <c r="B4" s="252" t="s">
        <v>125</v>
      </c>
      <c r="C4" s="252" t="s">
        <v>126</v>
      </c>
      <c r="D4" s="252" t="s">
        <v>127</v>
      </c>
      <c r="E4" s="252" t="s">
        <v>128</v>
      </c>
      <c r="F4" s="252" t="s">
        <v>129</v>
      </c>
      <c r="G4" s="252" t="s">
        <v>133</v>
      </c>
      <c r="H4" s="252" t="s">
        <v>131</v>
      </c>
      <c r="I4" s="252" t="str">
        <f>A4&amp;B4&amp;C4&amp;D4&amp;E4&amp;F4&amp;G4&amp;H4</f>
        <v>#SQL("YuL_MES_Dispatch","VALUE",":where{NAME=榆炼_生产_联合一车间_220万吨/年常压装置_出_二三线柴油}")</v>
      </c>
    </row>
    <row customHeight="1" ht="14.25">
      <c r="A5" s="252" t="s">
        <v>124</v>
      </c>
      <c r="B5" s="252" t="s">
        <v>125</v>
      </c>
      <c r="C5" s="252" t="s">
        <v>126</v>
      </c>
      <c r="D5" s="252" t="s">
        <v>127</v>
      </c>
      <c r="E5" s="252" t="s">
        <v>128</v>
      </c>
      <c r="F5" s="252" t="s">
        <v>129</v>
      </c>
      <c r="G5" s="252" t="s">
        <v>134</v>
      </c>
      <c r="H5" s="252" t="s">
        <v>131</v>
      </c>
      <c r="I5" s="252" t="str">
        <f>A5&amp;B5&amp;C5&amp;D5&amp;E5&amp;F5&amp;G5&amp;H5</f>
        <v>#SQL("YuL_MES_Dispatch","VALUE",":where{NAME=榆炼_生产_联合一车间_220万吨/年常压装置_出_1#渣油 （常压）}")</v>
      </c>
    </row>
    <row customHeight="1" ht="14.25">
      <c r="A6" s="250"/>
      <c r="B6" s="137"/>
      <c r="C6" s="137"/>
      <c r="D6" s="137"/>
      <c r="E6" s="137"/>
      <c r="F6" s="137"/>
      <c r="G6" s="137"/>
      <c r="H6" s="137"/>
      <c r="I6" s="250"/>
    </row>
    <row customHeight="1" ht="14.25">
      <c r="A7" s="252" t="s">
        <v>124</v>
      </c>
      <c r="B7" s="252" t="s">
        <v>125</v>
      </c>
      <c r="C7" s="252" t="s">
        <v>126</v>
      </c>
      <c r="D7" s="252" t="s">
        <v>127</v>
      </c>
      <c r="E7" s="252" t="s">
        <v>128</v>
      </c>
      <c r="F7" s="252" t="s">
        <v>129</v>
      </c>
      <c r="G7" s="252" t="s">
        <v>135</v>
      </c>
      <c r="H7" s="252" t="s">
        <v>131</v>
      </c>
      <c r="I7" s="252" t="str">
        <f>A7&amp;B7&amp;C7&amp;D7&amp;E7&amp;F7&amp;G7&amp;H7</f>
        <v>#SQL("YuL_MES_Dispatch","VALUE",":where{NAME=榆炼_生产_联合一车间_500万吨/年常压装置_进_原油}")</v>
      </c>
    </row>
    <row customHeight="1" ht="14.25">
      <c r="A8" s="252" t="s">
        <v>124</v>
      </c>
      <c r="B8" s="252" t="s">
        <v>125</v>
      </c>
      <c r="C8" s="252" t="s">
        <v>126</v>
      </c>
      <c r="D8" s="252" t="s">
        <v>127</v>
      </c>
      <c r="E8" s="252" t="s">
        <v>128</v>
      </c>
      <c r="F8" s="252" t="s">
        <v>129</v>
      </c>
      <c r="G8" s="252" t="s">
        <v>136</v>
      </c>
      <c r="H8" s="252" t="s">
        <v>131</v>
      </c>
      <c r="I8" s="252" t="str">
        <f>A8&amp;B8&amp;C8&amp;D8&amp;E8&amp;F8&amp;G8&amp;H8</f>
        <v>#SQL("YuL_MES_Dispatch","VALUE",":where{NAME=榆炼_生产_联合一车间_500万吨/年常压装置_出_石脑油（常压）}")</v>
      </c>
    </row>
    <row customHeight="1" ht="14.25">
      <c r="A9" s="250" t="s">
        <v>124</v>
      </c>
      <c r="B9" s="137" t="s">
        <v>125</v>
      </c>
      <c r="C9" s="137" t="s">
        <v>126</v>
      </c>
      <c r="D9" s="137" t="s">
        <v>127</v>
      </c>
      <c r="E9" s="137" t="s">
        <v>128</v>
      </c>
      <c r="F9" s="137" t="s">
        <v>129</v>
      </c>
      <c r="G9" s="137" t="s">
        <v>137</v>
      </c>
      <c r="H9" s="137" t="s">
        <v>131</v>
      </c>
      <c r="I9" s="250" t="str">
        <f>A9&amp;B9&amp;C9&amp;D9&amp;E9&amp;F9&amp;G9&amp;H9</f>
        <v>#SQL("YuL_MES_Dispatch","VALUE",":where{NAME=榆炼_生产_联合一车间_500万吨/年常压装置_出_常一线柴油}")</v>
      </c>
    </row>
    <row customHeight="1" ht="14.25">
      <c r="A10" s="250" t="s">
        <v>124</v>
      </c>
      <c r="B10" s="137" t="s">
        <v>125</v>
      </c>
      <c r="C10" s="137" t="s">
        <v>126</v>
      </c>
      <c r="D10" s="137" t="s">
        <v>127</v>
      </c>
      <c r="E10" s="137" t="s">
        <v>128</v>
      </c>
      <c r="F10" s="137" t="s">
        <v>129</v>
      </c>
      <c r="G10" s="137" t="s">
        <v>138</v>
      </c>
      <c r="H10" s="137" t="s">
        <v>131</v>
      </c>
      <c r="I10" s="250" t="str">
        <f>A10&amp;B10&amp;C10&amp;D10&amp;E10&amp;F10&amp;G10&amp;H10</f>
        <v>#SQL("YuL_MES_Dispatch","VALUE",":where{NAME=榆炼_生产_联合一车间_500万吨/年常压装置_出_常二线柴油}")</v>
      </c>
    </row>
    <row customHeight="1" ht="14.25">
      <c r="A11" s="250" t="s">
        <v>124</v>
      </c>
      <c r="B11" s="137" t="s">
        <v>125</v>
      </c>
      <c r="C11" s="137" t="s">
        <v>126</v>
      </c>
      <c r="D11" s="137" t="s">
        <v>127</v>
      </c>
      <c r="E11" s="137" t="s">
        <v>128</v>
      </c>
      <c r="F11" s="137" t="s">
        <v>129</v>
      </c>
      <c r="G11" s="137" t="s">
        <v>139</v>
      </c>
      <c r="H11" s="137" t="s">
        <v>131</v>
      </c>
      <c r="I11" s="250" t="str">
        <f>A11&amp;B11&amp;C11&amp;D11&amp;E11&amp;F11&amp;G11&amp;H11</f>
        <v>#SQL("YuL_MES_Dispatch","VALUE",":where{NAME=榆炼_生产_联合一车间_500万吨/年常压装置_出_混合柴油}")</v>
      </c>
    </row>
    <row customHeight="1" ht="14.25">
      <c r="A12" s="250" t="s">
        <v>124</v>
      </c>
      <c r="B12" s="137" t="s">
        <v>125</v>
      </c>
      <c r="C12" s="137" t="s">
        <v>126</v>
      </c>
      <c r="D12" s="137" t="s">
        <v>127</v>
      </c>
      <c r="E12" s="137" t="s">
        <v>128</v>
      </c>
      <c r="F12" s="137" t="s">
        <v>129</v>
      </c>
      <c r="G12" s="137" t="s">
        <v>140</v>
      </c>
      <c r="H12" s="137" t="s">
        <v>131</v>
      </c>
      <c r="I12" s="250" t="str">
        <f>A12&amp;B12&amp;C12&amp;D12&amp;E12&amp;F12&amp;G12&amp;H12</f>
        <v>#SQL("YuL_MES_Dispatch","VALUE",":where{NAME=榆炼_生产_联合一车间_500万吨/年常压装置_出_1#渣油 （常压）}")</v>
      </c>
    </row>
    <row customHeight="1" ht="14.25">
      <c r="A13" s="250" t="s">
        <v>124</v>
      </c>
      <c r="B13" s="137" t="s">
        <v>125</v>
      </c>
      <c r="C13" s="137" t="s">
        <v>126</v>
      </c>
      <c r="D13" s="137" t="s">
        <v>127</v>
      </c>
      <c r="E13" s="137" t="s">
        <v>128</v>
      </c>
      <c r="F13" s="137" t="s">
        <v>129</v>
      </c>
      <c r="G13" s="137" t="s">
        <v>141</v>
      </c>
      <c r="H13" s="137" t="s">
        <v>131</v>
      </c>
      <c r="I13" s="250" t="str">
        <f>A13&amp;B13&amp;C13&amp;D13&amp;E13&amp;F13&amp;G13&amp;H13</f>
        <v>#SQL("YuL_MES_Dispatch","VALUE",":where{NAME=榆炼_生产_联合一车间_500万吨/年常压装置_出_饱和液化气}")</v>
      </c>
    </row>
    <row customHeight="1" ht="14.25">
      <c r="A14" s="250"/>
      <c r="B14" s="137"/>
      <c r="C14" s="137"/>
      <c r="D14" s="137"/>
      <c r="E14" s="137"/>
      <c r="F14" s="137"/>
      <c r="G14" s="137"/>
      <c r="H14" s="137"/>
      <c r="I14" s="250"/>
    </row>
    <row customHeight="1" ht="14.25">
      <c r="A15" s="250" t="s">
        <v>124</v>
      </c>
      <c r="B15" s="137" t="s">
        <v>125</v>
      </c>
      <c r="C15" s="137" t="s">
        <v>126</v>
      </c>
      <c r="D15" s="137" t="s">
        <v>127</v>
      </c>
      <c r="E15" s="137" t="s">
        <v>128</v>
      </c>
      <c r="F15" s="137" t="s">
        <v>129</v>
      </c>
      <c r="G15" s="137" t="s">
        <v>142</v>
      </c>
      <c r="H15" s="137" t="s">
        <v>131</v>
      </c>
      <c r="I15" s="250" t="str">
        <f>A15&amp;B15&amp;C15&amp;D15&amp;E15&amp;F15&amp;G15&amp;H15</f>
        <v>#SQL("YuL_MES_Dispatch","VALUE",":where{NAME=榆炼_生产_联合一车间_30万吨/年航煤加氢装置_进_直馏煤油}")</v>
      </c>
    </row>
    <row customHeight="1" ht="14.25">
      <c r="A16" s="250" t="s">
        <v>124</v>
      </c>
      <c r="B16" s="137" t="s">
        <v>125</v>
      </c>
      <c r="C16" s="137" t="s">
        <v>126</v>
      </c>
      <c r="D16" s="137" t="s">
        <v>127</v>
      </c>
      <c r="E16" s="137" t="s">
        <v>128</v>
      </c>
      <c r="F16" s="137" t="s">
        <v>129</v>
      </c>
      <c r="G16" s="137" t="s">
        <v>143</v>
      </c>
      <c r="H16" s="137" t="s">
        <v>131</v>
      </c>
      <c r="I16" s="250" t="str">
        <f>A16&amp;B16&amp;C16&amp;D16&amp;E16&amp;F16&amp;G16&amp;H16</f>
        <v>#SQL("YuL_MES_Dispatch","VALUE",":where{NAME=榆炼_生产_联合一车间_30万吨/年航煤加氢装置_进_氢气}")</v>
      </c>
    </row>
    <row customHeight="1" ht="14.25">
      <c r="A17" s="250" t="s">
        <v>124</v>
      </c>
      <c r="B17" s="137" t="s">
        <v>125</v>
      </c>
      <c r="C17" s="137" t="s">
        <v>126</v>
      </c>
      <c r="D17" s="137" t="s">
        <v>127</v>
      </c>
      <c r="E17" s="137" t="s">
        <v>128</v>
      </c>
      <c r="F17" s="137" t="s">
        <v>129</v>
      </c>
      <c r="G17" s="137" t="s">
        <v>144</v>
      </c>
      <c r="H17" s="137" t="s">
        <v>131</v>
      </c>
      <c r="I17" s="250" t="str">
        <f>A17&amp;B17&amp;C17&amp;D17&amp;E17&amp;F17&amp;G17&amp;H17</f>
        <v>#SQL("YuL_MES_Dispatch","VALUE",":where{NAME=榆炼_生产_联合一车间_30万吨/年航煤加氢装置_出_精制航煤}")</v>
      </c>
    </row>
    <row customHeight="1" ht="14.25">
      <c r="A18" s="250" t="s">
        <v>124</v>
      </c>
      <c r="B18" s="137" t="s">
        <v>125</v>
      </c>
      <c r="C18" s="137" t="s">
        <v>126</v>
      </c>
      <c r="D18" s="137" t="s">
        <v>127</v>
      </c>
      <c r="E18" s="137" t="s">
        <v>128</v>
      </c>
      <c r="F18" s="137" t="s">
        <v>129</v>
      </c>
      <c r="G18" s="137" t="s">
        <v>145</v>
      </c>
      <c r="H18" s="137" t="s">
        <v>131</v>
      </c>
      <c r="I18" s="250" t="str">
        <f>A18&amp;B18&amp;C18&amp;D18&amp;E18&amp;F18&amp;G18&amp;H18</f>
        <v>#SQL("YuL_MES_Dispatch","VALUE",":where{NAME=榆炼_生产_联合一车间_30万吨/年航煤加氢装置_出_粗石脑油}")</v>
      </c>
    </row>
    <row customHeight="1" ht="14.25">
      <c r="A19" s="250"/>
      <c r="B19" s="137"/>
      <c r="C19" s="137"/>
      <c r="D19" s="137"/>
      <c r="E19" s="137"/>
      <c r="F19" s="137"/>
      <c r="G19" s="137"/>
      <c r="H19" s="137"/>
      <c r="I19" s="250"/>
    </row>
    <row customHeight="1" ht="14.25">
      <c r="A20" s="250" t="s">
        <v>124</v>
      </c>
      <c r="B20" s="137" t="s">
        <v>125</v>
      </c>
      <c r="C20" s="137" t="s">
        <v>126</v>
      </c>
      <c r="D20" s="137" t="s">
        <v>127</v>
      </c>
      <c r="E20" s="137" t="s">
        <v>128</v>
      </c>
      <c r="F20" s="137" t="s">
        <v>129</v>
      </c>
      <c r="G20" s="137" t="s">
        <v>146</v>
      </c>
      <c r="H20" s="137" t="s">
        <v>131</v>
      </c>
      <c r="I20" s="250" t="str">
        <f>A20&amp;B20&amp;C20&amp;D20&amp;E20&amp;F20&amp;G20&amp;H20</f>
        <v>#SQL("YuL_MES_Dispatch","VALUE",":where{NAME=榆炼_生产_联合二车间_60万吨/年催化装置_进_常压渣油}")</v>
      </c>
    </row>
    <row customHeight="1" ht="14.25">
      <c r="A21" s="250" t="s">
        <v>124</v>
      </c>
      <c r="B21" s="137" t="s">
        <v>125</v>
      </c>
      <c r="C21" s="137" t="s">
        <v>126</v>
      </c>
      <c r="D21" s="137" t="s">
        <v>127</v>
      </c>
      <c r="E21" s="137" t="s">
        <v>128</v>
      </c>
      <c r="F21" s="137" t="s">
        <v>129</v>
      </c>
      <c r="G21" s="137" t="s">
        <v>147</v>
      </c>
      <c r="H21" s="137" t="s">
        <v>131</v>
      </c>
      <c r="I21" s="250" t="str">
        <f>A21&amp;B21&amp;C21&amp;D21&amp;E21&amp;F21&amp;G21&amp;H21</f>
        <v>#SQL("YuL_MES_Dispatch","VALUE",":where{NAME=榆炼_生产_联合二车间_60万吨/年催化装置_出_催化汽油}")</v>
      </c>
    </row>
    <row customHeight="1" ht="14.25">
      <c r="A22" s="250" t="s">
        <v>124</v>
      </c>
      <c r="B22" s="137" t="s">
        <v>125</v>
      </c>
      <c r="C22" s="137" t="s">
        <v>126</v>
      </c>
      <c r="D22" s="137" t="s">
        <v>127</v>
      </c>
      <c r="E22" s="137" t="s">
        <v>128</v>
      </c>
      <c r="F22" s="137" t="s">
        <v>129</v>
      </c>
      <c r="G22" s="137" t="s">
        <v>148</v>
      </c>
      <c r="H22" s="137" t="s">
        <v>131</v>
      </c>
      <c r="I22" s="250" t="str">
        <f>A22&amp;B22&amp;C22&amp;D22&amp;E22&amp;F22&amp;G22&amp;H22</f>
        <v>#SQL("YuL_MES_Dispatch","VALUE",":where{NAME=榆炼_生产_联合二车间_60万吨/年催化装置_出_催化柴油}")</v>
      </c>
    </row>
    <row customHeight="1" ht="14.25">
      <c r="A23" s="250" t="s">
        <v>124</v>
      </c>
      <c r="B23" s="137" t="s">
        <v>125</v>
      </c>
      <c r="C23" s="137" t="s">
        <v>126</v>
      </c>
      <c r="D23" s="137" t="s">
        <v>127</v>
      </c>
      <c r="E23" s="137" t="s">
        <v>128</v>
      </c>
      <c r="F23" s="137" t="s">
        <v>129</v>
      </c>
      <c r="G23" s="137" t="s">
        <v>149</v>
      </c>
      <c r="H23" s="137" t="s">
        <v>131</v>
      </c>
      <c r="I23" s="250" t="str">
        <f>A23&amp;B23&amp;C23&amp;D23&amp;E23&amp;F23&amp;G23&amp;H23</f>
        <v>#SQL("YuL_MES_Dispatch","VALUE",":where{NAME=榆炼_生产_联合二车间_60万吨/年催化装置_出_原料液化气}")</v>
      </c>
    </row>
    <row customHeight="1" ht="14.25">
      <c r="A24" s="250" t="s">
        <v>124</v>
      </c>
      <c r="B24" s="137" t="s">
        <v>125</v>
      </c>
      <c r="C24" s="137" t="s">
        <v>126</v>
      </c>
      <c r="D24" s="137" t="s">
        <v>127</v>
      </c>
      <c r="E24" s="137" t="s">
        <v>128</v>
      </c>
      <c r="F24" s="137" t="s">
        <v>129</v>
      </c>
      <c r="G24" s="137" t="s">
        <v>150</v>
      </c>
      <c r="H24" s="137" t="s">
        <v>131</v>
      </c>
      <c r="I24" s="250" t="str">
        <f>A24&amp;B24&amp;C24&amp;D24&amp;E24&amp;F24&amp;G24&amp;H24</f>
        <v>#SQL("YuL_MES_Dispatch","VALUE",":where{NAME=榆炼_生产_联合二车间_60万吨/年催化装置_出_2#渣油(催化渣油、催化澄清油、油浆、罐区回炼油浆）}")</v>
      </c>
    </row>
    <row customHeight="1" ht="14.25">
      <c r="A25" s="250"/>
      <c r="B25" s="137"/>
      <c r="C25" s="137"/>
      <c r="D25" s="137"/>
      <c r="E25" s="137"/>
      <c r="F25" s="137"/>
      <c r="G25" s="137"/>
      <c r="H25" s="137"/>
      <c r="I25" s="250"/>
    </row>
    <row customHeight="1" ht="14.25">
      <c r="A26" s="250" t="s">
        <v>124</v>
      </c>
      <c r="B26" s="137" t="s">
        <v>125</v>
      </c>
      <c r="C26" s="137" t="s">
        <v>126</v>
      </c>
      <c r="D26" s="137" t="s">
        <v>127</v>
      </c>
      <c r="E26" s="137" t="s">
        <v>128</v>
      </c>
      <c r="F26" s="137" t="s">
        <v>129</v>
      </c>
      <c r="G26" s="137" t="s">
        <v>151</v>
      </c>
      <c r="H26" s="137" t="s">
        <v>131</v>
      </c>
      <c r="I26" s="250" t="str">
        <f>A26&amp;B26&amp;C26&amp;D26&amp;E26&amp;F26&amp;G26&amp;H26</f>
        <v>#SQL("YuL_MES_Dispatch","VALUE",":where{NAME=榆炼_生产_联合二车间_180万吨/年催化装置_进_常压渣油}")</v>
      </c>
    </row>
    <row customHeight="1" ht="14.25">
      <c r="A27" s="250" t="s">
        <v>124</v>
      </c>
      <c r="B27" s="137" t="s">
        <v>125</v>
      </c>
      <c r="C27" s="137" t="s">
        <v>126</v>
      </c>
      <c r="D27" s="137" t="s">
        <v>127</v>
      </c>
      <c r="E27" s="137" t="s">
        <v>128</v>
      </c>
      <c r="F27" s="137" t="s">
        <v>129</v>
      </c>
      <c r="G27" s="137" t="s">
        <v>152</v>
      </c>
      <c r="H27" s="137" t="s">
        <v>131</v>
      </c>
      <c r="I27" s="250" t="str">
        <f>A27&amp;B27&amp;C27&amp;D27&amp;E27&amp;F27&amp;G27&amp;H27</f>
        <v>#SQL("YuL_MES_Dispatch","VALUE",":where{NAME=榆炼_生产_联合二车间_180万吨/年催化装置_出_催化汽油}")</v>
      </c>
    </row>
    <row customHeight="1" ht="14.25">
      <c r="A28" s="250" t="s">
        <v>124</v>
      </c>
      <c r="B28" s="137" t="s">
        <v>125</v>
      </c>
      <c r="C28" s="137" t="s">
        <v>126</v>
      </c>
      <c r="D28" s="137" t="s">
        <v>127</v>
      </c>
      <c r="E28" s="137" t="s">
        <v>128</v>
      </c>
      <c r="F28" s="137" t="s">
        <v>129</v>
      </c>
      <c r="G28" s="137" t="s">
        <v>153</v>
      </c>
      <c r="H28" s="137" t="s">
        <v>131</v>
      </c>
      <c r="I28" s="250" t="str">
        <f>A28&amp;B28&amp;C28&amp;D28&amp;E28&amp;F28&amp;G28&amp;H28</f>
        <v>#SQL("YuL_MES_Dispatch","VALUE",":where{NAME=榆炼_生产_联合二车间_180万吨/年催化装置_出_催化柴油}")</v>
      </c>
    </row>
    <row customHeight="1" ht="14.25">
      <c r="A29" s="250" t="s">
        <v>124</v>
      </c>
      <c r="B29" s="137" t="s">
        <v>125</v>
      </c>
      <c r="C29" s="137" t="s">
        <v>126</v>
      </c>
      <c r="D29" s="137" t="s">
        <v>127</v>
      </c>
      <c r="E29" s="137" t="s">
        <v>128</v>
      </c>
      <c r="F29" s="137" t="s">
        <v>129</v>
      </c>
      <c r="G29" s="137" t="s">
        <v>154</v>
      </c>
      <c r="H29" s="137" t="s">
        <v>131</v>
      </c>
      <c r="I29" s="250" t="str">
        <f>A29&amp;B29&amp;C29&amp;D29&amp;E29&amp;F29&amp;G29&amp;H29</f>
        <v>#SQL("YuL_MES_Dispatch","VALUE",":where{NAME=榆炼_生产_联合二车间_180万吨/年催化装置_出_原料液化气}")</v>
      </c>
    </row>
    <row customHeight="1" ht="14.25">
      <c r="A30" s="250" t="s">
        <v>124</v>
      </c>
      <c r="B30" s="137" t="s">
        <v>125</v>
      </c>
      <c r="C30" s="137" t="s">
        <v>126</v>
      </c>
      <c r="D30" s="137" t="s">
        <v>127</v>
      </c>
      <c r="E30" s="137" t="s">
        <v>128</v>
      </c>
      <c r="F30" s="137" t="s">
        <v>129</v>
      </c>
      <c r="G30" s="137" t="s">
        <v>155</v>
      </c>
      <c r="H30" s="137" t="s">
        <v>131</v>
      </c>
      <c r="I30" s="250" t="str">
        <f>A30&amp;B30&amp;C30&amp;D30&amp;E30&amp;F30&amp;G30&amp;H30</f>
        <v>#SQL("YuL_MES_Dispatch","VALUE",":where{NAME=榆炼_生产_联合二车间_180万吨/年催化装置_出_2#渣油(催化渣油、催化澄清油、油浆、罐区回炼油浆）}")</v>
      </c>
    </row>
    <row customHeight="1" ht="14.25">
      <c r="A31" s="250"/>
      <c r="B31" s="137"/>
      <c r="C31" s="137"/>
      <c r="D31" s="137"/>
      <c r="E31" s="137"/>
      <c r="F31" s="137"/>
      <c r="G31" s="137"/>
      <c r="H31" s="137"/>
      <c r="I31" s="250"/>
    </row>
    <row customHeight="1" ht="14.25">
      <c r="A32" s="250" t="s">
        <v>124</v>
      </c>
      <c r="B32" s="137" t="s">
        <v>125</v>
      </c>
      <c r="C32" s="137" t="s">
        <v>126</v>
      </c>
      <c r="D32" s="137" t="s">
        <v>127</v>
      </c>
      <c r="E32" s="137" t="s">
        <v>128</v>
      </c>
      <c r="F32" s="137" t="s">
        <v>129</v>
      </c>
      <c r="G32" s="137" t="s">
        <v>156</v>
      </c>
      <c r="H32" s="137" t="s">
        <v>131</v>
      </c>
      <c r="I32" s="250" t="str">
        <f>A32&amp;B32&amp;C32&amp;D32&amp;E32&amp;F32&amp;G32&amp;H32</f>
        <v>#SQL("YuL_MES_Dispatch","VALUE",":where{NAME=榆炼_生产_联合三车间_100万吨/年重整装置_进_直馏汽油}")</v>
      </c>
    </row>
    <row customHeight="1" ht="14.25">
      <c r="A33" s="250" t="s">
        <v>124</v>
      </c>
      <c r="B33" s="137" t="s">
        <v>125</v>
      </c>
      <c r="C33" s="137" t="s">
        <v>126</v>
      </c>
      <c r="D33" s="137" t="s">
        <v>127</v>
      </c>
      <c r="E33" s="137" t="s">
        <v>128</v>
      </c>
      <c r="F33" s="137" t="s">
        <v>129</v>
      </c>
      <c r="G33" s="137" t="s">
        <v>157</v>
      </c>
      <c r="H33" s="137" t="s">
        <v>131</v>
      </c>
      <c r="I33" s="250" t="str">
        <f>A33&amp;B33&amp;C33&amp;D33&amp;E33&amp;F33&amp;G33&amp;H33</f>
        <v>#SQL("YuL_MES_Dispatch","VALUE",":where{NAME=榆炼_生产_联合三车间_100万吨/年重整装置_出_重整汽油}")</v>
      </c>
    </row>
    <row customHeight="1" ht="14.25">
      <c r="A34" s="250" t="s">
        <v>124</v>
      </c>
      <c r="B34" s="137" t="s">
        <v>125</v>
      </c>
      <c r="C34" s="137" t="s">
        <v>126</v>
      </c>
      <c r="D34" s="137" t="s">
        <v>127</v>
      </c>
      <c r="E34" s="137" t="s">
        <v>128</v>
      </c>
      <c r="F34" s="137" t="s">
        <v>129</v>
      </c>
      <c r="G34" s="137" t="s">
        <v>158</v>
      </c>
      <c r="H34" s="137" t="s">
        <v>131</v>
      </c>
      <c r="I34" s="250" t="str">
        <f>A34&amp;B34&amp;C34&amp;D34&amp;E34&amp;F34&amp;G34&amp;H34</f>
        <v>#SQL("YuL_MES_Dispatch","VALUE",":where{NAME=榆炼_生产_联合三车间_100万吨/年重整装置_出_液化气}")</v>
      </c>
    </row>
    <row customHeight="1" ht="14.25">
      <c r="A35" s="250" t="s">
        <v>124</v>
      </c>
      <c r="B35" s="137" t="s">
        <v>125</v>
      </c>
      <c r="C35" s="137" t="s">
        <v>126</v>
      </c>
      <c r="D35" s="137" t="s">
        <v>127</v>
      </c>
      <c r="E35" s="137" t="s">
        <v>128</v>
      </c>
      <c r="F35" s="137" t="s">
        <v>129</v>
      </c>
      <c r="G35" s="137" t="s">
        <v>159</v>
      </c>
      <c r="H35" s="137" t="s">
        <v>131</v>
      </c>
      <c r="I35" s="250" t="str">
        <f>A35&amp;B35&amp;C35&amp;D35&amp;E35&amp;F35&amp;G35&amp;H35</f>
        <v>#SQL("YuL_MES_Dispatch","VALUE",":where{NAME=榆炼_生产_联合三车间_100万吨/年重整装置_出_二甲苯}")</v>
      </c>
    </row>
    <row customHeight="1" ht="14.25">
      <c r="A36" s="250" t="s">
        <v>124</v>
      </c>
      <c r="B36" s="137" t="s">
        <v>125</v>
      </c>
      <c r="C36" s="137" t="s">
        <v>126</v>
      </c>
      <c r="D36" s="137" t="s">
        <v>127</v>
      </c>
      <c r="E36" s="137" t="s">
        <v>128</v>
      </c>
      <c r="F36" s="137" t="s">
        <v>129</v>
      </c>
      <c r="G36" s="137" t="s">
        <v>160</v>
      </c>
      <c r="H36" s="137" t="s">
        <v>131</v>
      </c>
      <c r="I36" s="250" t="str">
        <f>A36&amp;B36&amp;C36&amp;D36&amp;E36&amp;F36&amp;G36&amp;H36</f>
        <v>#SQL("YuL_MES_Dispatch","VALUE",":where{NAME=榆炼_生产_联合三车间_100万吨/年重整装置_出_含氢气体}")</v>
      </c>
    </row>
    <row customHeight="1" ht="14.25">
      <c r="A37" s="250"/>
      <c r="B37" s="137"/>
      <c r="C37" s="137"/>
      <c r="D37" s="137"/>
      <c r="E37" s="137"/>
      <c r="F37" s="137"/>
      <c r="G37" s="137"/>
      <c r="H37" s="137"/>
      <c r="I37" s="250"/>
    </row>
    <row customHeight="1" ht="14.25">
      <c r="A38" s="250" t="s">
        <v>124</v>
      </c>
      <c r="B38" s="137" t="s">
        <v>125</v>
      </c>
      <c r="C38" s="137" t="s">
        <v>126</v>
      </c>
      <c r="D38" s="137" t="s">
        <v>127</v>
      </c>
      <c r="E38" s="137" t="s">
        <v>128</v>
      </c>
      <c r="F38" s="137" t="s">
        <v>129</v>
      </c>
      <c r="G38" s="137" t="s">
        <v>161</v>
      </c>
      <c r="H38" s="137" t="s">
        <v>131</v>
      </c>
      <c r="I38" s="250" t="str">
        <f>A38&amp;B38&amp;C38&amp;D38&amp;E38&amp;F38&amp;G38&amp;H38</f>
        <v>#SQL("YuL_MES_Dispatch","VALUE",":where{NAME=榆炼_生产_联合四车间_90万吨/年汽油加氢装置_进_催化汽油}")</v>
      </c>
    </row>
    <row customHeight="1" ht="14.25">
      <c r="A39" s="250" t="s">
        <v>124</v>
      </c>
      <c r="B39" s="137" t="s">
        <v>125</v>
      </c>
      <c r="C39" s="137" t="s">
        <v>126</v>
      </c>
      <c r="D39" s="137" t="s">
        <v>127</v>
      </c>
      <c r="E39" s="137" t="s">
        <v>128</v>
      </c>
      <c r="F39" s="137" t="s">
        <v>129</v>
      </c>
      <c r="G39" s="137" t="s">
        <v>162</v>
      </c>
      <c r="H39" s="137" t="s">
        <v>131</v>
      </c>
      <c r="I39" s="250" t="str">
        <f>A39&amp;B39&amp;C39&amp;D39&amp;E39&amp;F39&amp;G39&amp;H39</f>
        <v>#SQL("YuL_MES_Dispatch","VALUE",":where{NAME=榆炼_生产_联合四车间_90万吨/年汽油加氢装置_出_氢气}")</v>
      </c>
    </row>
    <row customHeight="1" ht="14.25">
      <c r="A40" s="250" t="s">
        <v>124</v>
      </c>
      <c r="B40" s="137" t="s">
        <v>125</v>
      </c>
      <c r="C40" s="137" t="s">
        <v>126</v>
      </c>
      <c r="D40" s="137" t="s">
        <v>127</v>
      </c>
      <c r="E40" s="137" t="s">
        <v>128</v>
      </c>
      <c r="F40" s="137" t="s">
        <v>129</v>
      </c>
      <c r="G40" s="137" t="s">
        <v>163</v>
      </c>
      <c r="H40" s="137" t="s">
        <v>131</v>
      </c>
      <c r="I40" s="250" t="str">
        <f>A40&amp;B40&amp;C40&amp;D40&amp;E40&amp;F40&amp;G40&amp;H40</f>
        <v>#SQL("YuL_MES_Dispatch","VALUE",":where{NAME=榆炼_生产_联合四车间_90万吨/年汽油加氢装置_出_精制汽油}")</v>
      </c>
    </row>
    <row customHeight="1" ht="14.25">
      <c r="A41" s="250" t="s">
        <v>124</v>
      </c>
      <c r="B41" s="137" t="s">
        <v>125</v>
      </c>
      <c r="C41" s="137" t="s">
        <v>126</v>
      </c>
      <c r="D41" s="137" t="s">
        <v>127</v>
      </c>
      <c r="E41" s="137" t="s">
        <v>128</v>
      </c>
      <c r="F41" s="137" t="s">
        <v>129</v>
      </c>
      <c r="G41" s="137" t="s">
        <v>164</v>
      </c>
      <c r="H41" s="137" t="s">
        <v>131</v>
      </c>
      <c r="I41" s="250" t="str">
        <f>A41&amp;B41&amp;C41&amp;D41&amp;E41&amp;F41&amp;G41&amp;H41</f>
        <v>#SQL("YuL_MES_Dispatch","VALUE",":where{NAME=榆炼_生产_联合四车间_90万吨/年汽油加氢装置_出_轻烃液}")</v>
      </c>
    </row>
    <row customHeight="1" ht="14.25">
      <c r="A42" s="250" t="s">
        <v>124</v>
      </c>
      <c r="B42" s="137" t="s">
        <v>125</v>
      </c>
      <c r="C42" s="137" t="s">
        <v>126</v>
      </c>
      <c r="D42" s="137" t="s">
        <v>127</v>
      </c>
      <c r="E42" s="137" t="s">
        <v>128</v>
      </c>
      <c r="F42" s="137" t="s">
        <v>129</v>
      </c>
      <c r="G42" s="137" t="s">
        <v>165</v>
      </c>
      <c r="H42" s="137" t="s">
        <v>131</v>
      </c>
      <c r="I42" s="250" t="str">
        <f>A42&amp;B42&amp;C42&amp;D42&amp;E42&amp;F42&amp;G42&amp;H42</f>
        <v>#SQL("YuL_MES_Dispatch","VALUE",":where{NAME=榆炼_生产_联合四车间_90万吨/年汽油加氢装置_出_轻烃气}")</v>
      </c>
    </row>
    <row customHeight="1" ht="14.25">
      <c r="A43" s="250"/>
      <c r="B43" s="137"/>
      <c r="C43" s="137"/>
      <c r="D43" s="137"/>
      <c r="E43" s="137"/>
      <c r="F43" s="137"/>
      <c r="G43" s="137"/>
      <c r="H43" s="137"/>
      <c r="I43" s="250"/>
    </row>
    <row customHeight="1" ht="14.25">
      <c r="A44" s="250" t="s">
        <v>124</v>
      </c>
      <c r="B44" s="137" t="s">
        <v>125</v>
      </c>
      <c r="C44" s="137" t="s">
        <v>126</v>
      </c>
      <c r="D44" s="137" t="s">
        <v>127</v>
      </c>
      <c r="E44" s="137" t="s">
        <v>128</v>
      </c>
      <c r="F44" s="137" t="s">
        <v>129</v>
      </c>
      <c r="G44" s="137" t="s">
        <v>166</v>
      </c>
      <c r="H44" s="137" t="s">
        <v>131</v>
      </c>
      <c r="I44" s="250" t="str">
        <f>A44&amp;B44&amp;C44&amp;D44&amp;E44&amp;F44&amp;G44&amp;H44</f>
        <v>#SQL("YuL_MES_Dispatch","VALUE",":where{NAME=榆炼_生产_联合四车间_200万吨/年柴油精制装置_进_常压柴油}")</v>
      </c>
    </row>
    <row customHeight="1" ht="14.25">
      <c r="A45" s="250" t="s">
        <v>124</v>
      </c>
      <c r="B45" s="137" t="s">
        <v>125</v>
      </c>
      <c r="C45" s="137" t="s">
        <v>126</v>
      </c>
      <c r="D45" s="137" t="s">
        <v>127</v>
      </c>
      <c r="E45" s="137" t="s">
        <v>128</v>
      </c>
      <c r="F45" s="137" t="s">
        <v>129</v>
      </c>
      <c r="G45" s="137" t="s">
        <v>167</v>
      </c>
      <c r="H45" s="137" t="s">
        <v>131</v>
      </c>
      <c r="I45" s="250" t="str">
        <f>A45&amp;B45&amp;C45&amp;D45&amp;E45&amp;F45&amp;G45&amp;H45</f>
        <v>#SQL("YuL_MES_Dispatch","VALUE",":where{NAME=榆炼_生产_联合四车间_200万吨/年柴油精制装置_出_精制柴油}")</v>
      </c>
    </row>
    <row customHeight="1" ht="14.25">
      <c r="A46" s="250" t="s">
        <v>124</v>
      </c>
      <c r="B46" s="137" t="s">
        <v>125</v>
      </c>
      <c r="C46" s="137" t="s">
        <v>126</v>
      </c>
      <c r="D46" s="137" t="s">
        <v>127</v>
      </c>
      <c r="E46" s="137" t="s">
        <v>128</v>
      </c>
      <c r="F46" s="137" t="s">
        <v>129</v>
      </c>
      <c r="G46" s="137" t="s">
        <v>168</v>
      </c>
      <c r="H46" s="137" t="s">
        <v>131</v>
      </c>
      <c r="I46" s="250" t="str">
        <f>A46&amp;B46&amp;C46&amp;D46&amp;E46&amp;F46&amp;G46&amp;H46</f>
        <v>#SQL("YuL_MES_Dispatch","VALUE",":where{NAME=榆炼_生产_联合四车间_200万吨/年柴油精制装置_出_石脑油Ⅱ (拨头油、重整轻汽油、轻石脑油、重整轻石脑油)}")</v>
      </c>
    </row>
    <row customHeight="1" ht="14.25">
      <c r="A47" s="250" t="s">
        <v>124</v>
      </c>
      <c r="B47" s="137" t="s">
        <v>125</v>
      </c>
      <c r="C47" s="137" t="s">
        <v>126</v>
      </c>
      <c r="D47" s="137" t="s">
        <v>127</v>
      </c>
      <c r="E47" s="137" t="s">
        <v>128</v>
      </c>
      <c r="F47" s="137" t="s">
        <v>129</v>
      </c>
      <c r="G47" s="137" t="s">
        <v>169</v>
      </c>
      <c r="H47" s="137" t="s">
        <v>131</v>
      </c>
      <c r="I47" s="250" t="str">
        <f>A47&amp;B47&amp;C47&amp;D47&amp;E47&amp;F47&amp;G47&amp;H47</f>
        <v>#SQL("YuL_MES_Dispatch","VALUE",":where{NAME=榆炼_生产_联合四车间_200万吨/年柴油精制装置_出_原料液化气}")</v>
      </c>
    </row>
    <row customHeight="1" ht="14.25">
      <c r="A48" s="250"/>
      <c r="B48" s="137"/>
      <c r="C48" s="137"/>
      <c r="D48" s="137"/>
      <c r="E48" s="137"/>
      <c r="F48" s="137"/>
      <c r="G48" s="137"/>
      <c r="H48" s="137"/>
      <c r="I48" s="250"/>
    </row>
    <row customHeight="1" ht="14.25">
      <c r="A49" s="250" t="s">
        <v>124</v>
      </c>
      <c r="B49" s="137" t="s">
        <v>125</v>
      </c>
      <c r="C49" s="137" t="s">
        <v>126</v>
      </c>
      <c r="D49" s="137" t="s">
        <v>127</v>
      </c>
      <c r="E49" s="137" t="s">
        <v>128</v>
      </c>
      <c r="F49" s="137" t="s">
        <v>129</v>
      </c>
      <c r="G49" s="137" t="s">
        <v>170</v>
      </c>
      <c r="H49" s="137" t="s">
        <v>131</v>
      </c>
      <c r="I49" s="250" t="str">
        <f>A49&amp;B49&amp;C49&amp;D49&amp;E49&amp;F49&amp;G49&amp;H49</f>
        <v>#SQL("YuL_MES_Dispatch","VALUE",":where{NAME=榆炼_生产_联合三车间_20万吨/年DCC裂解石脑油装置_进_裂解石脑油}")</v>
      </c>
    </row>
    <row customHeight="1" ht="14.25">
      <c r="A50" s="250" t="s">
        <v>124</v>
      </c>
      <c r="B50" s="137" t="s">
        <v>125</v>
      </c>
      <c r="C50" s="137" t="s">
        <v>126</v>
      </c>
      <c r="D50" s="137" t="s">
        <v>127</v>
      </c>
      <c r="E50" s="137" t="s">
        <v>128</v>
      </c>
      <c r="F50" s="137" t="s">
        <v>129</v>
      </c>
      <c r="G50" s="137" t="s">
        <v>171</v>
      </c>
      <c r="H50" s="137" t="s">
        <v>131</v>
      </c>
      <c r="I50" s="250" t="str">
        <f>A50&amp;B50&amp;C50&amp;D50&amp;E50&amp;F50&amp;G50&amp;H50</f>
        <v>#SQL("YuL_MES_Dispatch","VALUE",":where{NAME=榆炼_生产_联合三车间_20万吨/年DCC裂解石脑油装置_出_脱戊烷油}")</v>
      </c>
    </row>
    <row customHeight="1" ht="14.25">
      <c r="A51" s="250" t="s">
        <v>124</v>
      </c>
      <c r="B51" s="137" t="s">
        <v>125</v>
      </c>
      <c r="C51" s="137" t="s">
        <v>126</v>
      </c>
      <c r="D51" s="137" t="s">
        <v>127</v>
      </c>
      <c r="E51" s="137" t="s">
        <v>128</v>
      </c>
      <c r="F51" s="137" t="s">
        <v>129</v>
      </c>
      <c r="G51" s="137" t="s">
        <v>172</v>
      </c>
      <c r="H51" s="137" t="s">
        <v>131</v>
      </c>
      <c r="I51" s="250" t="str">
        <f>A51&amp;B51&amp;C51&amp;D51&amp;E51&amp;F51&amp;G51&amp;H51</f>
        <v>#SQL("YuL_MES_Dispatch","VALUE",":where{NAME=榆炼_生产_联合三车间_20万吨/年DCC裂解石脑油装置_出_塔顶C5油}")</v>
      </c>
    </row>
    <row customHeight="1" ht="14.25">
      <c r="A52" s="250"/>
      <c r="B52" s="137"/>
      <c r="C52" s="137"/>
      <c r="D52" s="137"/>
      <c r="E52" s="137"/>
      <c r="F52" s="137"/>
      <c r="G52" s="137"/>
      <c r="H52" s="137"/>
      <c r="I52" s="250"/>
    </row>
    <row customHeight="1" ht="14.25">
      <c r="A53" s="250" t="s">
        <v>124</v>
      </c>
      <c r="B53" s="137" t="s">
        <v>125</v>
      </c>
      <c r="C53" s="137" t="s">
        <v>126</v>
      </c>
      <c r="D53" s="137" t="s">
        <v>127</v>
      </c>
      <c r="E53" s="137" t="s">
        <v>128</v>
      </c>
      <c r="F53" s="137" t="s">
        <v>129</v>
      </c>
      <c r="G53" s="137" t="s">
        <v>173</v>
      </c>
      <c r="H53" s="137" t="s">
        <v>131</v>
      </c>
      <c r="I53" s="250" t="str">
        <f>A53&amp;B53&amp;C53&amp;D53&amp;E53&amp;F53&amp;G53&amp;H53</f>
        <v>#SQL("YuL_MES_Dispatch","VALUE",":where{NAME=榆炼_生产_联合三车间_20万吨/年DCC裂解轻油装置_进_裂解轻油}")</v>
      </c>
    </row>
    <row customHeight="1" ht="14.25">
      <c r="A54" s="250" t="s">
        <v>124</v>
      </c>
      <c r="B54" s="137" t="s">
        <v>125</v>
      </c>
      <c r="C54" s="137" t="s">
        <v>126</v>
      </c>
      <c r="D54" s="137" t="s">
        <v>127</v>
      </c>
      <c r="E54" s="137" t="s">
        <v>128</v>
      </c>
      <c r="F54" s="137" t="s">
        <v>129</v>
      </c>
      <c r="G54" s="137" t="s">
        <v>174</v>
      </c>
      <c r="H54" s="137" t="s">
        <v>131</v>
      </c>
      <c r="I54" s="250" t="str">
        <f>A54&amp;B54&amp;C54&amp;D54&amp;E54&amp;F54&amp;G54&amp;H54</f>
        <v>#SQL("YuL_MES_Dispatch","VALUE",":where{NAME=榆炼_生产_联合三车间_20万吨/年DCC裂解轻油装置_出_精制柴油}")</v>
      </c>
    </row>
    <row customHeight="1" ht="14.25">
      <c r="A55" s="250" t="s">
        <v>124</v>
      </c>
      <c r="B55" s="137" t="s">
        <v>125</v>
      </c>
      <c r="C55" s="137" t="s">
        <v>126</v>
      </c>
      <c r="D55" s="137" t="s">
        <v>127</v>
      </c>
      <c r="E55" s="137" t="s">
        <v>128</v>
      </c>
      <c r="F55" s="137" t="s">
        <v>129</v>
      </c>
      <c r="G55" s="137" t="s">
        <v>175</v>
      </c>
      <c r="H55" s="137" t="s">
        <v>131</v>
      </c>
      <c r="I55" s="250" t="str">
        <f>A55&amp;B55&amp;C55&amp;D55&amp;E55&amp;F55&amp;G55&amp;H55</f>
        <v>#SQL("YuL_MES_Dispatch","VALUE",":where{NAME=榆炼_生产_联合三车间_20万吨/年DCC裂解轻油装置_出_粗汽油}")</v>
      </c>
    </row>
    <row customHeight="1" ht="14.25">
      <c r="A56" s="250"/>
      <c r="B56" s="137"/>
      <c r="C56" s="137"/>
      <c r="D56" s="137"/>
      <c r="E56" s="137"/>
      <c r="F56" s="137"/>
      <c r="G56" s="137"/>
      <c r="H56" s="137"/>
      <c r="I56" s="250"/>
    </row>
    <row customHeight="1" ht="14.25">
      <c r="A57" s="250" t="s">
        <v>124</v>
      </c>
      <c r="B57" s="137" t="s">
        <v>125</v>
      </c>
      <c r="C57" s="137" t="s">
        <v>126</v>
      </c>
      <c r="D57" s="137" t="s">
        <v>127</v>
      </c>
      <c r="E57" s="137" t="s">
        <v>128</v>
      </c>
      <c r="F57" s="137" t="s">
        <v>129</v>
      </c>
      <c r="G57" s="137" t="s">
        <v>176</v>
      </c>
      <c r="H57" s="137" t="s">
        <v>131</v>
      </c>
      <c r="I57" s="250" t="str">
        <f>A57&amp;B57&amp;C57&amp;D57&amp;E57&amp;F57&amp;G57&amp;H57</f>
        <v>#SQL("YuL_MES_Dispatch","VALUE",":where{NAME=榆炼_生产_联合三车间_20万吨/年苯抽提装置_进_C6馏分油}")</v>
      </c>
    </row>
    <row customHeight="1" ht="14.25">
      <c r="A58" s="250" t="s">
        <v>124</v>
      </c>
      <c r="B58" s="137" t="s">
        <v>125</v>
      </c>
      <c r="C58" s="137" t="s">
        <v>126</v>
      </c>
      <c r="D58" s="137" t="s">
        <v>127</v>
      </c>
      <c r="E58" s="137" t="s">
        <v>128</v>
      </c>
      <c r="F58" s="137" t="s">
        <v>129</v>
      </c>
      <c r="G58" s="137" t="s">
        <v>177</v>
      </c>
      <c r="H58" s="137" t="s">
        <v>131</v>
      </c>
      <c r="I58" s="250" t="str">
        <f>A58&amp;B58&amp;C58&amp;D58&amp;E58&amp;F58&amp;G58&amp;H58</f>
        <v>#SQL("YuL_MES_Dispatch","VALUE",":where{NAME=榆炼_生产_联合三车间_20万吨/年苯抽提装置_出_苯}")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15D368-5B68-EAB8-6F37-0DB55DD541D8}" mc:Ignorable="x14ac xr xr2 xr3">
  <dimension ref="A1:N57"/>
  <sheetViews>
    <sheetView topLeftCell="A1" workbookViewId="0">
      <selection activeCell="N4" sqref="N4"/>
    </sheetView>
  </sheetViews>
  <sheetFormatPr customHeight="1" defaultRowHeight="14.25"/>
  <sheetData>
    <row customHeight="1" ht="14.25">
      <c r="A1" s="250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60" t="s">
        <v>114</v>
      </c>
    </row>
    <row customHeight="1" ht="14.25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60" t="s">
        <v>178</v>
      </c>
    </row>
    <row customHeight="1" ht="14.25">
      <c r="A3" s="250"/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60" t="s">
        <v>179</v>
      </c>
    </row>
    <row customHeight="1" ht="14.25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</row>
    <row customHeight="1" ht="14.25">
      <c r="A5" s="250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</row>
    <row customHeight="1" ht="14.25">
      <c r="A6" s="250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</row>
    <row customHeight="1" ht="14.25">
      <c r="A7" s="250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</row>
    <row customHeight="1" ht="14.25">
      <c r="A8" s="250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</row>
    <row customHeight="1" ht="14.25">
      <c r="A9" s="250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</row>
    <row customHeight="1" ht="14.25">
      <c r="A10" s="250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</row>
    <row customHeight="1" ht="14.25">
      <c r="A11" s="250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</row>
    <row customHeight="1" ht="14.25">
      <c r="A12" s="250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</row>
    <row customHeight="1" ht="14.25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</row>
    <row customHeight="1" ht="14.25">
      <c r="A14" s="250">
        <v>781.5407</v>
      </c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</row>
    <row customHeight="1" ht="14.25">
      <c r="A15" s="250">
        <v>2.1729</v>
      </c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</row>
    <row customHeight="1" ht="14.25">
      <c r="A16" s="250">
        <v>737.8095</v>
      </c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</row>
    <row customHeight="1" ht="14.25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</row>
    <row customHeight="1" ht="14.25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</row>
    <row customHeight="1" ht="14.25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</row>
    <row customHeight="1" ht="14.25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</row>
    <row customHeight="1" ht="14.25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</row>
    <row customHeight="1" ht="14.25">
      <c r="A22" s="250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</row>
    <row customHeight="1" ht="14.25">
      <c r="A23" s="250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</row>
    <row customHeight="1" ht="14.25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</row>
    <row customHeight="1" ht="14.25">
      <c r="A25" s="250">
        <v>4657.33</v>
      </c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</row>
    <row customHeight="1" ht="14.25">
      <c r="A26" s="250">
        <v>2458.45</v>
      </c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</row>
    <row customHeight="1" ht="14.25">
      <c r="A27" s="250">
        <v>977.65</v>
      </c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</row>
    <row customHeight="1" ht="14.25">
      <c r="A28" s="250">
        <v>671.17</v>
      </c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</row>
    <row customHeight="1" ht="14.25">
      <c r="A29" s="250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</row>
    <row customHeight="1" ht="14.25">
      <c r="A30" s="250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</row>
    <row customHeight="1" ht="14.25">
      <c r="A31" s="250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</row>
    <row customHeight="1" ht="14.25">
      <c r="A32" s="250">
        <v>1326.71</v>
      </c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</row>
    <row customHeight="1" ht="14.25">
      <c r="A33" s="250">
        <v>135.21</v>
      </c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</row>
    <row customHeight="1" ht="14.25">
      <c r="A34" s="250">
        <v>455.8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</row>
    <row customHeight="1" ht="14.25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</row>
    <row customHeight="1" ht="14.25">
      <c r="A36" s="250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</row>
    <row customHeight="1" ht="14.25">
      <c r="A37" s="250">
        <v>2063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</row>
    <row customHeight="1" ht="14.25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</row>
    <row customHeight="1" ht="14.25">
      <c r="A39" s="250">
        <v>1836</v>
      </c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</row>
    <row customHeight="1" ht="14.25">
      <c r="A40" s="250">
        <v>215.3</v>
      </c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</row>
    <row customHeight="1" ht="14.25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</row>
    <row customHeight="1" ht="14.25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</row>
    <row customHeight="1" ht="14.25">
      <c r="A43" s="250">
        <v>4189</v>
      </c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</row>
    <row customHeight="1" ht="14.25">
      <c r="A44" s="250">
        <v>4096</v>
      </c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</row>
    <row customHeight="1" ht="14.25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</row>
    <row customHeight="1" ht="14.25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</row>
    <row customHeight="1" ht="14.25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</row>
    <row customHeight="1" ht="14.25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</row>
    <row customHeight="1" ht="14.25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</row>
    <row customHeight="1" ht="14.25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</row>
    <row customHeight="1" ht="14.25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</row>
    <row customHeight="1" ht="14.25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</row>
    <row customHeight="1" ht="14.25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</row>
    <row customHeight="1" ht="14.25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</row>
    <row customHeight="1" ht="14.25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</row>
    <row customHeight="1" ht="14.25">
      <c r="A56" s="250">
        <v>470.07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</row>
    <row customHeight="1" ht="14.25">
      <c r="A57" s="250">
        <v>153.23</v>
      </c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公式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dhc</cp:lastModifiedBy>
  <cp:lastPrinted>2022-03-22T08:28:41Z</cp:lastPrinted>
  <dcterms:created xsi:type="dcterms:W3CDTF">2015-06-05T18:19:34Z</dcterms:created>
  <dcterms:modified xsi:type="dcterms:W3CDTF">2023-11-29T03:35:46Z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{DAFA7EDF-0FBE-4937-9C8C-C32475AA48BA}</vt:lpwstr>
  </property>
</Properties>
</file>