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取值" sheetId="2" state="hidden" r:id="rId3"/>
    <sheet name="Sheet2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rPr>
            <b/>
            <sz val="9"/>
            <color indexed="81"/>
            <rFont val="宋体"/>
            <family val="2"/>
          </rPr>
          <t>#Input("榆炼_能源_能耗月报表_新鲜水_外购量",":key{{dw}}")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#Input("榆炼_能源_能耗月报表_循环水_外购量",":key{{dw}}")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#Input("榆炼_能源_能耗月报表_软化水_外购量",":key{{dw}}")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#Input("榆炼_能源_能耗月报表_除盐水_外购量",":key{{dw}}")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#Input("榆炼_能源_能耗月报表_除氧水_外购量",":key{{dw}}")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#Input("榆炼_能源_能耗月报表_中水_外购量",":key{{dw}}")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#Input("榆炼_能源_能耗月报表_透平凝结水_外购量",":key{{dw}}")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#Input("榆炼_能源_能耗月报表_工艺凝结水_外购量",":key{{dw}}")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#Input("榆炼_能源_能耗月报表_电_外购量",":key{{dw}}")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#Input("榆炼_能源_能耗月报表_3.5MPa蒸汽_外购量",":key{{dw}}")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#Input("榆炼_能源_能耗月报表_1.0MPa蒸汽_外购量",":key{{dw}}")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#Input("榆炼_能源_能耗月报表_燃料油_外购量",":key{{dw}}")</t>
        </r>
      </text>
    </comment>
    <comment ref="P7" authorId="0">
      <text>
        <r>
          <rPr>
            <b/>
            <sz val="9"/>
            <color indexed="81"/>
            <rFont val="宋体"/>
            <family val="2"/>
          </rPr>
          <t>#Input("榆炼_能源_能耗月报表_燃料气_外购量",":key{{dw}}")</t>
        </r>
      </text>
    </comment>
    <comment ref="Q7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#Input("榆炼_能源_能耗月报表_制氢燃料_外购量",":key{{dw}}")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#Input("榆炼_能源_能耗月报表_煤_外购量",":key{{dw}}")</t>
        </r>
      </text>
    </comment>
    <comment ref="S7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#Input("榆炼_能源_能耗月报表_干馏瓦斯_外购量",":key{{dw}}")</t>
        </r>
      </text>
    </comment>
    <comment ref="T7" authorId="0">
      <text>
        <r>
          <rPr>
            <b/>
            <sz val="9"/>
            <color indexed="81"/>
            <rFont val="宋体"/>
            <family val="2"/>
          </rPr>
          <t>#Input("榆炼_能源_能耗月报表_天然气_外购量",":key{{dw}}")</t>
        </r>
      </text>
    </comment>
    <comment ref="U7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#Input("榆炼_能源_能耗月报表_催化烧焦_外购量",":key{{dw}}")</t>
        </r>
      </text>
    </comment>
    <comment ref="V7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#Input("榆炼_能源_能耗月报表_热进热出_外购量",":key{{dw}}")</t>
        </r>
      </text>
    </comment>
    <comment ref="W7" authorId="0">
      <text>
        <r>
          <rPr>
            <b/>
            <sz val="9"/>
            <color indexed="81"/>
            <rFont val="宋体"/>
            <family val="2"/>
          </rPr>
          <t>#Input("榆炼_能源_能耗月报表_加工量_外购量",":key{{dw}}")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#Input("榆炼_能源_能耗月报表_新鲜水_自产",":key{{dw}}")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#Input("榆炼_能源_能耗月报表_循环水_自产",":key{{dw}}")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#Input("榆炼_能源_能耗月报表_软化水_自产",":key{{dw}}")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#Input("榆炼_能源_能耗月报表_除盐水_自产",":key{{dw}}")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#Input("榆炼_能源_能耗月报表_除氧水_自产",":key{{dw}}")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#Input("榆炼_能源_能耗月报表_中水_自产",":key{{dw}}")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#Input("榆炼_能源_能耗月报表_透平凝结水_自产",":key{{dw}}")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#Input("榆炼_能源_能耗月报表_工艺凝结水_自产",":key{{dw}}")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#Input("榆炼_能源_能耗月报表_电_自产",":key{{dw}}")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#Input("榆炼_能源_能耗月报表_3.5MPa蒸汽_自产",":key{{dw}}")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#Input("榆炼_能源_能耗月报表_1.0MPa蒸汽_自产",":key{{dw}}")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#Input("榆炼_能源_能耗月报表_燃料油_自产",":key{{dw}}")</t>
        </r>
      </text>
    </comment>
    <comment ref="P8" authorId="0">
      <text>
        <r>
          <rPr>
            <b/>
            <sz val="9"/>
            <color indexed="81"/>
            <rFont val="宋体"/>
            <family val="2"/>
          </rPr>
          <t>#Input("榆炼_能源_能耗月报表_燃料气_自产",":key{{dw}}")</t>
        </r>
      </text>
    </comment>
    <comment ref="Q8" authorId="0">
      <text>
        <r>
          <rPr>
            <b/>
            <sz val="9"/>
            <color indexed="81"/>
            <rFont val="宋体"/>
            <family val="2"/>
          </rPr>
          <t>#Input("榆炼_能源_能耗月报表_制氢燃料_自产",":key{{dw}}")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#Input("榆炼_能源_能耗月报表_煤_自产",":key{{dw}}")</t>
        </r>
      </text>
    </comment>
    <comment ref="S8" authorId="0">
      <text>
        <r>
          <rPr>
            <b/>
            <sz val="9"/>
            <color indexed="81"/>
            <rFont val="宋体"/>
            <family val="2"/>
          </rPr>
          <t>#Input("榆炼_能源_能耗月报表_干馏瓦斯_自产",":key{{dw}}")</t>
        </r>
      </text>
    </comment>
    <comment ref="T8" authorId="0">
      <text>
        <r>
          <rPr>
            <b/>
            <sz val="9"/>
            <color indexed="81"/>
            <rFont val="宋体"/>
            <family val="2"/>
          </rPr>
          <t>#Input("榆炼_能源_能耗月报表_天然气_自产",":key{{dw}}")</t>
        </r>
      </text>
    </comment>
    <comment ref="U8" authorId="0">
      <text>
        <r>
          <rPr>
            <b/>
            <sz val="9"/>
            <color indexed="81"/>
            <rFont val="宋体"/>
            <family val="2"/>
          </rPr>
          <t>#Input("榆炼_能源_能耗月报表_催化烧焦_自产",":key{{dw}}")</t>
        </r>
      </text>
    </comment>
    <comment ref="V8" authorId="0">
      <text>
        <r>
          <rPr>
            <b/>
            <sz val="9"/>
            <color indexed="81"/>
            <rFont val="宋体"/>
            <family val="2"/>
          </rPr>
          <t>#Input("榆炼_能源_能耗月报表_热进热出_自产",":key{{dw}}")</t>
        </r>
      </text>
    </comment>
    <comment ref="W8" authorId="0">
      <text>
        <r>
          <rPr>
            <b/>
            <sz val="9"/>
            <color indexed="81"/>
            <rFont val="宋体"/>
            <family val="2"/>
          </rPr>
          <t>#Input("榆炼_能源_能耗月报表_加工量_自产",":key{{dw}}")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#Input("榆炼_能源_能耗月报表_3.5MPa蒸汽_锅炉产蒸汽",":key{{dw}}")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#Input("榆炼_能源_能耗月报表_3.5MPa蒸汽_减温减压蒸汽并网量",":key{{dw}}")</t>
        </r>
      </text>
    </comment>
    <comment ref="N11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#Input("榆炼_能源_能耗月报表_1.0MPa蒸汽_减温减压蒸汽并网量",":key{{dw}}")</t>
        </r>
      </text>
    </comment>
    <comment ref="G13" authorId="0">
      <text>
        <r>
          <rPr>
            <b/>
            <sz val="9"/>
            <color indexed="81"/>
            <rFont val="宋体"/>
            <family val="2"/>
          </rPr>
          <t>#Input("榆炼_能源_能耗月报表_除盐水_其他转入量",":key{{dw}}")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#Input("榆炼_能源_能耗月报表_透平凝结水_其他转入量",":key{{dw}}")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#Input("榆炼_能源_能耗月报表_工艺凝结水_其他转入量",":key{{dw}}")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>#Input("榆炼_能源_能耗月报表_新鲜水_新鲜水厂",":key{{dw}}")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#Input("榆炼_能源_能耗月报表_循环水_新鲜水厂",":key{{dw}}")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>#Input("榆炼_能源_能耗月报表_软化水_新鲜水厂",":key{{dw}}")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#Input("榆炼_能源_能耗月报表_除盐水_新鲜水厂",":key{{dw}}")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#Input("榆炼_能源_能耗月报表_除氧水_新鲜水厂",":key{{dw}}")</t>
        </r>
      </text>
    </comment>
    <comment ref="I18" authorId="0">
      <text>
        <r>
          <rPr>
            <b/>
            <sz val="9"/>
            <color indexed="81"/>
            <rFont val="宋体"/>
            <family val="2"/>
          </rPr>
          <t>#Input("榆炼_能源_能耗月报表_中水_新鲜水厂",":key{{dw}}")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#Input("榆炼_能源_能耗月报表_透平凝结水_新鲜水厂",":key{{dw}}")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#Input("榆炼_能源_能耗月报表_工艺凝结水_新鲜水厂",":key{{dw}}")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#Input("榆炼_能源_能耗月报表_电_新鲜水厂",":key{{dw}}")</t>
        </r>
      </text>
    </comment>
    <comment ref="M18" authorId="0">
      <text>
        <r>
          <rPr>
            <b/>
            <sz val="9"/>
            <color indexed="81"/>
            <rFont val="宋体"/>
            <family val="2"/>
          </rPr>
          <t>#Input("榆炼_能源_能耗月报表_3.5MPa蒸汽_新鲜水厂",":key{{dw}}")</t>
        </r>
      </text>
    </comment>
    <comment ref="N18" authorId="0">
      <text>
        <r>
          <rPr>
            <b/>
            <sz val="9"/>
            <color indexed="81"/>
            <rFont val="宋体"/>
            <family val="2"/>
          </rPr>
          <t>#Input("榆炼_能源_能耗月报表_1.0MPa蒸汽_新鲜水厂",":key{{dw}}")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#Input("榆炼_能源_能耗月报表_燃料油_新鲜水厂",":key{{dw}}")</t>
        </r>
      </text>
    </comment>
    <comment ref="P18" authorId="0">
      <text>
        <r>
          <rPr>
            <b/>
            <sz val="9"/>
            <color indexed="81"/>
            <rFont val="宋体"/>
            <family val="2"/>
          </rPr>
          <t>#Input("榆炼_能源_能耗月报表_燃料气_新鲜水厂",":key{{dw}}")</t>
        </r>
      </text>
    </comment>
    <comment ref="Q18" authorId="0">
      <text>
        <r>
          <rPr>
            <b/>
            <sz val="9"/>
            <color indexed="81"/>
            <rFont val="宋体"/>
            <family val="2"/>
          </rPr>
          <t>#Input("榆炼_能源_能耗月报表_制氢燃料_新鲜水厂",":key{{dw}}")</t>
        </r>
      </text>
    </comment>
    <comment ref="R18" authorId="0">
      <text>
        <r>
          <rPr>
            <b/>
            <sz val="9"/>
            <color indexed="81"/>
            <rFont val="宋体"/>
            <family val="2"/>
          </rPr>
          <t>#Input("榆炼_能源_能耗月报表_煤_新鲜水厂",":key{{dw}}")</t>
        </r>
      </text>
    </comment>
    <comment ref="S18" authorId="0">
      <text>
        <r>
          <rPr>
            <b/>
            <sz val="9"/>
            <color indexed="81"/>
            <rFont val="宋体"/>
            <family val="2"/>
          </rPr>
          <t>#Input("榆炼_能源_能耗月报表_干馏瓦斯_新鲜水厂",":key{{dw}}")</t>
        </r>
      </text>
    </comment>
    <comment ref="T18" authorId="0">
      <text>
        <r>
          <rPr>
            <b/>
            <sz val="9"/>
            <color indexed="81"/>
            <rFont val="宋体"/>
            <family val="2"/>
          </rPr>
          <t>#Input("榆炼_能源_能耗月报表_天然气_新鲜水厂",":key{{dw}}")</t>
        </r>
      </text>
    </comment>
    <comment ref="U18" authorId="0">
      <text>
        <r>
          <rPr>
            <b/>
            <sz val="9"/>
            <color indexed="81"/>
            <rFont val="宋体"/>
            <family val="2"/>
          </rPr>
          <t>#Input("榆炼_能源_能耗月报表_催化烧焦_新鲜水厂",":key{{dw}}")</t>
        </r>
      </text>
    </comment>
    <comment ref="V18" authorId="0">
      <text>
        <r>
          <rPr>
            <b/>
            <sz val="9"/>
            <color indexed="81"/>
            <rFont val="宋体"/>
            <family val="2"/>
          </rPr>
          <t>#Input("榆炼_能源_能耗月报表_热进热出_新鲜水厂",":key{{dw}}")</t>
        </r>
      </text>
    </comment>
    <comment ref="W18" authorId="0">
      <text>
        <r>
          <rPr>
            <b/>
            <sz val="9"/>
            <color indexed="81"/>
            <rFont val="宋体"/>
            <family val="2"/>
          </rPr>
          <t>#Input("榆炼_能源_能耗月报表_加工量_新鲜水厂",":key{{dw}}")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>#Input("榆炼_能源_能耗月报表_新鲜水_循环水场",":key{{dw}}")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#Input("榆炼_能源_能耗月报表_循环水_循环水场",":key{{dw}}")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#Input("榆炼_能源_能耗月报表_软化水_循环水场",":key{{dw}}")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#Input("榆炼_能源_能耗月报表_除盐水_循环水场",":key{{dw}}")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#Input("榆炼_能源_能耗月报表_除氧水_循环水场",":key{{dw}}")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>#Input("榆炼_能源_能耗月报表_中水_循环水场",":key{{dw}}")</t>
        </r>
      </text>
    </comment>
    <comment ref="J19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#Input("榆炼_能源_能耗月报表_透平凝结水_循环水场",":key{{dw}}")</t>
        </r>
      </text>
    </comment>
    <comment ref="K19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#Input("榆炼_能源_能耗月报表_工艺凝结水_循环水场",":key{{dw}}")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>#Input("榆炼_能源_能耗月报表_电_循环水场",":key{{dw}}")</t>
        </r>
      </text>
    </comment>
    <comment ref="M19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#Input("榆炼_能源_能耗月报表_3.5MPa蒸汽_循环水场",":key{{dw}}")</t>
        </r>
      </text>
    </comment>
    <comment ref="N19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#Input("榆炼_能源_能耗月报表_1.0MPa蒸汽_循环水场",":key{{dw}}")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#Input("榆炼_能源_能耗月报表_燃料油_循环水场",":key{{dw}}")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#Input("榆炼_能源_能耗月报表_燃料气_循环水场",":key{{dw}}")</t>
        </r>
      </text>
    </comment>
    <comment ref="Q19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#Input("榆炼_能源_能耗月报表_制氢燃料_循环水场",":key{{dw}}")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#Input("榆炼_能源_能耗月报表_煤_循环水场",":key{{dw}}")</t>
        </r>
      </text>
    </comment>
    <comment ref="S19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#Input("榆炼_能源_能耗月报表_干馏瓦斯_循环水场",":key{{dw}}")</t>
        </r>
      </text>
    </comment>
    <comment ref="T19" authorId="0">
      <text>
        <r>
          <rPr>
            <b/>
            <sz val="9"/>
            <color indexed="81"/>
            <rFont val="宋体"/>
            <family val="2"/>
          </rPr>
          <t>#Input("榆炼_能源_能耗月报表_天然气_循环水场",":key{{dw}}")</t>
        </r>
      </text>
    </comment>
    <comment ref="U19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#Input("榆炼_能源_能耗月报表_催化烧焦_循环水场",":key{{dw}}")</t>
        </r>
      </text>
    </comment>
    <comment ref="V19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#Input("榆炼_能源_能耗月报表_热进热出_循环水场",":key{{dw}}")</t>
        </r>
      </text>
    </comment>
    <comment ref="W19" authorId="0">
      <text>
        <r>
          <rPr>
            <b/>
            <sz val="9"/>
            <color indexed="81"/>
            <rFont val="宋体"/>
            <family val="2"/>
          </rPr>
          <t>#Input("榆炼_能源_能耗月报表_加工量_循环水场",":key{{dw}}")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#Input("榆炼_能源_能耗月报表_电_电站",":key{{dw}}")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#Input("榆炼_能源_能耗月报表_除盐水_锅炉",":key{{dw}}")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#Input("榆炼_能源_能耗月报表_电_锅炉",":key{{dw}}")</t>
        </r>
      </text>
    </comment>
    <comment ref="P21" authorId="0">
      <text>
        <r>
          <rPr>
            <b/>
            <sz val="9"/>
            <color indexed="81"/>
            <rFont val="宋体"/>
            <family val="2"/>
          </rPr>
          <t>#Input("榆炼_能源_能耗月报表_燃料气_锅炉",":key{{dw}}")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#Input("榆炼_能源_能耗月报表_新鲜水_500万吨/年常压蒸馏",":key{{dw}}")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#Input("榆炼_能源_能耗月报表_循环水_500万吨/年常压蒸馏",":key{{dw}}")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#Input("榆炼_能源_能耗月报表_软化水_500万吨/年常压蒸馏",":key{{dw}}")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#Input("榆炼_能源_能耗月报表_除盐水_500万吨/年常压蒸馏",":key{{dw}}")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#Input("榆炼_能源_能耗月报表_除氧水_500万吨/年常压蒸馏",":key{{dw}}")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#Input("榆炼_能源_能耗月报表_中水_500万吨/年常压蒸馏",":key{{dw}}")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#Input("榆炼_能源_能耗月报表_透平凝结水_500万吨/年常压蒸馏",":key{{dw}}")</t>
        </r>
      </text>
    </comment>
    <comment ref="K23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#Input("榆炼_能源_能耗月报表_工艺凝结水_500万吨/年常压蒸馏",":key{{dw}}")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#Input("榆炼_能源_能耗月报表_电_500万吨/年常压蒸馏",":key{{dw}}")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#Input("榆炼_能源_能耗月报表_3.5MPa蒸汽_500万吨/年常压蒸馏",":key{{dw}}")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#Input("榆炼_能源_能耗月报表_1.0MPa蒸汽_500万吨/年常压蒸馏",":key{{dw}}")</t>
        </r>
      </text>
    </comment>
    <comment ref="O23" authorId="0">
      <text>
        <r>
          <rPr>
            <b/>
            <sz val="9"/>
            <color indexed="81"/>
            <rFont val="宋体"/>
            <family val="2"/>
          </rPr>
          <t>#Input("榆炼_能源_能耗月报表_燃料油_500万吨/年常压蒸馏",":key{{dw}}")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#Input("榆炼_能源_能耗月报表_燃料气_500万吨/年常压蒸馏",":key{{dw}}")</t>
        </r>
      </text>
    </comment>
    <comment ref="Q23" authorId="0">
      <text>
        <r>
          <rPr>
            <b/>
            <sz val="9"/>
            <color indexed="81"/>
            <rFont val="宋体"/>
            <family val="2"/>
          </rPr>
          <t>#Input("榆炼_能源_能耗月报表_制氢燃料_500万吨/年常压蒸馏",":key{{dw}}")</t>
        </r>
      </text>
    </comment>
    <comment ref="R23" authorId="0">
      <text>
        <r>
          <rPr>
            <b/>
            <sz val="9"/>
            <color indexed="81"/>
            <rFont val="宋体"/>
            <family val="2"/>
          </rPr>
          <t>#Input("榆炼_能源_能耗月报表_煤_500万吨/年常压蒸馏",":key{{dw}}")</t>
        </r>
      </text>
    </comment>
    <comment ref="S23" authorId="0">
      <text>
        <r>
          <rPr>
            <b/>
            <sz val="9"/>
            <color indexed="81"/>
            <rFont val="宋体"/>
            <family val="2"/>
          </rPr>
          <t>#Input("榆炼_能源_能耗月报表_干馏瓦斯_500万吨/年常压蒸馏",":key{{dw}}")</t>
        </r>
      </text>
    </comment>
    <comment ref="T23" authorId="0">
      <text>
        <r>
          <rPr>
            <b/>
            <sz val="9"/>
            <color indexed="81"/>
            <rFont val="宋体"/>
            <family val="2"/>
          </rPr>
          <t>#Input("榆炼_能源_能耗月报表_天然气_500万吨/年常压蒸馏",":key{{dw}}")</t>
        </r>
      </text>
    </comment>
    <comment ref="U23" authorId="0">
      <text>
        <r>
          <rPr>
            <b/>
            <sz val="9"/>
            <color indexed="81"/>
            <rFont val="宋体"/>
            <family val="2"/>
          </rPr>
          <t>#Input("榆炼_能源_能耗月报表_催化烧焦_500万吨/年常压蒸馏",":key{{dw}}")</t>
        </r>
      </text>
    </comment>
    <comment ref="V23" authorId="0">
      <text>
        <r>
          <rPr>
            <b/>
            <sz val="9"/>
            <color indexed="81"/>
            <rFont val="宋体"/>
            <family val="2"/>
          </rPr>
          <t>#Input("榆炼_能源_能耗月报表_热进热出_500万吨/年常压蒸馏",":key{{dw}}")</t>
        </r>
      </text>
    </comment>
    <comment ref="W23" authorId="0">
      <text>
        <r>
          <rPr>
            <b/>
            <sz val="9"/>
            <color indexed="81"/>
            <rFont val="宋体"/>
            <family val="2"/>
          </rPr>
          <t>#Input("榆炼_能源_能耗月报表_加工量_500万吨/年常压蒸馏",":key{{dw}}")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#Input("榆炼_能源_能耗月报表_新鲜水_30万吨/年航煤加氢",":key{{dw}}")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#Input("榆炼_能源_能耗月报表_循环水_30万吨/年航煤加氢",":key{{dw}}")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#Input("榆炼_能源_能耗月报表_软化水_30万吨/年航煤加氢",":key{{dw}}")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#Input("榆炼_能源_能耗月报表_除盐水_30万吨/年航煤加氢",":key{{dw}}")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#Input("榆炼_能源_能耗月报表_除氧水_30万吨/年航煤加氢",":key{{dw}}")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#Input("榆炼_能源_能耗月报表_中水_30万吨/年航煤加氢",":key{{dw}}")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#Input("榆炼_能源_能耗月报表_透平凝结水_30万吨/年航煤加氢",":key{{dw}}")</t>
        </r>
      </text>
    </comment>
    <comment ref="K24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#Input("榆炼_能源_能耗月报表_工艺凝结水_30万吨/年航煤加氢",":key{{dw}}")</t>
        </r>
      </text>
    </comment>
    <comment ref="L24" authorId="0">
      <text>
        <r>
          <rPr>
            <b/>
            <sz val="9"/>
            <color indexed="81"/>
            <rFont val="宋体"/>
            <family val="2"/>
          </rPr>
          <t>#Input("榆炼_能源_能耗月报表_电_30万吨/年航煤加氢",":key{{dw}}")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#Input("榆炼_能源_能耗月报表_3.5MPa蒸汽_30万吨/年航煤加氢",":key{{dw}}")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#Input("榆炼_能源_能耗月报表_1.0MPa蒸汽_30万吨/年航煤加氢",":key{{dw}}")</t>
        </r>
      </text>
    </comment>
    <comment ref="O24" authorId="0">
      <text>
        <r>
          <rPr>
            <b/>
            <sz val="9"/>
            <color indexed="81"/>
            <rFont val="宋体"/>
            <family val="2"/>
          </rPr>
          <t>#Input("榆炼_能源_能耗月报表_燃料油_30万吨/年航煤加氢",":key{{dw}}")</t>
        </r>
      </text>
    </comment>
    <comment ref="P24" authorId="0">
      <text>
        <r>
          <rPr>
            <b/>
            <sz val="9"/>
            <color indexed="81"/>
            <rFont val="宋体"/>
            <family val="2"/>
          </rPr>
          <t>#Input("榆炼_能源_能耗月报表_燃料气_30万吨/年航煤加氢",":key{{dw}}")</t>
        </r>
      </text>
    </comment>
    <comment ref="Q24" authorId="0">
      <text>
        <r>
          <rPr>
            <b/>
            <sz val="9"/>
            <color indexed="81"/>
            <rFont val="宋体"/>
            <family val="2"/>
          </rPr>
          <t>#Input("榆炼_能源_能耗月报表_制氢燃料_30万吨/年航煤加氢",":key{{dw}}")</t>
        </r>
      </text>
    </comment>
    <comment ref="R24" authorId="0">
      <text>
        <r>
          <rPr>
            <b/>
            <sz val="9"/>
            <color indexed="81"/>
            <rFont val="宋体"/>
            <family val="2"/>
          </rPr>
          <t>#Input("榆炼_能源_能耗月报表_煤_30万吨/年航煤加氢",":key{{dw}}")</t>
        </r>
      </text>
    </comment>
    <comment ref="S24" authorId="0">
      <text>
        <r>
          <rPr>
            <b/>
            <sz val="9"/>
            <color indexed="81"/>
            <rFont val="宋体"/>
            <family val="2"/>
          </rPr>
          <t>#Input("榆炼_能源_能耗月报表_干馏瓦斯_30万吨/年航煤加氢",":key{{dw}}")</t>
        </r>
      </text>
    </comment>
    <comment ref="T24" authorId="0">
      <text>
        <r>
          <rPr>
            <b/>
            <sz val="9"/>
            <color indexed="81"/>
            <rFont val="宋体"/>
            <family val="2"/>
          </rPr>
          <t>#Input("榆炼_能源_能耗月报表_天然气_30万吨/年航煤加氢",":key{{dw}}")</t>
        </r>
      </text>
    </comment>
    <comment ref="U24" authorId="0">
      <text>
        <r>
          <rPr>
            <b/>
            <sz val="9"/>
            <color indexed="81"/>
            <rFont val="宋体"/>
            <family val="2"/>
          </rPr>
          <t>#Input("榆炼_能源_能耗月报表_催化烧焦_30万吨/年航煤加氢",":key{{dw}}")</t>
        </r>
      </text>
    </comment>
    <comment ref="V24" authorId="0">
      <text>
        <r>
          <rPr>
            <b/>
            <sz val="9"/>
            <color indexed="81"/>
            <rFont val="宋体"/>
            <family val="2"/>
          </rPr>
          <t>#Input("榆炼_能源_能耗月报表_热进热出_30万吨/年航煤加氢",":key{{dw}}")</t>
        </r>
      </text>
    </comment>
    <comment ref="W24" authorId="0">
      <text>
        <r>
          <rPr>
            <b/>
            <sz val="9"/>
            <color indexed="81"/>
            <rFont val="宋体"/>
            <family val="2"/>
          </rPr>
          <t>#Input("榆炼_能源_能耗月报表_加工量_30万吨/年航煤加氢",":key{{dw}}")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#Input("榆炼_能源_能耗月报表_新鲜水_220万吨/年常压蒸馏",":key{{dw}}")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#Input("榆炼_能源_能耗月报表_循环水_220万吨/年常压蒸馏",":key{{dw}}")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#Input("榆炼_能源_能耗月报表_软化水_220万吨/年常压蒸馏",":key{{dw}}")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#Input("榆炼_能源_能耗月报表_除盐水_220万吨/年常压蒸馏",":key{{dw}}")</t>
        </r>
      </text>
    </comment>
    <comment ref="H25" authorId="0">
      <text>
        <r>
          <rPr>
            <b/>
            <sz val="9"/>
            <color indexed="81"/>
            <rFont val="宋体"/>
            <family val="2"/>
          </rPr>
          <t>#Input("榆炼_能源_能耗月报表_除氧水_220万吨/年常压蒸馏",":key{{dw}}")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#Input("榆炼_能源_能耗月报表_中水_220万吨/年常压蒸馏",":key{{dw}}")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#Input("榆炼_能源_能耗月报表_透平凝结水_220万吨/年常压蒸馏",":key{{dw}}")</t>
        </r>
      </text>
    </comment>
    <comment ref="K25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#Input("榆炼_能源_能耗月报表_工艺凝结水_220万吨/年常压蒸馏",":key{{dw}}")</t>
        </r>
      </text>
    </comment>
    <comment ref="L25" authorId="0">
      <text>
        <r>
          <rPr>
            <b/>
            <sz val="9"/>
            <color indexed="81"/>
            <rFont val="宋体"/>
            <family val="2"/>
          </rPr>
          <t>#Input("榆炼_能源_能耗月报表_电_220万吨/年常压蒸馏",":key{{dw}}")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#Input("榆炼_能源_能耗月报表_3.5MPa蒸汽_220万吨/年常压蒸馏",":key{{dw}}")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#Input("榆炼_能源_能耗月报表_1.0MPa蒸汽_220万吨/年常压蒸馏",":key{{dw}}")</t>
        </r>
      </text>
    </comment>
    <comment ref="O25" authorId="0">
      <text>
        <r>
          <rPr>
            <b/>
            <sz val="9"/>
            <color indexed="81"/>
            <rFont val="宋体"/>
            <family val="2"/>
          </rPr>
          <t>#Input("榆炼_能源_能耗月报表_燃料油_220万吨/年常压蒸馏",":key{{dw}}")</t>
        </r>
      </text>
    </comment>
    <comment ref="P25" authorId="0">
      <text>
        <r>
          <rPr>
            <b/>
            <sz val="9"/>
            <color indexed="81"/>
            <rFont val="宋体"/>
            <family val="2"/>
          </rPr>
          <t>#Input("榆炼_能源_能耗月报表_燃料气_220万吨/年常压蒸馏",":key{{dw}}")</t>
        </r>
      </text>
    </comment>
    <comment ref="Q25" authorId="0">
      <text>
        <r>
          <rPr>
            <b/>
            <sz val="9"/>
            <color indexed="81"/>
            <rFont val="宋体"/>
            <family val="2"/>
          </rPr>
          <t>#Input("榆炼_能源_能耗月报表_制氢燃料_220万吨/年常压蒸馏",":key{{dw}}")</t>
        </r>
      </text>
    </comment>
    <comment ref="R25" authorId="0">
      <text>
        <r>
          <rPr>
            <b/>
            <sz val="9"/>
            <color indexed="81"/>
            <rFont val="宋体"/>
            <family val="2"/>
          </rPr>
          <t>#Input("榆炼_能源_能耗月报表_煤_220万吨/年常压蒸馏",":key{{dw}}")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#Input("榆炼_能源_能耗月报表_干馏瓦斯_220万吨/年常压蒸馏",":key{{dw}}")</t>
        </r>
      </text>
    </comment>
    <comment ref="T25" authorId="0">
      <text>
        <r>
          <rPr>
            <b/>
            <sz val="9"/>
            <color indexed="81"/>
            <rFont val="宋体"/>
            <family val="2"/>
          </rPr>
          <t>#Input("榆炼_能源_能耗月报表_天然气_220万吨/年常压蒸馏",":key{{dw}}")</t>
        </r>
      </text>
    </comment>
    <comment ref="U25" authorId="0">
      <text>
        <r>
          <rPr>
            <b/>
            <sz val="9"/>
            <color indexed="81"/>
            <rFont val="宋体"/>
            <family val="2"/>
          </rPr>
          <t>#Input("榆炼_能源_能耗月报表_催化烧焦_220万吨/年常压蒸馏",":key{{dw}}")</t>
        </r>
      </text>
    </comment>
    <comment ref="V25" authorId="0">
      <text>
        <r>
          <rPr>
            <b/>
            <sz val="9"/>
            <color indexed="81"/>
            <rFont val="宋体"/>
            <family val="2"/>
          </rPr>
          <t>#Input("榆炼_能源_能耗月报表_热进热出_220万吨/年常压蒸馏",":key{{dw}}")</t>
        </r>
      </text>
    </comment>
    <comment ref="W25" authorId="0">
      <text>
        <r>
          <rPr>
            <b/>
            <sz val="9"/>
            <color indexed="81"/>
            <rFont val="宋体"/>
            <family val="2"/>
          </rPr>
          <t>#Input("榆炼_能源_能耗月报表_加工量_220万吨/年常压蒸馏",":key{{dw}}")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#Input("榆炼_能源_能耗月报表_新鲜水_180万吨/年催化裂化",":key{{dw}}")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#Input("榆炼_能源_能耗月报表_循环水_180万吨/年催化裂化",":key{{dw}}")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#Input("榆炼_能源_能耗月报表_软化水_180万吨/年催化裂化",":key{{dw}}")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#Input("榆炼_能源_能耗月报表_除盐水_180万吨/年催化裂化",":key{{dw}}")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#Input("榆炼_能源_能耗月报表_除氧水_180万吨/年催化裂化",":key{{dw}}")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#Input("榆炼_能源_能耗月报表_中水_180万吨/年催化裂化",":key{{dw}}")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#Input("榆炼_能源_能耗月报表_透平凝结水_180万吨/年催化裂化",":key{{dw}}")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#Input("榆炼_能源_能耗月报表_工艺凝结水_180万吨/年催化裂化",":key{{dw}}")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>#Input("榆炼_能源_能耗月报表_电_180万吨/年催化裂化",":key{{dw}}")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#Input("榆炼_能源_能耗月报表_3.5MPa蒸汽_180万吨/年催化裂化",":key{{dw}}")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#Input("榆炼_能源_能耗月报表_1.0MPa蒸汽_180万吨/年催化裂化",":key{{dw}}")</t>
        </r>
      </text>
    </comment>
    <comment ref="O26" authorId="0">
      <text>
        <r>
          <rPr>
            <b/>
            <sz val="9"/>
            <color indexed="81"/>
            <rFont val="宋体"/>
            <family val="2"/>
          </rPr>
          <t>#Input("榆炼_能源_能耗月报表_燃料油_180万吨/年催化裂化",":key{{dw}}")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#Input("榆炼_能源_能耗月报表_燃料气_180万吨/年催化裂化",":key{{dw}}")</t>
        </r>
      </text>
    </comment>
    <comment ref="Q26" authorId="0">
      <text>
        <r>
          <rPr>
            <b/>
            <sz val="9"/>
            <color indexed="81"/>
            <rFont val="宋体"/>
            <family val="2"/>
          </rPr>
          <t>#Input("榆炼_能源_能耗月报表_制氢燃料_180万吨/年催化裂化",":key{{dw}}")</t>
        </r>
      </text>
    </comment>
    <comment ref="R26" authorId="0">
      <text>
        <r>
          <rPr>
            <b/>
            <sz val="9"/>
            <color indexed="81"/>
            <rFont val="宋体"/>
            <family val="2"/>
          </rPr>
          <t>#Input("榆炼_能源_能耗月报表_煤_180万吨/年催化裂化",":key{{dw}}")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#Input("榆炼_能源_能耗月报表_干馏瓦斯_180万吨/年催化裂化",":key{{dw}}")</t>
        </r>
      </text>
    </comment>
    <comment ref="T26" authorId="0">
      <text>
        <r>
          <rPr>
            <b/>
            <sz val="9"/>
            <color indexed="81"/>
            <rFont val="宋体"/>
            <family val="2"/>
          </rPr>
          <t>#Input("榆炼_能源_能耗月报表_天然气_180万吨/年催化裂化",":key{{dw}}")</t>
        </r>
      </text>
    </comment>
    <comment ref="U26" authorId="0">
      <text>
        <r>
          <rPr>
            <b/>
            <sz val="9"/>
            <color indexed="81"/>
            <rFont val="宋体"/>
            <family val="2"/>
          </rPr>
          <t>#Input("榆炼_能源_能耗月报表_催化烧焦_180万吨/年催化裂化",":key{{dw}}")</t>
        </r>
      </text>
    </comment>
    <comment ref="V26" authorId="0">
      <text>
        <r>
          <rPr>
            <b/>
            <sz val="9"/>
            <color indexed="81"/>
            <rFont val="宋体"/>
            <family val="2"/>
          </rPr>
          <t>#Input("榆炼_能源_能耗月报表_热进热出_180万吨/年催化裂化",":key{{dw}}")</t>
        </r>
      </text>
    </comment>
    <comment ref="W26" authorId="0">
      <text>
        <r>
          <rPr>
            <b/>
            <sz val="9"/>
            <color indexed="81"/>
            <rFont val="宋体"/>
            <family val="2"/>
          </rPr>
          <t>#Input("榆炼_能源_能耗月报表_加工量_180万吨/年催化裂化",":key{{dw}}")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#Input("榆炼_能源_能耗月报表_新鲜水_60万吨/年催化裂化",":key{{dw}}")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#Input("榆炼_能源_能耗月报表_循环水_60万吨/年催化裂化",":key{{dw}}")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#Input("榆炼_能源_能耗月报表_软化水_60万吨/年催化裂化",":key{{dw}}")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#Input("榆炼_能源_能耗月报表_除盐水_60万吨/年催化裂化",":key{{dw}}")</t>
        </r>
      </text>
    </comment>
    <comment ref="H27" authorId="0">
      <text>
        <r>
          <rPr>
            <b/>
            <sz val="9"/>
            <color indexed="81"/>
            <rFont val="宋体"/>
            <family val="2"/>
          </rPr>
          <t>#Input("榆炼_能源_能耗月报表_除氧水_60万吨/年催化裂化",":key{{dw}}")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#Input("榆炼_能源_能耗月报表_中水_60万吨/年催化裂化",":key{{dw}}")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#Input("榆炼_能源_能耗月报表_透平凝结水_60万吨/年催化裂化",":key{{dw}}")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#Input("榆炼_能源_能耗月报表_工艺凝结水_60万吨/年催化裂化",":key{{dw}}")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>#Input("榆炼_能源_能耗月报表_电_60万吨/年催化裂化",":key{{dw}}")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#Input("榆炼_能源_能耗月报表_3.5MPa蒸汽_60万吨/年催化裂化",":key{{dw}}")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#Input("榆炼_能源_能耗月报表_1.0MPa蒸汽_60万吨/年催化裂化",":key{{dw}}")</t>
        </r>
      </text>
    </comment>
    <comment ref="O27" authorId="0">
      <text>
        <r>
          <rPr>
            <b/>
            <sz val="9"/>
            <color indexed="81"/>
            <rFont val="宋体"/>
            <family val="2"/>
          </rPr>
          <t>#Input("榆炼_能源_能耗月报表_燃料油_60万吨/年催化裂化",":key{{dw}}")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#Input("榆炼_能源_能耗月报表_燃料气_60万吨/年催化裂化",":key{{dw}}")</t>
        </r>
      </text>
    </comment>
    <comment ref="Q27" authorId="0">
      <text>
        <r>
          <rPr>
            <b/>
            <sz val="9"/>
            <color indexed="81"/>
            <rFont val="宋体"/>
            <family val="2"/>
          </rPr>
          <t>#Input("榆炼_能源_能耗月报表_制氢燃料_60万吨/年催化裂化",":key{{dw}}")</t>
        </r>
      </text>
    </comment>
    <comment ref="R27" authorId="0">
      <text>
        <r>
          <rPr>
            <b/>
            <sz val="9"/>
            <color indexed="81"/>
            <rFont val="宋体"/>
            <family val="2"/>
          </rPr>
          <t>#Input("榆炼_能源_能耗月报表_煤_60万吨/年催化裂化",":key{{dw}}")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#Input("榆炼_能源_能耗月报表_干馏瓦斯_60万吨/年催化裂化",":key{{dw}}")</t>
        </r>
      </text>
    </comment>
    <comment ref="T27" authorId="0">
      <text>
        <r>
          <rPr>
            <b/>
            <sz val="9"/>
            <color indexed="81"/>
            <rFont val="宋体"/>
            <family val="2"/>
          </rPr>
          <t>#Input("榆炼_能源_能耗月报表_天然气_60万吨/年催化裂化",":key{{dw}}")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#Input("榆炼_能源_能耗月报表_催化烧焦_60万吨/年催化裂化",":key{{dw}}")</t>
        </r>
      </text>
    </comment>
    <comment ref="V27" authorId="0">
      <text>
        <r>
          <rPr>
            <b/>
            <sz val="9"/>
            <color indexed="81"/>
            <rFont val="宋体"/>
            <family val="2"/>
          </rPr>
          <t>#Input("榆炼_能源_能耗月报表_热进热出_60万吨/年催化裂化",":key{{dw}}")</t>
        </r>
      </text>
    </comment>
    <comment ref="W27" authorId="0">
      <text>
        <r>
          <rPr>
            <b/>
            <sz val="9"/>
            <color indexed="81"/>
            <rFont val="宋体"/>
            <family val="2"/>
          </rPr>
          <t>#Input("榆炼_能源_能耗月报表_加工量_60万吨/年催化裂化",":key{{dw}}")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#Input("榆炼_能源_能耗月报表_新鲜水_100万吨/年连续重整",":key{{dw}}")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#Input("榆炼_能源_能耗月报表_循环水_100万吨/年连续重整",":key{{dw}}")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#Input("榆炼_能源_能耗月报表_软化水_100万吨/年连续重整",":key{{dw}}")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#Input("榆炼_能源_能耗月报表_除盐水_100万吨/年连续重整",":key{{dw}}")</t>
        </r>
      </text>
    </comment>
    <comment ref="H28" authorId="0">
      <text>
        <r>
          <rPr>
            <b/>
            <sz val="9"/>
            <color indexed="81"/>
            <rFont val="宋体"/>
            <family val="2"/>
          </rPr>
          <t>#Input("榆炼_能源_能耗月报表_除氧水_100万吨/年连续重整",":key{{dw}}")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#Input("榆炼_能源_能耗月报表_中水_100万吨/年连续重整",":key{{dw}}")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#Input("榆炼_能源_能耗月报表_透平凝结水_100万吨/年连续重整",":key{{dw}}")</t>
        </r>
      </text>
    </comment>
    <comment ref="K28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#Input("榆炼_能源_能耗月报表_工艺凝结水_100万吨/年连续重整",":key{{dw}}")</t>
        </r>
      </text>
    </comment>
    <comment ref="L28" authorId="0">
      <text>
        <r>
          <rPr>
            <b/>
            <sz val="9"/>
            <color indexed="81"/>
            <rFont val="宋体"/>
            <family val="2"/>
          </rPr>
          <t>#Input("榆炼_能源_能耗月报表_电_100万吨/年连续重整",":key{{dw}}")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#Input("榆炼_能源_能耗月报表_3.5MPa蒸汽_100万吨/年连续重整",":key{{dw}}")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#Input("榆炼_能源_能耗月报表_1.0MPa蒸汽_100万吨/年连续重整",":key{{dw}}")</t>
        </r>
      </text>
    </comment>
    <comment ref="O28" authorId="0">
      <text>
        <r>
          <rPr>
            <b/>
            <sz val="9"/>
            <color indexed="81"/>
            <rFont val="宋体"/>
            <family val="2"/>
          </rPr>
          <t>#Input("榆炼_能源_能耗月报表_燃料油_100万吨/年连续重整",":key{{dw}}")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#Input("榆炼_能源_能耗月报表_燃料气_100万吨/年连续重整",":key{{dw}}")</t>
        </r>
      </text>
    </comment>
    <comment ref="Q28" authorId="0">
      <text>
        <r>
          <rPr>
            <b/>
            <sz val="9"/>
            <color indexed="81"/>
            <rFont val="宋体"/>
            <family val="2"/>
          </rPr>
          <t>#Input("榆炼_能源_能耗月报表_制氢燃料_100万吨/年连续重整",":key{{dw}}")</t>
        </r>
      </text>
    </comment>
    <comment ref="R28" authorId="0">
      <text>
        <r>
          <rPr>
            <b/>
            <sz val="9"/>
            <color indexed="81"/>
            <rFont val="宋体"/>
            <family val="2"/>
          </rPr>
          <t>#Input("榆炼_能源_能耗月报表_煤_100万吨/年连续重整",":key{{dw}}")</t>
        </r>
      </text>
    </comment>
    <comment ref="S28" authorId="0">
      <text>
        <r>
          <rPr>
            <b/>
            <sz val="9"/>
            <color indexed="81"/>
            <rFont val="宋体"/>
            <family val="2"/>
          </rPr>
          <t>#Input("榆炼_能源_能耗月报表_干馏瓦斯_100万吨/年连续重整",":key{{dw}}")</t>
        </r>
      </text>
    </comment>
    <comment ref="T28" authorId="0">
      <text>
        <r>
          <rPr>
            <b/>
            <sz val="9"/>
            <color indexed="81"/>
            <rFont val="宋体"/>
            <family val="2"/>
          </rPr>
          <t>#Input("榆炼_能源_能耗月报表_天然气_100万吨/年连续重整",":key{{dw}}")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#Input("榆炼_能源_能耗月报表_催化烧焦_100万吨/年连续重整",":key{{dw}}")</t>
        </r>
      </text>
    </comment>
    <comment ref="V28" authorId="0">
      <text>
        <r>
          <rPr>
            <b/>
            <sz val="9"/>
            <color indexed="81"/>
            <rFont val="宋体"/>
            <family val="2"/>
          </rPr>
          <t>#Input("榆炼_能源_能耗月报表_热进热出_100万吨/年连续重整",":key{{dw}}")</t>
        </r>
      </text>
    </comment>
    <comment ref="W28" authorId="0">
      <text>
        <r>
          <rPr>
            <b/>
            <sz val="9"/>
            <color indexed="81"/>
            <rFont val="宋体"/>
            <family val="2"/>
          </rPr>
          <t>#Input("榆炼_能源_能耗月报表_加工量_100万吨/年连续重整",":key{{dw}}")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#Input("榆炼_能源_能耗月报表_新鲜水_芳烃分离",":key{{dw}}")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#Input("榆炼_能源_能耗月报表_循环水_芳烃分离",":key{{dw}}")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#Input("榆炼_能源_能耗月报表_软化水_芳烃分离",":key{{dw}}")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#Input("榆炼_能源_能耗月报表_除盐水_芳烃分离",":key{{dw}}")</t>
        </r>
      </text>
    </comment>
    <comment ref="H29" authorId="0">
      <text>
        <r>
          <rPr>
            <b/>
            <sz val="9"/>
            <color indexed="81"/>
            <rFont val="宋体"/>
            <family val="2"/>
          </rPr>
          <t>#Input("榆炼_能源_能耗月报表_除氧水_芳烃分离",":key{{dw}}")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#Input("榆炼_能源_能耗月报表_中水_芳烃分离",":key{{dw}}")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#Input("榆炼_能源_能耗月报表_透平凝结水_芳烃分离",":key{{dw}}")</t>
        </r>
      </text>
    </comment>
    <comment ref="K29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#Input("榆炼_能源_能耗月报表_工艺凝结水_芳烃分离",":key{{dw}}")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#Input("榆炼_能源_能耗月报表_电_芳烃分离",":key{{dw}}")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#Input("榆炼_能源_能耗月报表_3.5MPa蒸汽_芳烃分离",":key{{dw}}")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#Input("榆炼_能源_能耗月报表_1.0MPa蒸汽_芳烃分离",":key{{dw}}")</t>
        </r>
      </text>
    </comment>
    <comment ref="O29" authorId="0">
      <text>
        <r>
          <rPr>
            <b/>
            <sz val="9"/>
            <color indexed="81"/>
            <rFont val="宋体"/>
            <family val="2"/>
          </rPr>
          <t>#Input("榆炼_能源_能耗月报表_燃料油_芳烃分离",":key{{dw}}")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#Input("榆炼_能源_能耗月报表_燃料气_芳烃分离",":key{{dw}}")</t>
        </r>
      </text>
    </comment>
    <comment ref="Q29" authorId="0">
      <text>
        <r>
          <rPr>
            <b/>
            <sz val="9"/>
            <color indexed="81"/>
            <rFont val="宋体"/>
            <family val="2"/>
          </rPr>
          <t>#Input("榆炼_能源_能耗月报表_制氢燃料_芳烃分离",":key{{dw}}")</t>
        </r>
      </text>
    </comment>
    <comment ref="R29" authorId="0">
      <text>
        <r>
          <rPr>
            <b/>
            <sz val="9"/>
            <color indexed="81"/>
            <rFont val="宋体"/>
            <family val="2"/>
          </rPr>
          <t>#Input("榆炼_能源_能耗月报表_煤_芳烃分离",":key{{dw}}")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#Input("榆炼_能源_能耗月报表_干馏瓦斯_芳烃分离",":key{{dw}}")</t>
        </r>
      </text>
    </comment>
    <comment ref="T29" authorId="0">
      <text>
        <r>
          <rPr>
            <b/>
            <sz val="9"/>
            <color indexed="81"/>
            <rFont val="宋体"/>
            <family val="2"/>
          </rPr>
          <t>#Input("榆炼_能源_能耗月报表_天然气_芳烃分离",":key{{dw}}")</t>
        </r>
      </text>
    </comment>
    <comment ref="U29" authorId="0">
      <text>
        <r>
          <rPr>
            <b/>
            <sz val="9"/>
            <color indexed="81"/>
            <rFont val="宋体"/>
            <family val="2"/>
          </rPr>
          <t>#Input("榆炼_能源_能耗月报表_催化烧焦_芳烃分离",":key{{dw}}")</t>
        </r>
      </text>
    </comment>
    <comment ref="V29" authorId="0">
      <text>
        <r>
          <rPr>
            <b/>
            <sz val="9"/>
            <color indexed="81"/>
            <rFont val="宋体"/>
            <family val="2"/>
          </rPr>
          <t>#Input("榆炼_能源_能耗月报表_热进热出_芳烃分离",":key{{dw}}")</t>
        </r>
      </text>
    </comment>
    <comment ref="W29" authorId="0">
      <text>
        <r>
          <rPr>
            <b/>
            <sz val="9"/>
            <color indexed="81"/>
            <rFont val="宋体"/>
            <family val="2"/>
          </rPr>
          <t>#Input("榆炼_能源_能耗月报表_加工量_芳烃分离",":key{{dw}}")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#Input("榆炼_能源_能耗月报表_新鲜水_酸性水汽提",":key{{dw}}")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#Input("榆炼_能源_能耗月报表_循环水_酸性水汽提",":key{{dw}}")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#Input("榆炼_能源_能耗月报表_软化水_酸性水汽提",":key{{dw}}")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#Input("榆炼_能源_能耗月报表_除盐水_酸性水汽提",":key{{dw}}")</t>
        </r>
      </text>
    </comment>
    <comment ref="H30" authorId="0">
      <text>
        <r>
          <rPr>
            <b/>
            <sz val="9"/>
            <color indexed="81"/>
            <rFont val="宋体"/>
            <family val="2"/>
          </rPr>
          <t>#Input("榆炼_能源_能耗月报表_除氧水_酸性水汽提",":key{{dw}}")</t>
        </r>
      </text>
    </comment>
    <comment ref="I30" authorId="0">
      <text>
        <r>
          <rPr>
            <b/>
            <sz val="9"/>
            <color indexed="81"/>
            <rFont val="宋体"/>
            <family val="2"/>
          </rPr>
          <t>#Input("榆炼_能源_能耗月报表_中水_酸性水汽提",":key{{dw}}")</t>
        </r>
      </text>
    </comment>
    <comment ref="J30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#Input("榆炼_能源_能耗月报表_透平凝结水_酸性水汽提",":key{{dw}}")</t>
        </r>
      </text>
    </comment>
    <comment ref="K30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#Input("榆炼_能源_能耗月报表_工艺凝结水_酸性水汽提",":key{{dw}}")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#Input("榆炼_能源_能耗月报表_电_酸性水汽提",":key{{dw}}")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#Input("榆炼_能源_能耗月报表_3.5MPa蒸汽_酸性水汽提",":key{{dw}}")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#Input("榆炼_能源_能耗月报表_1.0MPa蒸汽_酸性水汽提",":key{{dw}}")</t>
        </r>
      </text>
    </comment>
    <comment ref="O30" authorId="0">
      <text>
        <r>
          <rPr>
            <b/>
            <sz val="9"/>
            <color indexed="81"/>
            <rFont val="宋体"/>
            <family val="2"/>
          </rPr>
          <t>#Input("榆炼_能源_能耗月报表_燃料油_酸性水汽提",":key{{dw}}")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#Input("榆炼_能源_能耗月报表_燃料气_酸性水汽提",":key{{dw}}")</t>
        </r>
      </text>
    </comment>
    <comment ref="Q30" authorId="0">
      <text>
        <r>
          <rPr>
            <b/>
            <sz val="9"/>
            <color indexed="81"/>
            <rFont val="宋体"/>
            <family val="2"/>
          </rPr>
          <t>#Input("榆炼_能源_能耗月报表_制氢燃料_酸性水汽提",":key{{dw}}")</t>
        </r>
      </text>
    </comment>
    <comment ref="R30" authorId="0">
      <text>
        <r>
          <rPr>
            <b/>
            <sz val="9"/>
            <color indexed="81"/>
            <rFont val="宋体"/>
            <family val="2"/>
          </rPr>
          <t>#Input("榆炼_能源_能耗月报表_煤_酸性水汽提",":key{{dw}}")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#Input("榆炼_能源_能耗月报表_干馏瓦斯_酸性水汽提",":key{{dw}}")</t>
        </r>
      </text>
    </comment>
    <comment ref="T30" authorId="0">
      <text>
        <r>
          <rPr>
            <b/>
            <sz val="9"/>
            <color indexed="81"/>
            <rFont val="宋体"/>
            <family val="2"/>
          </rPr>
          <t>#Input("榆炼_能源_能耗月报表_天然气_酸性水汽提",":key{{dw}}")</t>
        </r>
      </text>
    </comment>
    <comment ref="U30" authorId="0">
      <text>
        <r>
          <rPr>
            <b/>
            <sz val="9"/>
            <color indexed="81"/>
            <rFont val="宋体"/>
            <family val="2"/>
          </rPr>
          <t>#Input("榆炼_能源_能耗月报表_催化烧焦_酸性水汽提",":key{{dw}}")</t>
        </r>
      </text>
    </comment>
    <comment ref="V30" authorId="0">
      <text>
        <r>
          <rPr>
            <b/>
            <sz val="9"/>
            <color indexed="81"/>
            <rFont val="宋体"/>
            <family val="2"/>
          </rPr>
          <t>#Input("榆炼_能源_能耗月报表_热进热出_酸性水汽提",":key{{dw}}")</t>
        </r>
      </text>
    </comment>
    <comment ref="W30" authorId="0">
      <text>
        <r>
          <rPr>
            <b/>
            <sz val="9"/>
            <color indexed="81"/>
            <rFont val="宋体"/>
            <family val="2"/>
          </rPr>
          <t>#Input("榆炼_能源_能耗月报表_加工量_酸性水汽提",":key{{dw}}")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#Input("榆炼_能源_能耗月报表_新鲜水_液化气脱硫、脱硫醇",":key{{dw}}")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#Input("榆炼_能源_能耗月报表_循环水_液化气脱硫、脱硫醇",":key{{dw}}")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#Input("榆炼_能源_能耗月报表_软化水_液化气脱硫、脱硫醇",":key{{dw}}")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#Input("榆炼_能源_能耗月报表_除盐水_液化气脱硫、脱硫醇",":key{{dw}}")</t>
        </r>
      </text>
    </comment>
    <comment ref="H31" authorId="0">
      <text>
        <r>
          <rPr>
            <b/>
            <sz val="9"/>
            <color indexed="81"/>
            <rFont val="宋体"/>
            <family val="2"/>
          </rPr>
          <t>#Input("榆炼_能源_能耗月报表_除氧水_液化气脱硫、脱硫醇",":key{{dw}}")</t>
        </r>
      </text>
    </comment>
    <comment ref="I31" authorId="0">
      <text>
        <r>
          <rPr>
            <b/>
            <sz val="9"/>
            <color indexed="81"/>
            <rFont val="宋体"/>
            <family val="2"/>
          </rPr>
          <t>#Input("榆炼_能源_能耗月报表_中水_液化气脱硫、脱硫醇",":key{{dw}}")</t>
        </r>
      </text>
    </comment>
    <comment ref="J31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#Input("榆炼_能源_能耗月报表_透平凝结水_液化气脱硫、脱硫醇",":key{{dw}}")</t>
        </r>
      </text>
    </comment>
    <comment ref="K31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#Input("榆炼_能源_能耗月报表_工艺凝结水_液化气脱硫、脱硫醇",":key{{dw}}")</t>
        </r>
      </text>
    </comment>
    <comment ref="L31" authorId="0">
      <text>
        <r>
          <rPr>
            <b/>
            <sz val="9"/>
            <color indexed="81"/>
            <rFont val="宋体"/>
            <family val="2"/>
          </rPr>
          <t>#Input("榆炼_能源_能耗月报表_电_液化气脱硫、脱硫醇",":key{{dw}}")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#Input("榆炼_能源_能耗月报表_3.5MPa蒸汽_液化气脱硫、脱硫醇",":key{{dw}}")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#Input("榆炼_能源_能耗月报表_1.0MPa蒸汽_液化气脱硫、脱硫醇",":key{{dw}}")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#Input("榆炼_能源_能耗月报表_燃料油_液化气脱硫、脱硫醇",":key{{dw}}")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#Input("榆炼_能源_能耗月报表_燃料气_液化气脱硫、脱硫醇",":key{{dw}}")</t>
        </r>
      </text>
    </comment>
    <comment ref="Q31" authorId="0">
      <text>
        <r>
          <rPr>
            <b/>
            <sz val="9"/>
            <color indexed="81"/>
            <rFont val="宋体"/>
            <family val="2"/>
          </rPr>
          <t>#Input("榆炼_能源_能耗月报表_制氢燃料_液化气脱硫、脱硫醇",":key{{dw}}")</t>
        </r>
      </text>
    </comment>
    <comment ref="R31" authorId="0">
      <text>
        <r>
          <rPr>
            <b/>
            <sz val="9"/>
            <color indexed="81"/>
            <rFont val="宋体"/>
            <family val="2"/>
          </rPr>
          <t>#Input("榆炼_能源_能耗月报表_煤_液化气脱硫、脱硫醇",":key{{dw}}")</t>
        </r>
      </text>
    </comment>
    <comment ref="S31" authorId="0">
      <text>
        <r>
          <rPr>
            <b/>
            <sz val="9"/>
            <color indexed="81"/>
            <rFont val="宋体"/>
            <family val="2"/>
          </rPr>
          <t>#Input("榆炼_能源_能耗月报表_干馏瓦斯_液化气脱硫、脱硫醇",":key{{dw}}")</t>
        </r>
      </text>
    </comment>
    <comment ref="T31" authorId="0">
      <text>
        <r>
          <rPr>
            <b/>
            <sz val="9"/>
            <color indexed="81"/>
            <rFont val="宋体"/>
            <family val="2"/>
          </rPr>
          <t>#Input("榆炼_能源_能耗月报表_天然气_液化气脱硫、脱硫醇",":key{{dw}}")</t>
        </r>
      </text>
    </comment>
    <comment ref="U31" authorId="0">
      <text>
        <r>
          <rPr>
            <b/>
            <sz val="9"/>
            <color indexed="81"/>
            <rFont val="宋体"/>
            <family val="2"/>
          </rPr>
          <t>#Input("榆炼_能源_能耗月报表_催化烧焦_液化气脱硫、脱硫醇",":key{{dw}}")</t>
        </r>
      </text>
    </comment>
    <comment ref="V31" authorId="0">
      <text>
        <r>
          <rPr>
            <b/>
            <sz val="9"/>
            <color indexed="81"/>
            <rFont val="宋体"/>
            <family val="2"/>
          </rPr>
          <t>#Input("榆炼_能源_能耗月报表_热进热出_液化气脱硫、脱硫醇",":key{{dw}}")</t>
        </r>
      </text>
    </comment>
    <comment ref="W31" authorId="0">
      <text>
        <r>
          <rPr>
            <b/>
            <sz val="9"/>
            <color indexed="81"/>
            <rFont val="宋体"/>
            <family val="2"/>
          </rPr>
          <t>#Input("榆炼_能源_能耗月报表_加工量_液化气脱硫、脱硫醇",":key{{dw}}")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#Input("榆炼_能源_能耗月报表_新鲜水_汽油脱硫醇",":key{{dw}}")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#Input("榆炼_能源_能耗月报表_循环水_汽油脱硫醇",":key{{dw}}")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#Input("榆炼_能源_能耗月报表_软化水_汽油脱硫醇",":key{{dw}}")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#Input("榆炼_能源_能耗月报表_除盐水_汽油脱硫醇",":key{{dw}}")</t>
        </r>
      </text>
    </comment>
    <comment ref="H32" authorId="0">
      <text>
        <r>
          <rPr>
            <b/>
            <sz val="9"/>
            <color indexed="81"/>
            <rFont val="宋体"/>
            <family val="2"/>
          </rPr>
          <t>#Input("榆炼_能源_能耗月报表_除氧水_汽油脱硫醇",":key{{dw}}")</t>
        </r>
      </text>
    </comment>
    <comment ref="I32" authorId="0">
      <text>
        <r>
          <rPr>
            <b/>
            <sz val="9"/>
            <color indexed="81"/>
            <rFont val="宋体"/>
            <family val="2"/>
          </rPr>
          <t>#Input("榆炼_能源_能耗月报表_中水_汽油脱硫醇",":key{{dw}}")</t>
        </r>
      </text>
    </comment>
    <comment ref="J32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#Input("榆炼_能源_能耗月报表_透平凝结水_汽油脱硫醇",":key{{dw}}")</t>
        </r>
      </text>
    </comment>
    <comment ref="K32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#Input("榆炼_能源_能耗月报表_工艺凝结水_汽油脱硫醇",":key{{dw}}")</t>
        </r>
      </text>
    </comment>
    <comment ref="L32" authorId="0">
      <text>
        <r>
          <rPr>
            <b/>
            <sz val="9"/>
            <color indexed="81"/>
            <rFont val="宋体"/>
            <family val="2"/>
          </rPr>
          <t>#Input("榆炼_能源_能耗月报表_电_汽油脱硫醇",":key{{dw}}")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#Input("榆炼_能源_能耗月报表_3.5MPa蒸汽_汽油脱硫醇",":key{{dw}}")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#Input("榆炼_能源_能耗月报表_1.0MPa蒸汽_汽油脱硫醇",":key{{dw}}")</t>
        </r>
      </text>
    </comment>
    <comment ref="O32" authorId="0">
      <text>
        <r>
          <rPr>
            <b/>
            <sz val="9"/>
            <color indexed="81"/>
            <rFont val="宋体"/>
            <family val="2"/>
          </rPr>
          <t>#Input("榆炼_能源_能耗月报表_燃料油_汽油脱硫醇",":key{{dw}}")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#Input("榆炼_能源_能耗月报表_燃料气_汽油脱硫醇",":key{{dw}}")</t>
        </r>
      </text>
    </comment>
    <comment ref="Q32" authorId="0">
      <text>
        <r>
          <rPr>
            <b/>
            <sz val="9"/>
            <color indexed="81"/>
            <rFont val="宋体"/>
            <family val="2"/>
          </rPr>
          <t>#Input("榆炼_能源_能耗月报表_制氢燃料_汽油脱硫醇",":key{{dw}}")</t>
        </r>
      </text>
    </comment>
    <comment ref="R32" authorId="0">
      <text>
        <r>
          <rPr>
            <b/>
            <sz val="9"/>
            <color indexed="81"/>
            <rFont val="宋体"/>
            <family val="2"/>
          </rPr>
          <t>#Input("榆炼_能源_能耗月报表_煤_汽油脱硫醇",":key{{dw}}")</t>
        </r>
      </text>
    </comment>
    <comment ref="S32" authorId="0">
      <text>
        <r>
          <rPr>
            <b/>
            <sz val="9"/>
            <color indexed="81"/>
            <rFont val="宋体"/>
            <family val="2"/>
          </rPr>
          <t>#Input("榆炼_能源_能耗月报表_干馏瓦斯_汽油脱硫醇",":key{{dw}}")</t>
        </r>
      </text>
    </comment>
    <comment ref="T32" authorId="0">
      <text>
        <r>
          <rPr>
            <b/>
            <sz val="9"/>
            <color indexed="81"/>
            <rFont val="宋体"/>
            <family val="2"/>
          </rPr>
          <t>#Input("榆炼_能源_能耗月报表_天然气_汽油脱硫醇",":key{{dw}}")</t>
        </r>
      </text>
    </comment>
    <comment ref="U32" authorId="0">
      <text>
        <r>
          <rPr>
            <b/>
            <sz val="9"/>
            <color indexed="81"/>
            <rFont val="宋体"/>
            <family val="2"/>
          </rPr>
          <t>#Input("榆炼_能源_能耗月报表_催化烧焦_汽油脱硫醇",":key{{dw}}")</t>
        </r>
      </text>
    </comment>
    <comment ref="V32" authorId="0">
      <text>
        <r>
          <rPr>
            <b/>
            <sz val="9"/>
            <color indexed="81"/>
            <rFont val="宋体"/>
            <family val="2"/>
          </rPr>
          <t>#Input("榆炼_能源_能耗月报表_热进热出_汽油脱硫醇",":key{{dw}}")</t>
        </r>
      </text>
    </comment>
    <comment ref="W32" authorId="0">
      <text>
        <r>
          <rPr>
            <b/>
            <sz val="9"/>
            <color indexed="81"/>
            <rFont val="宋体"/>
            <family val="2"/>
          </rPr>
          <t>#Input("榆炼_能源_能耗月报表_加工量_汽油脱硫醇",":key{{dw}}")</t>
        </r>
      </text>
    </comment>
    <comment ref="D33" authorId="0">
      <text>
        <r>
          <rPr>
            <b/>
            <sz val="9"/>
            <color indexed="81"/>
            <rFont val="宋体"/>
            <family val="2"/>
          </rPr>
          <t>#Input("榆炼_能源_能耗月报表_新鲜水_催化溶剂再生",":key{{dw}}")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#Input("榆炼_能源_能耗月报表_循环水_催化溶剂再生",":key{{dw}}")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#Input("榆炼_能源_能耗月报表_软化水_催化溶剂再生",":key{{dw}}")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#Input("榆炼_能源_能耗月报表_除盐水_催化溶剂再生",":key{{dw}}")</t>
        </r>
      </text>
    </comment>
    <comment ref="H33" authorId="0">
      <text>
        <r>
          <rPr>
            <b/>
            <sz val="9"/>
            <color indexed="81"/>
            <rFont val="宋体"/>
            <family val="2"/>
          </rPr>
          <t>#Input("榆炼_能源_能耗月报表_除氧水_催化溶剂再生",":key{{dw}}")</t>
        </r>
      </text>
    </comment>
    <comment ref="I33" authorId="0">
      <text>
        <r>
          <rPr>
            <b/>
            <sz val="9"/>
            <color indexed="81"/>
            <rFont val="宋体"/>
            <family val="2"/>
          </rPr>
          <t>#Input("榆炼_能源_能耗月报表_中水_催化溶剂再生",":key{{dw}}")</t>
        </r>
      </text>
    </comment>
    <comment ref="J33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#Input("榆炼_能源_能耗月报表_透平凝结水_催化溶剂再生",":key{{dw}}")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#Input("榆炼_能源_能耗月报表_工艺凝结水_催化溶剂再生",":key{{dw}}")</t>
        </r>
      </text>
    </comment>
    <comment ref="L33" authorId="0">
      <text>
        <r>
          <rPr>
            <b/>
            <sz val="9"/>
            <color indexed="81"/>
            <rFont val="宋体"/>
            <family val="2"/>
          </rPr>
          <t>#Input("榆炼_能源_能耗月报表_电_催化溶剂再生",":key{{dw}}")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#Input("榆炼_能源_能耗月报表_3.5MPa蒸汽_催化溶剂再生",":key{{dw}}")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#Input("榆炼_能源_能耗月报表_1.0MPa蒸汽_催化溶剂再生",":key{{dw}}")</t>
        </r>
      </text>
    </comment>
    <comment ref="O33" authorId="0">
      <text>
        <r>
          <rPr>
            <b/>
            <sz val="9"/>
            <color indexed="81"/>
            <rFont val="宋体"/>
            <family val="2"/>
          </rPr>
          <t>#Input("榆炼_能源_能耗月报表_燃料油_催化溶剂再生",":key{{dw}}")</t>
        </r>
      </text>
    </comment>
    <comment ref="P33" authorId="0">
      <text>
        <r>
          <rPr>
            <b/>
            <sz val="9"/>
            <color indexed="81"/>
            <rFont val="宋体"/>
            <family val="2"/>
          </rPr>
          <t>#Input("榆炼_能源_能耗月报表_燃料气_催化溶剂再生",":key{{dw}}")</t>
        </r>
      </text>
    </comment>
    <comment ref="Q33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#Input("榆炼_能源_能耗月报表_制氢燃料_催化溶剂再生",":key{{dw}}")</t>
        </r>
      </text>
    </comment>
    <comment ref="R33" authorId="0">
      <text>
        <r>
          <rPr>
            <b/>
            <sz val="9"/>
            <color indexed="81"/>
            <rFont val="宋体"/>
            <family val="2"/>
          </rPr>
          <t>#Input("榆炼_能源_能耗月报表_煤_催化溶剂再生",":key{{dw}}")</t>
        </r>
      </text>
    </comment>
    <comment ref="S33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#Input("榆炼_能源_能耗月报表_干馏瓦斯_催化溶剂再生",":key{{dw}}")</t>
        </r>
      </text>
    </comment>
    <comment ref="T33" authorId="0">
      <text>
        <r>
          <rPr>
            <b/>
            <sz val="9"/>
            <color indexed="81"/>
            <rFont val="宋体"/>
            <family val="2"/>
          </rPr>
          <t>#Input("榆炼_能源_能耗月报表_天然气_催化溶剂再生",":key{{dw}}")</t>
        </r>
      </text>
    </comment>
    <comment ref="U33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#Input("榆炼_能源_能耗月报表_催化烧焦_催化溶剂再生",":key{{dw}}")</t>
        </r>
      </text>
    </comment>
    <comment ref="V33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#Input("榆炼_能源_能耗月报表_热进热出_催化溶剂再生",":key{{dw}}")</t>
        </r>
      </text>
    </comment>
    <comment ref="W33" authorId="0">
      <text>
        <r>
          <rPr>
            <b/>
            <sz val="9"/>
            <color indexed="81"/>
            <rFont val="宋体"/>
            <family val="2"/>
          </rPr>
          <t>#Input("榆炼_能源_能耗月报表_加工量_催化溶剂再生",":key{{dw}}")</t>
        </r>
      </text>
    </comment>
    <comment ref="D34" authorId="0">
      <text>
        <r>
          <rPr>
            <b/>
            <sz val="9"/>
            <color indexed="81"/>
            <rFont val="宋体"/>
            <family val="2"/>
          </rPr>
          <t>#Input("榆炼_能源_能耗月报表_新鲜水_20万吨/年苯抽提(芳烃)",":key{{dw}}")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#Input("榆炼_能源_能耗月报表_循环水_20万吨/年苯抽提(芳烃)",":key{{dw}}")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#Input("榆炼_能源_能耗月报表_软化水_20万吨/年苯抽提(芳烃)",":key{{dw}}")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#Input("榆炼_能源_能耗月报表_除盐水_20万吨/年苯抽提(芳烃)",":key{{dw}}")</t>
        </r>
      </text>
    </comment>
    <comment ref="H34" authorId="0">
      <text>
        <r>
          <rPr>
            <b/>
            <sz val="9"/>
            <color indexed="81"/>
            <rFont val="宋体"/>
            <family val="2"/>
          </rPr>
          <t>#Input("榆炼_能源_能耗月报表_除氧水_20万吨/年苯抽提(芳烃)",":key{{dw}}")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#Input("榆炼_能源_能耗月报表_中水_20万吨/年苯抽提(芳烃)",":key{{dw}}")</t>
        </r>
      </text>
    </comment>
    <comment ref="J34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#Input("榆炼_能源_能耗月报表_透平凝结水_20万吨/年苯抽提(芳烃)",":key{{dw}}")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#Input("榆炼_能源_能耗月报表_工艺凝结水_20万吨/年苯抽提(芳烃)",":key{{dw}}")</t>
        </r>
      </text>
    </comment>
    <comment ref="L34" authorId="0">
      <text>
        <r>
          <rPr>
            <b/>
            <sz val="9"/>
            <color indexed="81"/>
            <rFont val="宋体"/>
            <family val="2"/>
          </rPr>
          <t>#Input("榆炼_能源_能耗月报表_电_20万吨/年苯抽提(芳烃)",":key{{dw}}")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#Input("榆炼_能源_能耗月报表_3.5MPa蒸汽_20万吨/年苯抽提(芳烃)",":key{{dw}}")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#Input("榆炼_能源_能耗月报表_1.0MPa蒸汽_20万吨/年苯抽提(芳烃)",":key{{dw}}")</t>
        </r>
      </text>
    </comment>
    <comment ref="O34" authorId="0">
      <text>
        <r>
          <rPr>
            <b/>
            <sz val="9"/>
            <color indexed="81"/>
            <rFont val="宋体"/>
            <family val="2"/>
          </rPr>
          <t>#Input("榆炼_能源_能耗月报表_燃料油_20万吨/年苯抽提(芳烃)",":key{{dw}}")</t>
        </r>
      </text>
    </comment>
    <comment ref="P34" authorId="0">
      <text>
        <r>
          <rPr>
            <b/>
            <sz val="9"/>
            <color indexed="81"/>
            <rFont val="宋体"/>
            <family val="2"/>
          </rPr>
          <t>#Input("榆炼_能源_能耗月报表_燃料气_20万吨/年苯抽提(芳烃)",":key{{dw}}")</t>
        </r>
      </text>
    </comment>
    <comment ref="Q34" authorId="0">
      <text>
        <r>
          <rPr>
            <b/>
            <sz val="9"/>
            <color indexed="81"/>
            <rFont val="宋体"/>
            <family val="2"/>
          </rPr>
          <t>#Input("榆炼_能源_能耗月报表_制氢燃料_20万吨/年苯抽提(芳烃)",":key{{dw}}")</t>
        </r>
      </text>
    </comment>
    <comment ref="R34" authorId="0">
      <text>
        <r>
          <rPr>
            <b/>
            <sz val="9"/>
            <color indexed="81"/>
            <rFont val="宋体"/>
            <family val="2"/>
          </rPr>
          <t>#Input("榆炼_能源_能耗月报表_煤_20万吨/年苯抽提(芳烃)",":key{{dw}}")</t>
        </r>
      </text>
    </comment>
    <comment ref="S34" authorId="0">
      <text>
        <r>
          <rPr>
            <b/>
            <sz val="9"/>
            <color indexed="81"/>
            <rFont val="宋体"/>
            <family val="2"/>
          </rPr>
          <t>#Input("榆炼_能源_能耗月报表_干馏瓦斯_20万吨/年苯抽提(芳烃)",":key{{dw}}")</t>
        </r>
      </text>
    </comment>
    <comment ref="T34" authorId="0">
      <text>
        <r>
          <rPr>
            <b/>
            <sz val="9"/>
            <color indexed="81"/>
            <rFont val="宋体"/>
            <family val="2"/>
          </rPr>
          <t>#Input("榆炼_能源_能耗月报表_天然气_20万吨/年苯抽提(芳烃)",":key{{dw}}")</t>
        </r>
      </text>
    </comment>
    <comment ref="U34" authorId="0">
      <text>
        <r>
          <rPr>
            <b/>
            <sz val="9"/>
            <color indexed="81"/>
            <rFont val="宋体"/>
            <family val="2"/>
          </rPr>
          <t>#Input("榆炼_能源_能耗月报表_催化烧焦_20万吨/年苯抽提(芳烃)",":key{{dw}}")</t>
        </r>
      </text>
    </comment>
    <comment ref="V34" authorId="0">
      <text>
        <r>
          <rPr>
            <b/>
            <sz val="9"/>
            <color indexed="81"/>
            <rFont val="宋体"/>
            <family val="2"/>
          </rPr>
          <t>#Input("榆炼_能源_能耗月报表_热进热出_20万吨/年苯抽提(芳烃)",":key{{dw}}")</t>
        </r>
      </text>
    </comment>
    <comment ref="W34" authorId="0">
      <text>
        <r>
          <rPr>
            <b/>
            <sz val="9"/>
            <color indexed="81"/>
            <rFont val="宋体"/>
            <family val="2"/>
          </rPr>
          <t>#Input("榆炼_能源_能耗月报表_加工量_20万吨/年苯抽提(芳烃)",":key{{dw}}")</t>
        </r>
      </text>
    </comment>
    <comment ref="D35" authorId="0">
      <text>
        <r>
          <rPr>
            <b/>
            <sz val="9"/>
            <color indexed="81"/>
            <rFont val="宋体"/>
            <family val="2"/>
          </rPr>
          <t>#Input("榆炼_能源_能耗月报表_新鲜水_90万吨/年汽油加氢",":key{{dw}}")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#Input("榆炼_能源_能耗月报表_循环水_90万吨/年汽油加氢",":key{{dw}}")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#Input("榆炼_能源_能耗月报表_软化水_90万吨/年汽油加氢",":key{{dw}}")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#Input("榆炼_能源_能耗月报表_除盐水_90万吨/年汽油加氢",":key{{dw}}")</t>
        </r>
      </text>
    </comment>
    <comment ref="H35" authorId="0">
      <text>
        <r>
          <rPr>
            <b/>
            <sz val="9"/>
            <color indexed="81"/>
            <rFont val="宋体"/>
            <family val="2"/>
          </rPr>
          <t>#Input("榆炼_能源_能耗月报表_除氧水_90万吨/年汽油加氢",":key{{dw}}")</t>
        </r>
      </text>
    </comment>
    <comment ref="I35" authorId="0">
      <text>
        <r>
          <rPr>
            <b/>
            <sz val="9"/>
            <color indexed="81"/>
            <rFont val="宋体"/>
            <family val="2"/>
          </rPr>
          <t>#Input("榆炼_能源_能耗月报表_中水_90万吨/年汽油加氢",":key{{dw}}")</t>
        </r>
      </text>
    </comment>
    <comment ref="J35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#Input("榆炼_能源_能耗月报表_透平凝结水_90万吨/年汽油加氢",":key{{dw}}")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#Input("榆炼_能源_能耗月报表_工艺凝结水_90万吨/年汽油加氢",":key{{dw}}")</t>
        </r>
      </text>
    </comment>
    <comment ref="L35" authorId="0">
      <text>
        <r>
          <rPr>
            <b/>
            <sz val="9"/>
            <color indexed="81"/>
            <rFont val="宋体"/>
            <family val="2"/>
          </rPr>
          <t>#Input("榆炼_能源_能耗月报表_电_90万吨/年汽油加氢",":key{{dw}}")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#Input("榆炼_能源_能耗月报表_3.5MPa蒸汽_90万吨/年汽油加氢",":key{{dw}}")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#Input("榆炼_能源_能耗月报表_1.0MPa蒸汽_90万吨/年汽油加氢",":key{{dw}}")</t>
        </r>
      </text>
    </comment>
    <comment ref="O35" authorId="0">
      <text>
        <r>
          <rPr>
            <b/>
            <sz val="9"/>
            <color indexed="81"/>
            <rFont val="宋体"/>
            <family val="2"/>
          </rPr>
          <t>#Input("榆炼_能源_能耗月报表_燃料油_90万吨/年汽油加氢",":key{{dw}}")</t>
        </r>
      </text>
    </comment>
    <comment ref="P35" authorId="0">
      <text>
        <r>
          <rPr>
            <b/>
            <sz val="9"/>
            <color indexed="81"/>
            <rFont val="宋体"/>
            <family val="2"/>
          </rPr>
          <t>#Input("榆炼_能源_能耗月报表_燃料气_90万吨/年汽油加氢",":key{{dw}}")</t>
        </r>
      </text>
    </comment>
    <comment ref="Q35" authorId="0">
      <text>
        <r>
          <rPr>
            <b/>
            <sz val="9"/>
            <color indexed="81"/>
            <rFont val="宋体"/>
            <family val="2"/>
          </rPr>
          <t>#Input("榆炼_能源_能耗月报表_制氢燃料_90万吨/年汽油加氢",":key{{dw}}")</t>
        </r>
      </text>
    </comment>
    <comment ref="R35" authorId="0">
      <text>
        <r>
          <rPr>
            <b/>
            <sz val="9"/>
            <color indexed="81"/>
            <rFont val="宋体"/>
            <family val="2"/>
          </rPr>
          <t>#Input("榆炼_能源_能耗月报表_煤_90万吨/年汽油加氢",":key{{dw}}")</t>
        </r>
      </text>
    </comment>
    <comment ref="S35" authorId="0">
      <text>
        <r>
          <rPr>
            <b/>
            <sz val="9"/>
            <color indexed="81"/>
            <rFont val="宋体"/>
            <family val="2"/>
          </rPr>
          <t>#Input("榆炼_能源_能耗月报表_干馏瓦斯_90万吨/年汽油加氢",":key{{dw}}")</t>
        </r>
      </text>
    </comment>
    <comment ref="T35" authorId="0">
      <text>
        <r>
          <rPr>
            <b/>
            <sz val="9"/>
            <color indexed="81"/>
            <rFont val="宋体"/>
            <family val="2"/>
          </rPr>
          <t>#Input("榆炼_能源_能耗月报表_天然气_90万吨/年汽油加氢",":key{{dw}}")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#Input("榆炼_能源_能耗月报表_催化烧焦_90万吨/年汽油加氢",":key{{dw}}")</t>
        </r>
      </text>
    </comment>
    <comment ref="V35" authorId="0">
      <text>
        <r>
          <rPr>
            <b/>
            <sz val="9"/>
            <color indexed="81"/>
            <rFont val="宋体"/>
            <family val="2"/>
          </rPr>
          <t>#Input("榆炼_能源_能耗月报表_热进热出_90万吨/年汽油加氢",":key{{dw}}")</t>
        </r>
      </text>
    </comment>
    <comment ref="W35" authorId="0">
      <text>
        <r>
          <rPr>
            <b/>
            <sz val="9"/>
            <color indexed="81"/>
            <rFont val="宋体"/>
            <family val="2"/>
          </rPr>
          <t>#Input("榆炼_能源_能耗月报表_加工量_90万吨/年汽油加氢",":key{{dw}}")</t>
        </r>
      </text>
    </comment>
    <comment ref="D36" authorId="0">
      <text>
        <r>
          <rPr>
            <b/>
            <sz val="9"/>
            <color indexed="81"/>
            <rFont val="宋体"/>
            <family val="2"/>
          </rPr>
          <t>#Input("榆炼_能源_能耗月报表_新鲜水_200万吨/年柴油加氢",":key{{dw}}")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#Input("榆炼_能源_能耗月报表_循环水_200万吨/年柴油加氢",":key{{dw}}")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#Input("榆炼_能源_能耗月报表_软化水_200万吨/年柴油加氢",":key{{dw}}")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#Input("榆炼_能源_能耗月报表_除盐水_200万吨/年柴油加氢",":key{{dw}}")</t>
        </r>
      </text>
    </comment>
    <comment ref="H36" authorId="0">
      <text>
        <r>
          <rPr>
            <b/>
            <sz val="9"/>
            <color indexed="81"/>
            <rFont val="宋体"/>
            <family val="2"/>
          </rPr>
          <t>#Input("榆炼_能源_能耗月报表_除氧水_200万吨/年柴油加氢",":key{{dw}}")</t>
        </r>
      </text>
    </comment>
    <comment ref="I36" authorId="0">
      <text>
        <r>
          <rPr>
            <b/>
            <sz val="9"/>
            <color indexed="81"/>
            <rFont val="宋体"/>
            <family val="2"/>
          </rPr>
          <t>#Input("榆炼_能源_能耗月报表_中水_200万吨/年柴油加氢",":key{{dw}}")</t>
        </r>
      </text>
    </comment>
    <comment ref="J36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#Input("榆炼_能源_能耗月报表_透平凝结水_200万吨/年柴油加氢",":key{{dw}}")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#Input("榆炼_能源_能耗月报表_工艺凝结水_200万吨/年柴油加氢",":key{{dw}}")</t>
        </r>
      </text>
    </comment>
    <comment ref="L36" authorId="0">
      <text>
        <r>
          <rPr>
            <b/>
            <sz val="9"/>
            <color indexed="81"/>
            <rFont val="宋体"/>
            <family val="2"/>
          </rPr>
          <t>#Input("榆炼_能源_能耗月报表_电_200万吨/年柴油加氢",":key{{dw}}")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#Input("榆炼_能源_能耗月报表_3.5MPa蒸汽_200万吨/年柴油加氢",":key{{dw}}")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#Input("榆炼_能源_能耗月报表_1.0MPa蒸汽_200万吨/年柴油加氢",":key{{dw}}")</t>
        </r>
      </text>
    </comment>
    <comment ref="O36" authorId="0">
      <text>
        <r>
          <rPr>
            <b/>
            <sz val="9"/>
            <color indexed="81"/>
            <rFont val="宋体"/>
            <family val="2"/>
          </rPr>
          <t>#Input("榆炼_能源_能耗月报表_燃料油_200万吨/年柴油加氢",":key{{dw}}")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#Input("榆炼_能源_能耗月报表_燃料气_200万吨/年柴油加氢",":key{{dw}}")</t>
        </r>
      </text>
    </comment>
    <comment ref="Q36" authorId="0">
      <text>
        <r>
          <rPr>
            <b/>
            <sz val="9"/>
            <color indexed="81"/>
            <rFont val="宋体"/>
            <family val="2"/>
          </rPr>
          <t>#Input("榆炼_能源_能耗月报表_制氢燃料_200万吨/年柴油加氢",":key{{dw}}")</t>
        </r>
      </text>
    </comment>
    <comment ref="R36" authorId="0">
      <text>
        <r>
          <rPr>
            <b/>
            <sz val="9"/>
            <color indexed="81"/>
            <rFont val="宋体"/>
            <family val="2"/>
          </rPr>
          <t>#Input("榆炼_能源_能耗月报表_煤_200万吨/年柴油加氢",":key{{dw}}")</t>
        </r>
      </text>
    </comment>
    <comment ref="S36" authorId="0">
      <text>
        <r>
          <rPr>
            <b/>
            <sz val="9"/>
            <color indexed="81"/>
            <rFont val="宋体"/>
            <family val="2"/>
          </rPr>
          <t>#Input("榆炼_能源_能耗月报表_干馏瓦斯_200万吨/年柴油加氢",":key{{dw}}")</t>
        </r>
      </text>
    </comment>
    <comment ref="T36" authorId="0">
      <text>
        <r>
          <rPr>
            <b/>
            <sz val="9"/>
            <color indexed="81"/>
            <rFont val="宋体"/>
            <family val="2"/>
          </rPr>
          <t>#Input("榆炼_能源_能耗月报表_天然气_200万吨/年柴油加氢",":key{{dw}}")</t>
        </r>
      </text>
    </comment>
    <comment ref="U36" authorId="0">
      <text>
        <r>
          <rPr>
            <b/>
            <sz val="9"/>
            <color indexed="81"/>
            <rFont val="宋体"/>
            <family val="2"/>
          </rPr>
          <t>#Input("榆炼_能源_能耗月报表_催化烧焦_200万吨/年柴油加氢",":key{{dw}}")</t>
        </r>
      </text>
    </comment>
    <comment ref="V36" authorId="0">
      <text>
        <r>
          <rPr>
            <b/>
            <sz val="9"/>
            <color indexed="81"/>
            <rFont val="宋体"/>
            <family val="2"/>
          </rPr>
          <t>#Input("榆炼_能源_能耗月报表_热进热出_200万吨/年柴油加氢",":key{{dw}}")</t>
        </r>
      </text>
    </comment>
    <comment ref="W36" authorId="0">
      <text>
        <r>
          <rPr>
            <b/>
            <sz val="9"/>
            <color indexed="81"/>
            <rFont val="宋体"/>
            <family val="2"/>
          </rPr>
          <t>#Input("榆炼_能源_能耗月报表_加工量_200万吨/年柴油加氢",":key{{dw}}")</t>
        </r>
      </text>
    </comment>
    <comment ref="D37" authorId="0">
      <text>
        <r>
          <rPr>
            <b/>
            <sz val="9"/>
            <color indexed="81"/>
            <rFont val="宋体"/>
            <family val="2"/>
          </rPr>
          <t>#Input("榆炼_能源_能耗月报表_新鲜水_20万吨/年DCC裂解石脑油",":key{{dw}}")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#Input("榆炼_能源_能耗月报表_循环水_20万吨/年DCC裂解石脑油",":key{{dw}}")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#Input("榆炼_能源_能耗月报表_软化水_20万吨/年DCC裂解石脑油",":key{{dw}}")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#Input("榆炼_能源_能耗月报表_除盐水_20万吨/年DCC裂解石脑油",":key{{dw}}")</t>
        </r>
      </text>
    </comment>
    <comment ref="H37" authorId="0">
      <text>
        <r>
          <rPr>
            <b/>
            <sz val="9"/>
            <color indexed="81"/>
            <rFont val="宋体"/>
            <family val="2"/>
          </rPr>
          <t>#Input("榆炼_能源_能耗月报表_除氧水_20万吨/年DCC裂解石脑油",":key{{dw}}")</t>
        </r>
      </text>
    </comment>
    <comment ref="I37" authorId="0">
      <text>
        <r>
          <rPr>
            <b/>
            <sz val="9"/>
            <color indexed="81"/>
            <rFont val="宋体"/>
            <family val="2"/>
          </rPr>
          <t>#Input("榆炼_能源_能耗月报表_中水_20万吨/年DCC裂解石脑油",":key{{dw}}")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#Input("榆炼_能源_能耗月报表_透平凝结水_20万吨/年DCC裂解石脑油",":key{{dw}}")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#Input("榆炼_能源_能耗月报表_工艺凝结水_20万吨/年DCC裂解石脑油",":key{{dw}}")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#Input("榆炼_能源_能耗月报表_电_20万吨/年DCC裂解石脑油",":key{{dw}}")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#Input("榆炼_能源_能耗月报表_3.5MPa蒸汽_20万吨/年DCC裂解石脑油",":key{{dw}}")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#Input("榆炼_能源_能耗月报表_1.0MPa蒸汽_20万吨/年DCC裂解石脑油",":key{{dw}}")</t>
        </r>
      </text>
    </comment>
    <comment ref="O37" authorId="0">
      <text>
        <r>
          <rPr>
            <b/>
            <sz val="9"/>
            <color indexed="81"/>
            <rFont val="宋体"/>
            <family val="2"/>
          </rPr>
          <t>#Input("榆炼_能源_能耗月报表_燃料油_20万吨/年DCC裂解石脑油",":key{{dw}}")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#Input("榆炼_能源_能耗月报表_燃料气_20万吨/年DCC裂解石脑油",":key{{dw}}")</t>
        </r>
      </text>
    </comment>
    <comment ref="Q37" authorId="0">
      <text>
        <r>
          <rPr>
            <b/>
            <sz val="9"/>
            <color indexed="81"/>
            <rFont val="宋体"/>
            <family val="2"/>
          </rPr>
          <t>#Input("榆炼_能源_能耗月报表_制氢燃料_20万吨/年DCC裂解石脑油",":key{{dw}}")</t>
        </r>
      </text>
    </comment>
    <comment ref="R37" authorId="0">
      <text>
        <r>
          <rPr>
            <b/>
            <sz val="9"/>
            <color indexed="81"/>
            <rFont val="宋体"/>
            <family val="2"/>
          </rPr>
          <t>#Input("榆炼_能源_能耗月报表_煤_20万吨/年DCC裂解石脑油",":key{{dw}}")</t>
        </r>
      </text>
    </comment>
    <comment ref="S37" authorId="0">
      <text>
        <r>
          <rPr>
            <b/>
            <sz val="9"/>
            <color indexed="81"/>
            <rFont val="宋体"/>
            <family val="2"/>
          </rPr>
          <t>#Input("榆炼_能源_能耗月报表_干馏瓦斯_20万吨/年DCC裂解石脑油",":key{{dw}}")</t>
        </r>
      </text>
    </comment>
    <comment ref="T37" authorId="0">
      <text>
        <r>
          <rPr>
            <b/>
            <sz val="9"/>
            <color indexed="81"/>
            <rFont val="宋体"/>
            <family val="2"/>
          </rPr>
          <t>#Input("榆炼_能源_能耗月报表_天然气_20万吨/年DCC裂解石脑油",":key{{dw}}")</t>
        </r>
      </text>
    </comment>
    <comment ref="U37" authorId="0">
      <text>
        <r>
          <rPr>
            <b/>
            <sz val="9"/>
            <color indexed="81"/>
            <rFont val="宋体"/>
            <family val="2"/>
          </rPr>
          <t>#Input("榆炼_能源_能耗月报表_催化烧焦_20万吨/年DCC裂解石脑油",":key{{dw}}")</t>
        </r>
      </text>
    </comment>
    <comment ref="V37" authorId="0">
      <text>
        <r>
          <rPr>
            <b/>
            <sz val="9"/>
            <color indexed="81"/>
            <rFont val="宋体"/>
            <family val="2"/>
          </rPr>
          <t>#Input("榆炼_能源_能耗月报表_热进热出_20万吨/年DCC裂解石脑油",":key{{dw}}")</t>
        </r>
      </text>
    </comment>
    <comment ref="W37" authorId="0">
      <text>
        <r>
          <rPr>
            <b/>
            <sz val="9"/>
            <color indexed="81"/>
            <rFont val="宋体"/>
            <family val="2"/>
          </rPr>
          <t>#Input("榆炼_能源_能耗月报表_加工量_20万吨/年DCC裂解石脑油",":key{{dw}}")</t>
        </r>
      </text>
    </comment>
    <comment ref="D38" authorId="0">
      <text>
        <r>
          <rPr>
            <b/>
            <sz val="9"/>
            <color indexed="81"/>
            <rFont val="宋体"/>
            <family val="2"/>
          </rPr>
          <t>#Input("榆炼_能源_能耗月报表_新鲜水_20万吨/年DCC裂解轻油",":key{{dw}}")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#Input("榆炼_能源_能耗月报表_循环水_20万吨/年DCC裂解轻油",":key{{dw}}")</t>
        </r>
      </text>
    </comment>
    <comment ref="F38" authorId="0">
      <text>
        <r>
          <rPr>
            <b/>
            <sz val="9"/>
            <color indexed="81"/>
            <rFont val="宋体"/>
            <family val="2"/>
          </rPr>
          <t>#Input("榆炼_能源_能耗月报表_软化水_20万吨/年DCC裂解轻油",":key{{dw}}")</t>
        </r>
      </text>
    </comment>
    <comment ref="G38" authorId="0">
      <text>
        <r>
          <rPr>
            <b/>
            <sz val="9"/>
            <color indexed="81"/>
            <rFont val="宋体"/>
            <family val="2"/>
          </rPr>
          <t>#Input("榆炼_能源_能耗月报表_除盐水_20万吨/年DCC裂解轻油",":key{{dw}}")</t>
        </r>
      </text>
    </comment>
    <comment ref="H38" authorId="0">
      <text>
        <r>
          <rPr>
            <b/>
            <sz val="9"/>
            <color indexed="81"/>
            <rFont val="宋体"/>
            <family val="2"/>
          </rPr>
          <t>#Input("榆炼_能源_能耗月报表_除氧水_20万吨/年DCC裂解轻油",":key{{dw}}")</t>
        </r>
      </text>
    </comment>
    <comment ref="I38" authorId="0">
      <text>
        <r>
          <rPr>
            <b/>
            <sz val="9"/>
            <color indexed="81"/>
            <rFont val="宋体"/>
            <family val="2"/>
          </rPr>
          <t>#Input("榆炼_能源_能耗月报表_中水_20万吨/年DCC裂解轻油",":key{{dw}}")</t>
        </r>
      </text>
    </comment>
    <comment ref="J38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#Input("榆炼_能源_能耗月报表_透平凝结水_20万吨/年DCC裂解轻油",":key{{dw}}")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#Input("榆炼_能源_能耗月报表_工艺凝结水_20万吨/年DCC裂解轻油",":key{{dw}}")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#Input("榆炼_能源_能耗月报表_电_20万吨/年DCC裂解轻油",":key{{dw}}")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#Input("榆炼_能源_能耗月报表_3.5MPa蒸汽_20万吨/年DCC裂解轻油",":key{{dw}}")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#Input("榆炼_能源_能耗月报表_1.0MPa蒸汽_20万吨/年DCC裂解轻油",":key{{dw}}")</t>
        </r>
      </text>
    </comment>
    <comment ref="O38" authorId="0">
      <text>
        <r>
          <rPr>
            <b/>
            <sz val="9"/>
            <color indexed="81"/>
            <rFont val="宋体"/>
            <family val="2"/>
          </rPr>
          <t>#Input("榆炼_能源_能耗月报表_燃料油_20万吨/年DCC裂解轻油",":key{{dw}}")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#Input("榆炼_能源_能耗月报表_燃料气_20万吨/年DCC裂解轻油",":key{{dw}}")</t>
        </r>
      </text>
    </comment>
    <comment ref="Q38" authorId="0">
      <text>
        <r>
          <rPr>
            <b/>
            <sz val="9"/>
            <color indexed="81"/>
            <rFont val="宋体"/>
            <family val="2"/>
          </rPr>
          <t>#Input("榆炼_能源_能耗月报表_制氢燃料_20万吨/年DCC裂解轻油",":key{{dw}}")</t>
        </r>
      </text>
    </comment>
    <comment ref="R38" authorId="0">
      <text>
        <r>
          <rPr>
            <b/>
            <sz val="9"/>
            <color indexed="81"/>
            <rFont val="宋体"/>
            <family val="2"/>
          </rPr>
          <t>#Input("榆炼_能源_能耗月报表_煤_20万吨/年DCC裂解轻油",":key{{dw}}")</t>
        </r>
      </text>
    </comment>
    <comment ref="S38" authorId="0">
      <text>
        <r>
          <rPr>
            <b/>
            <sz val="9"/>
            <color indexed="81"/>
            <rFont val="宋体"/>
            <family val="2"/>
          </rPr>
          <t>#Input("榆炼_能源_能耗月报表_干馏瓦斯_20万吨/年DCC裂解轻油",":key{{dw}}")</t>
        </r>
      </text>
    </comment>
    <comment ref="T38" authorId="0">
      <text>
        <r>
          <rPr>
            <b/>
            <sz val="9"/>
            <color indexed="81"/>
            <rFont val="宋体"/>
            <family val="2"/>
          </rPr>
          <t>#Input("榆炼_能源_能耗月报表_天然气_20万吨/年DCC裂解轻油",":key{{dw}}")</t>
        </r>
      </text>
    </comment>
    <comment ref="U38" authorId="0">
      <text>
        <r>
          <rPr>
            <b/>
            <sz val="9"/>
            <color indexed="81"/>
            <rFont val="宋体"/>
            <family val="2"/>
          </rPr>
          <t>#Input("榆炼_能源_能耗月报表_催化烧焦_20万吨/年DCC裂解轻油",":key{{dw}}")</t>
        </r>
      </text>
    </comment>
    <comment ref="V38" authorId="0">
      <text>
        <r>
          <rPr>
            <b/>
            <sz val="9"/>
            <color indexed="81"/>
            <rFont val="宋体"/>
            <family val="2"/>
          </rPr>
          <t>#Input("榆炼_能源_能耗月报表_热进热出_20万吨/年DCC裂解轻油",":key{{dw}}")</t>
        </r>
      </text>
    </comment>
    <comment ref="W38" authorId="0">
      <text>
        <r>
          <rPr>
            <b/>
            <sz val="9"/>
            <color indexed="81"/>
            <rFont val="宋体"/>
            <family val="2"/>
          </rPr>
          <t>#Input("榆炼_能源_能耗月报表_加工量_20万吨/年DCC裂解轻油",":key{{dw}}")</t>
        </r>
      </text>
    </comment>
    <comment ref="D39" authorId="0">
      <text>
        <r>
          <rPr>
            <b/>
            <sz val="9"/>
            <color indexed="81"/>
            <rFont val="宋体"/>
            <family val="2"/>
          </rPr>
          <t>#Input("榆炼_能源_能耗月报表_新鲜水_天然气制氢",":key{{dw}}")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#Input("榆炼_能源_能耗月报表_循环水_天然气制氢",":key{{dw}}")</t>
        </r>
      </text>
    </comment>
    <comment ref="F39" authorId="0">
      <text>
        <r>
          <rPr>
            <b/>
            <sz val="9"/>
            <color indexed="81"/>
            <rFont val="宋体"/>
            <family val="2"/>
          </rPr>
          <t>#Input("榆炼_能源_能耗月报表_软化水_天然气制氢",":key{{dw}}")</t>
        </r>
      </text>
    </comment>
    <comment ref="G39" authorId="0">
      <text>
        <r>
          <rPr>
            <b/>
            <sz val="9"/>
            <color indexed="81"/>
            <rFont val="宋体"/>
            <family val="2"/>
          </rPr>
          <t>#Input("榆炼_能源_能耗月报表_除盐水_天然气制氢",":key{{dw}}")</t>
        </r>
      </text>
    </comment>
    <comment ref="H39" authorId="0">
      <text>
        <r>
          <rPr>
            <b/>
            <sz val="9"/>
            <color indexed="81"/>
            <rFont val="宋体"/>
            <family val="2"/>
          </rPr>
          <t>#Input("榆炼_能源_能耗月报表_除氧水_天然气制氢",":key{{dw}}")</t>
        </r>
      </text>
    </comment>
    <comment ref="I39" authorId="0">
      <text>
        <r>
          <rPr>
            <b/>
            <sz val="9"/>
            <color indexed="81"/>
            <rFont val="宋体"/>
            <family val="2"/>
          </rPr>
          <t>#Input("榆炼_能源_能耗月报表_中水_天然气制氢",":key{{dw}}")</t>
        </r>
      </text>
    </comment>
    <comment ref="J39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#Input("榆炼_能源_能耗月报表_透平凝结水_天然气制氢",":key{{dw}}")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#Input("榆炼_能源_能耗月报表_工艺凝结水_天然气制氢",":key{{dw}}")</t>
        </r>
      </text>
    </comment>
    <comment ref="L39" authorId="0">
      <text>
        <r>
          <rPr>
            <b/>
            <sz val="9"/>
            <color indexed="81"/>
            <rFont val="宋体"/>
            <family val="2"/>
          </rPr>
          <t>#Input("榆炼_能源_能耗月报表_电_天然气制氢",":key{{dw}}")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#Input("榆炼_能源_能耗月报表_3.5MPa蒸汽_天然气制氢",":key{{dw}}")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#Input("榆炼_能源_能耗月报表_1.0MPa蒸汽_天然气制氢",":key{{dw}}")</t>
        </r>
      </text>
    </comment>
    <comment ref="O39" authorId="0">
      <text>
        <r>
          <rPr>
            <b/>
            <sz val="9"/>
            <color indexed="81"/>
            <rFont val="宋体"/>
            <family val="2"/>
          </rPr>
          <t>#Input("榆炼_能源_能耗月报表_燃料油_天然气制氢",":key{{dw}}")</t>
        </r>
      </text>
    </comment>
    <comment ref="P39" authorId="0">
      <text>
        <r>
          <rPr>
            <b/>
            <sz val="9"/>
            <color indexed="81"/>
            <rFont val="宋体"/>
            <family val="2"/>
          </rPr>
          <t>#Input("榆炼_能源_能耗月报表_燃料气_天然气制氢",":key{{dw}}")</t>
        </r>
      </text>
    </comment>
    <comment ref="Q39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#Input("榆炼_能源_能耗月报表_制氢燃料_天然气制氢",":key{{dw}}")</t>
        </r>
      </text>
    </comment>
    <comment ref="R39" authorId="0">
      <text>
        <r>
          <rPr>
            <b/>
            <sz val="9"/>
            <color indexed="81"/>
            <rFont val="宋体"/>
            <family val="2"/>
          </rPr>
          <t>#Input("榆炼_能源_能耗月报表_煤_天然气制氢",":key{{dw}}")</t>
        </r>
      </text>
    </comment>
    <comment ref="S39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#Input("榆炼_能源_能耗月报表_干馏瓦斯_天然气制氢",":key{{dw}}")</t>
        </r>
      </text>
    </comment>
    <comment ref="T39" authorId="0">
      <text>
        <r>
          <rPr>
            <b/>
            <sz val="9"/>
            <color indexed="81"/>
            <rFont val="宋体"/>
            <family val="2"/>
          </rPr>
          <t>#Input("榆炼_能源_能耗月报表_天然气_天然气制氢",":key{{dw}}")</t>
        </r>
      </text>
    </comment>
    <comment ref="U39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#Input("榆炼_能源_能耗月报表_催化烧焦_天然气制氢",":key{{dw}}")</t>
        </r>
      </text>
    </comment>
    <comment ref="V39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#Input("榆炼_能源_能耗月报表_热进热出_天然气制氢",":key{{dw}}")</t>
        </r>
      </text>
    </comment>
    <comment ref="W39" authorId="0">
      <text>
        <r>
          <rPr>
            <b/>
            <sz val="9"/>
            <color indexed="81"/>
            <rFont val="宋体"/>
            <family val="2"/>
          </rPr>
          <t>#Input("榆炼_能源_能耗月报表_加工量_天然气制氢",":key{{dw}}")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#Input("榆炼_能源_能耗月报表_新鲜水_干气制氢",":key{{dw}}")</t>
        </r>
      </text>
    </comment>
    <comment ref="E40" authorId="0">
      <text>
        <r>
          <rPr>
            <b/>
            <sz val="9"/>
            <color indexed="81"/>
            <rFont val="宋体"/>
            <family val="2"/>
          </rPr>
          <t>#Input("榆炼_能源_能耗月报表_循环水_干气制氢",":key{{dw}}")</t>
        </r>
      </text>
    </comment>
    <comment ref="F40" authorId="0">
      <text>
        <r>
          <rPr>
            <b/>
            <sz val="9"/>
            <color indexed="81"/>
            <rFont val="宋体"/>
            <family val="2"/>
          </rPr>
          <t>#Input("榆炼_能源_能耗月报表_软化水_干气制氢",":key{{dw}}")</t>
        </r>
      </text>
    </comment>
    <comment ref="G40" authorId="0">
      <text>
        <r>
          <rPr>
            <b/>
            <sz val="9"/>
            <color indexed="81"/>
            <rFont val="宋体"/>
            <family val="2"/>
          </rPr>
          <t>#Input("榆炼_能源_能耗月报表_除盐水_干气制氢",":key{{dw}}")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#Input("榆炼_能源_能耗月报表_除氧水_干气制氢",":key{{dw}}")</t>
        </r>
      </text>
    </comment>
    <comment ref="I40" authorId="0">
      <text>
        <r>
          <rPr>
            <b/>
            <sz val="9"/>
            <color indexed="81"/>
            <rFont val="宋体"/>
            <family val="2"/>
          </rPr>
          <t>#Input("榆炼_能源_能耗月报表_中水_干气制氢",":key{{dw}}")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#Input("榆炼_能源_能耗月报表_透平凝结水_干气制氢",":key{{dw}}")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#Input("榆炼_能源_能耗月报表_工艺凝结水_干气制氢",":key{{dw}}")</t>
        </r>
      </text>
    </comment>
    <comment ref="L40" authorId="0">
      <text>
        <r>
          <rPr>
            <b/>
            <sz val="9"/>
            <color indexed="81"/>
            <rFont val="宋体"/>
            <family val="2"/>
          </rPr>
          <t>#Input("榆炼_能源_能耗月报表_电_干气制氢",":key{{dw}}")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#Input("榆炼_能源_能耗月报表_3.5MPa蒸汽_干气制氢",":key{{dw}}")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#Input("榆炼_能源_能耗月报表_1.0MPa蒸汽_干气制氢",":key{{dw}}")</t>
        </r>
      </text>
    </comment>
    <comment ref="O40" authorId="0">
      <text>
        <r>
          <rPr>
            <b/>
            <sz val="9"/>
            <color indexed="81"/>
            <rFont val="宋体"/>
            <family val="2"/>
          </rPr>
          <t>#Input("榆炼_能源_能耗月报表_燃料油_干气制氢",":key{{dw}}")</t>
        </r>
      </text>
    </comment>
    <comment ref="P40" authorId="0">
      <text>
        <r>
          <rPr>
            <b/>
            <sz val="9"/>
            <color indexed="81"/>
            <rFont val="宋体"/>
            <family val="2"/>
          </rPr>
          <t>#Input("榆炼_能源_能耗月报表_燃料气_干气制氢",":key{{dw}}")</t>
        </r>
      </text>
    </comment>
    <comment ref="Q40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#Input("榆炼_能源_能耗月报表_制氢燃料_干气制氢",":key{{dw}}")</t>
        </r>
      </text>
    </comment>
    <comment ref="R40" authorId="0">
      <text>
        <r>
          <rPr>
            <b/>
            <sz val="9"/>
            <color indexed="81"/>
            <rFont val="宋体"/>
            <family val="2"/>
          </rPr>
          <t>#Input("榆炼_能源_能耗月报表_煤_干气制氢",":key{{dw}}")</t>
        </r>
      </text>
    </comment>
    <comment ref="S40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#Input("榆炼_能源_能耗月报表_干馏瓦斯_干气制氢",":key{{dw}}")</t>
        </r>
      </text>
    </comment>
    <comment ref="T40" authorId="0">
      <text>
        <r>
          <rPr>
            <b/>
            <sz val="9"/>
            <color indexed="81"/>
            <rFont val="宋体"/>
            <family val="2"/>
          </rPr>
          <t>#Input("榆炼_能源_能耗月报表_天然气_干气制氢",":key{{dw}}")</t>
        </r>
      </text>
    </comment>
    <comment ref="U40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#Input("榆炼_能源_能耗月报表_催化烧焦_干气制氢",":key{{dw}}")</t>
        </r>
      </text>
    </comment>
    <comment ref="V40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#Input("榆炼_能源_能耗月报表_热进热出_干气制氢",":key{{dw}}")</t>
        </r>
      </text>
    </comment>
    <comment ref="W40" authorId="0">
      <text>
        <r>
          <rPr>
            <b/>
            <sz val="9"/>
            <color indexed="81"/>
            <rFont val="宋体"/>
            <family val="2"/>
          </rPr>
          <t>#Input("榆炼_能源_能耗月报表_加工量_干气制氢",":key{{dw}}")</t>
        </r>
      </text>
    </comment>
    <comment ref="D41" authorId="0">
      <text>
        <r>
          <rPr>
            <b/>
            <sz val="9"/>
            <color indexed="81"/>
            <rFont val="宋体"/>
            <family val="2"/>
          </rPr>
          <t>#Input("榆炼_能源_能耗月报表_新鲜水_硫磺回收",":key{{dw}}")</t>
        </r>
      </text>
    </comment>
    <comment ref="E41" authorId="0">
      <text>
        <r>
          <rPr>
            <b/>
            <sz val="9"/>
            <color indexed="81"/>
            <rFont val="宋体"/>
            <family val="2"/>
          </rPr>
          <t>#Input("榆炼_能源_能耗月报表_循环水_硫磺回收",":key{{dw}}")</t>
        </r>
      </text>
    </comment>
    <comment ref="F41" authorId="0">
      <text>
        <r>
          <rPr>
            <b/>
            <sz val="9"/>
            <color indexed="81"/>
            <rFont val="宋体"/>
            <family val="2"/>
          </rPr>
          <t>#Input("榆炼_能源_能耗月报表_软化水_硫磺回收",":key{{dw}}")</t>
        </r>
      </text>
    </comment>
    <comment ref="G41" authorId="0">
      <text>
        <r>
          <rPr>
            <b/>
            <sz val="9"/>
            <color indexed="81"/>
            <rFont val="宋体"/>
            <family val="2"/>
          </rPr>
          <t>#Input("榆炼_能源_能耗月报表_除盐水_硫磺回收",":key{{dw}}")</t>
        </r>
      </text>
    </comment>
    <comment ref="H41" authorId="0">
      <text>
        <r>
          <rPr>
            <b/>
            <sz val="9"/>
            <color indexed="81"/>
            <rFont val="宋体"/>
            <family val="2"/>
          </rPr>
          <t>#Input("榆炼_能源_能耗月报表_除氧水_硫磺回收",":key{{dw}}")</t>
        </r>
      </text>
    </comment>
    <comment ref="I41" authorId="0">
      <text>
        <r>
          <rPr>
            <b/>
            <sz val="9"/>
            <color indexed="81"/>
            <rFont val="宋体"/>
            <family val="2"/>
          </rPr>
          <t>#Input("榆炼_能源_能耗月报表_中水_硫磺回收",":key{{dw}}")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#Input("榆炼_能源_能耗月报表_透平凝结水_硫磺回收",":key{{dw}}")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#Input("榆炼_能源_能耗月报表_工艺凝结水_硫磺回收",":key{{dw}}")</t>
        </r>
      </text>
    </comment>
    <comment ref="L41" authorId="0">
      <text>
        <r>
          <rPr>
            <b/>
            <sz val="9"/>
            <color indexed="81"/>
            <rFont val="宋体"/>
            <family val="2"/>
          </rPr>
          <t>#Input("榆炼_能源_能耗月报表_电_硫磺回收",":key{{dw}}")</t>
        </r>
      </text>
    </comment>
    <comment ref="M41" authorId="0">
      <text>
        <r>
          <rPr>
            <b/>
            <sz val="9"/>
            <color indexed="81"/>
            <rFont val="宋体"/>
            <family val="2"/>
          </rPr>
          <t>#Input("榆炼_能源_能耗月报表_3.5MPa蒸汽_硫磺回收",":key{{dw}}")</t>
        </r>
      </text>
    </comment>
    <comment ref="N41" authorId="0">
      <text>
        <r>
          <rPr>
            <b/>
            <sz val="9"/>
            <color indexed="81"/>
            <rFont val="宋体"/>
            <family val="2"/>
          </rPr>
          <t>#Input("榆炼_能源_能耗月报表_1.0MPa蒸汽_硫磺回收",":key{{dw}}")</t>
        </r>
      </text>
    </comment>
    <comment ref="O41" authorId="0">
      <text>
        <r>
          <rPr>
            <b/>
            <sz val="9"/>
            <color indexed="81"/>
            <rFont val="宋体"/>
            <family val="2"/>
          </rPr>
          <t>#Input("榆炼_能源_能耗月报表_燃料油_硫磺回收",":key{{dw}}")</t>
        </r>
      </text>
    </comment>
    <comment ref="P41" authorId="0">
      <text>
        <r>
          <rPr>
            <b/>
            <sz val="9"/>
            <color indexed="81"/>
            <rFont val="宋体"/>
            <family val="2"/>
          </rPr>
          <t>#Input("榆炼_能源_能耗月报表_燃料气_硫磺回收",":key{{dw}}")</t>
        </r>
      </text>
    </comment>
    <comment ref="Q41" authorId="0">
      <text>
        <r>
          <rPr>
            <b/>
            <sz val="9"/>
            <color indexed="81"/>
            <rFont val="宋体"/>
            <family val="2"/>
          </rPr>
          <t>#Input("榆炼_能源_能耗月报表_制氢燃料_硫磺回收",":key{{dw}}")</t>
        </r>
      </text>
    </comment>
    <comment ref="R41" authorId="0">
      <text>
        <r>
          <rPr>
            <b/>
            <sz val="9"/>
            <color indexed="81"/>
            <rFont val="宋体"/>
            <family val="2"/>
          </rPr>
          <t>#Input("榆炼_能源_能耗月报表_煤_硫磺回收",":key{{dw}}")</t>
        </r>
      </text>
    </comment>
    <comment ref="S41" authorId="0">
      <text>
        <r>
          <rPr>
            <b/>
            <sz val="9"/>
            <color indexed="81"/>
            <rFont val="宋体"/>
            <family val="2"/>
          </rPr>
          <t>#Input("榆炼_能源_能耗月报表_干馏瓦斯_硫磺回收",":key{{dw}}")</t>
        </r>
      </text>
    </comment>
    <comment ref="T41" authorId="0">
      <text>
        <r>
          <rPr>
            <b/>
            <sz val="9"/>
            <color indexed="81"/>
            <rFont val="宋体"/>
            <family val="2"/>
          </rPr>
          <t>#Input("榆炼_能源_能耗月报表_天然气_硫磺回收",":key{{dw}}")</t>
        </r>
      </text>
    </comment>
    <comment ref="U41" authorId="0">
      <text>
        <r>
          <rPr>
            <b/>
            <sz val="9"/>
            <color indexed="81"/>
            <rFont val="宋体"/>
            <family val="2"/>
          </rPr>
          <t>#Input("榆炼_能源_能耗月报表_催化烧焦_硫磺回收",":key{{dw}}")</t>
        </r>
      </text>
    </comment>
    <comment ref="V41" authorId="0">
      <text>
        <r>
          <rPr>
            <b/>
            <sz val="9"/>
            <color indexed="81"/>
            <rFont val="宋体"/>
            <family val="2"/>
          </rPr>
          <t>#Input("榆炼_能源_能耗月报表_热进热出_硫磺回收",":key{{dw}}")</t>
        </r>
      </text>
    </comment>
    <comment ref="W41" authorId="0">
      <text>
        <r>
          <rPr>
            <b/>
            <sz val="9"/>
            <color indexed="81"/>
            <rFont val="宋体"/>
            <family val="2"/>
          </rPr>
          <t>#Input("榆炼_能源_能耗月报表_加工量_硫磺回收",":key{{dw}}")</t>
        </r>
      </text>
    </comment>
    <comment ref="D43" authorId="0">
      <text>
        <r>
          <rPr>
            <b/>
            <sz val="9"/>
            <color indexed="81"/>
            <rFont val="宋体"/>
            <family val="2"/>
          </rPr>
          <t>#Input("榆炼_能源_能耗月报表_新鲜水_储运系统",":key{{dw}}")</t>
        </r>
      </text>
    </comment>
    <comment ref="E43" authorId="0">
      <text>
        <r>
          <rPr>
            <b/>
            <sz val="9"/>
            <color indexed="81"/>
            <rFont val="宋体"/>
            <family val="2"/>
          </rPr>
          <t>#Input("榆炼_能源_能耗月报表_循环水_储运系统",":key{{dw}}")</t>
        </r>
      </text>
    </comment>
    <comment ref="F43" authorId="0">
      <text>
        <r>
          <rPr>
            <b/>
            <sz val="9"/>
            <color indexed="81"/>
            <rFont val="宋体"/>
            <family val="2"/>
          </rPr>
          <t>#Input("榆炼_能源_能耗月报表_软化水_储运系统",":key{{dw}}")</t>
        </r>
      </text>
    </comment>
    <comment ref="G43" authorId="0">
      <text>
        <r>
          <rPr>
            <b/>
            <sz val="9"/>
            <color indexed="81"/>
            <rFont val="宋体"/>
            <family val="2"/>
          </rPr>
          <t>#Input("榆炼_能源_能耗月报表_除盐水_储运系统",":key{{dw}}")</t>
        </r>
      </text>
    </comment>
    <comment ref="H43" authorId="0">
      <text>
        <r>
          <rPr>
            <b/>
            <sz val="9"/>
            <color indexed="81"/>
            <rFont val="宋体"/>
            <family val="2"/>
          </rPr>
          <t>#Input("榆炼_能源_能耗月报表_除氧水_储运系统",":key{{dw}}")</t>
        </r>
      </text>
    </comment>
    <comment ref="I43" authorId="0">
      <text>
        <r>
          <rPr>
            <b/>
            <sz val="9"/>
            <color indexed="81"/>
            <rFont val="宋体"/>
            <family val="2"/>
          </rPr>
          <t>#Input("榆炼_能源_能耗月报表_中水_储运系统",":key{{dw}}")</t>
        </r>
      </text>
    </comment>
    <comment ref="J43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#Input("榆炼_能源_能耗月报表_透平凝结水_储运系统",":key{{dw}}")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#Input("榆炼_能源_能耗月报表_工艺凝结水_储运系统",":key{{dw}}")</t>
        </r>
      </text>
    </comment>
    <comment ref="L43" authorId="0">
      <text>
        <r>
          <rPr>
            <b/>
            <sz val="9"/>
            <color indexed="81"/>
            <rFont val="宋体"/>
            <family val="2"/>
          </rPr>
          <t>#Input("榆炼_能源_能耗月报表_电_储运系统",":key{{dw}}")</t>
        </r>
      </text>
    </comment>
    <comment ref="M43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#Input("榆炼_能源_能耗月报表_3.5MPa蒸汽_储运系统",":key{{dw}}")</t>
        </r>
      </text>
    </comment>
    <comment ref="N43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#Input("榆炼_能源_能耗月报表_1.0MPa蒸汽_储运系统",":key{{dw}}")</t>
        </r>
      </text>
    </comment>
    <comment ref="O43" authorId="0">
      <text>
        <r>
          <rPr>
            <b/>
            <sz val="9"/>
            <color indexed="81"/>
            <rFont val="宋体"/>
            <family val="2"/>
          </rPr>
          <t>#Input("榆炼_能源_能耗月报表_燃料油_储运系统",":key{{dw}}")</t>
        </r>
      </text>
    </comment>
    <comment ref="P43" authorId="0">
      <text>
        <r>
          <rPr>
            <b/>
            <sz val="9"/>
            <color indexed="81"/>
            <rFont val="宋体"/>
            <family val="2"/>
          </rPr>
          <t>#Input("榆炼_能源_能耗月报表_燃料气_储运系统",":key{{dw}}")</t>
        </r>
      </text>
    </comment>
    <comment ref="Q43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#Input("榆炼_能源_能耗月报表_制氢燃料_储运系统",":key{{dw}}")</t>
        </r>
      </text>
    </comment>
    <comment ref="R43" authorId="0">
      <text>
        <r>
          <rPr>
            <b/>
            <sz val="9"/>
            <color indexed="81"/>
            <rFont val="宋体"/>
            <family val="2"/>
          </rPr>
          <t>#Input("榆炼_能源_能耗月报表_煤_储运系统",":key{{dw}}")</t>
        </r>
      </text>
    </comment>
    <comment ref="S43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#Input("榆炼_能源_能耗月报表_干馏瓦斯_储运系统",":key{{dw}}")</t>
        </r>
      </text>
    </comment>
    <comment ref="T43" authorId="0">
      <text>
        <r>
          <rPr>
            <b/>
            <sz val="9"/>
            <color indexed="81"/>
            <rFont val="宋体"/>
            <family val="2"/>
          </rPr>
          <t>#Input("榆炼_能源_能耗月报表_天然气_储运系统",":key{{dw}}")</t>
        </r>
      </text>
    </comment>
    <comment ref="U43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#Input("榆炼_能源_能耗月报表_催化烧焦_储运系统",":key{{dw}}")</t>
        </r>
      </text>
    </comment>
    <comment ref="V43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#Input("榆炼_能源_能耗月报表_热进热出_储运系统",":key{{dw}}")</t>
        </r>
      </text>
    </comment>
    <comment ref="W43" authorId="0">
      <text>
        <r>
          <rPr>
            <b/>
            <sz val="9"/>
            <color indexed="81"/>
            <rFont val="宋体"/>
            <family val="2"/>
          </rPr>
          <t>#Input("榆炼_能源_能耗月报表_加工量_储运系统",":key{{dw}}")</t>
        </r>
      </text>
    </comment>
    <comment ref="D44" authorId="0">
      <text>
        <r>
          <rPr>
            <b/>
            <sz val="9"/>
            <color indexed="81"/>
            <rFont val="宋体"/>
            <family val="2"/>
          </rPr>
          <t>#Input("榆炼_能源_能耗月报表_新鲜水_污水处理",":key{{dw}}")</t>
        </r>
      </text>
    </comment>
    <comment ref="E44" authorId="0">
      <text>
        <r>
          <rPr>
            <b/>
            <sz val="9"/>
            <color indexed="81"/>
            <rFont val="宋体"/>
            <family val="2"/>
          </rPr>
          <t>#Input("榆炼_能源_能耗月报表_循环水_污水处理",":key{{dw}}")</t>
        </r>
      </text>
    </comment>
    <comment ref="F44" authorId="0">
      <text>
        <r>
          <rPr>
            <b/>
            <sz val="9"/>
            <color indexed="81"/>
            <rFont val="宋体"/>
            <family val="2"/>
          </rPr>
          <t>#Input("榆炼_能源_能耗月报表_软化水_污水处理",":key{{dw}}")</t>
        </r>
      </text>
    </comment>
    <comment ref="G44" authorId="0">
      <text>
        <r>
          <rPr>
            <b/>
            <sz val="9"/>
            <color indexed="81"/>
            <rFont val="宋体"/>
            <family val="2"/>
          </rPr>
          <t>#Input("榆炼_能源_能耗月报表_除盐水_污水处理",":key{{dw}}")</t>
        </r>
      </text>
    </comment>
    <comment ref="H44" authorId="0">
      <text>
        <r>
          <rPr>
            <b/>
            <sz val="9"/>
            <color indexed="81"/>
            <rFont val="宋体"/>
            <family val="2"/>
          </rPr>
          <t>#Input("榆炼_能源_能耗月报表_除氧水_污水处理",":key{{dw}}")</t>
        </r>
      </text>
    </comment>
    <comment ref="I44" authorId="0">
      <text>
        <r>
          <rPr>
            <b/>
            <sz val="9"/>
            <color indexed="81"/>
            <rFont val="宋体"/>
            <family val="2"/>
          </rPr>
          <t>#Input("榆炼_能源_能耗月报表_中水_污水处理",":key{{dw}}")</t>
        </r>
      </text>
    </comment>
    <comment ref="J44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#Input("榆炼_能源_能耗月报表_透平凝结水_污水处理",":key{{dw}}")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#Input("榆炼_能源_能耗月报表_工艺凝结水_污水处理",":key{{dw}}")</t>
        </r>
      </text>
    </comment>
    <comment ref="L44" authorId="0">
      <text>
        <r>
          <rPr>
            <b/>
            <sz val="9"/>
            <color indexed="81"/>
            <rFont val="宋体"/>
            <family val="2"/>
          </rPr>
          <t>#Input("榆炼_能源_能耗月报表_电_污水处理",":key{{dw}}")</t>
        </r>
      </text>
    </comment>
    <comment ref="M44" authorId="0">
      <text>
        <r>
          <rPr>
            <b/>
            <sz val="9"/>
            <color indexed="81"/>
            <rFont val="宋体"/>
            <family val="2"/>
          </rPr>
          <t>#Input("榆炼_能源_能耗月报表_3.5MPa蒸汽_污水处理",":key{{dw}}")</t>
        </r>
      </text>
    </comment>
    <comment ref="N44" authorId="0">
      <text>
        <r>
          <rPr>
            <b/>
            <sz val="9"/>
            <color indexed="81"/>
            <rFont val="宋体"/>
            <family val="2"/>
          </rPr>
          <t>#Input("榆炼_能源_能耗月报表_1.0MPa蒸汽_污水处理",":key{{dw}}")</t>
        </r>
      </text>
    </comment>
    <comment ref="O44" authorId="0">
      <text>
        <r>
          <rPr>
            <b/>
            <sz val="9"/>
            <color indexed="81"/>
            <rFont val="宋体"/>
            <family val="2"/>
          </rPr>
          <t>#Input("榆炼_能源_能耗月报表_燃料油_污水处理",":key{{dw}}")</t>
        </r>
      </text>
    </comment>
    <comment ref="P44" authorId="0">
      <text>
        <r>
          <rPr>
            <b/>
            <sz val="9"/>
            <color indexed="81"/>
            <rFont val="宋体"/>
            <family val="2"/>
          </rPr>
          <t>#Input("榆炼_能源_能耗月报表_燃料气_污水处理",":key{{dw}}")</t>
        </r>
      </text>
    </comment>
    <comment ref="Q44" authorId="0">
      <text>
        <r>
          <rPr>
            <b/>
            <sz val="9"/>
            <color indexed="81"/>
            <rFont val="宋体"/>
            <family val="2"/>
          </rPr>
          <t>#Input("榆炼_能源_能耗月报表_制氢燃料_污水处理",":key{{dw}}")</t>
        </r>
      </text>
    </comment>
    <comment ref="R44" authorId="0">
      <text>
        <r>
          <rPr>
            <b/>
            <sz val="9"/>
            <color indexed="81"/>
            <rFont val="宋体"/>
            <family val="2"/>
          </rPr>
          <t>#Input("榆炼_能源_能耗月报表_煤_污水处理",":key{{dw}}")</t>
        </r>
      </text>
    </comment>
    <comment ref="S44" authorId="0">
      <text>
        <r>
          <rPr>
            <b/>
            <sz val="9"/>
            <color indexed="81"/>
            <rFont val="宋体"/>
            <family val="2"/>
          </rPr>
          <t>#Input("榆炼_能源_能耗月报表_干馏瓦斯_污水处理",":key{{dw}}")</t>
        </r>
      </text>
    </comment>
    <comment ref="T44" authorId="0">
      <text>
        <r>
          <rPr>
            <b/>
            <sz val="9"/>
            <color indexed="81"/>
            <rFont val="宋体"/>
            <family val="2"/>
          </rPr>
          <t>#Input("榆炼_能源_能耗月报表_天然气_污水处理",":key{{dw}}")</t>
        </r>
      </text>
    </comment>
    <comment ref="U44" authorId="0">
      <text>
        <r>
          <rPr>
            <b/>
            <sz val="9"/>
            <color indexed="81"/>
            <rFont val="宋体"/>
            <family val="2"/>
          </rPr>
          <t>#Input("榆炼_能源_能耗月报表_催化烧焦_污水处理",":key{{dw}}")</t>
        </r>
      </text>
    </comment>
    <comment ref="V44" authorId="0">
      <text>
        <r>
          <rPr>
            <b/>
            <sz val="9"/>
            <color indexed="81"/>
            <rFont val="宋体"/>
            <family val="2"/>
          </rPr>
          <t>#Input("榆炼_能源_能耗月报表_热进热出_污水处理",":key{{dw}}")</t>
        </r>
      </text>
    </comment>
    <comment ref="W44" authorId="0">
      <text>
        <r>
          <rPr>
            <b/>
            <sz val="9"/>
            <color indexed="81"/>
            <rFont val="宋体"/>
            <family val="2"/>
          </rPr>
          <t>#Input("榆炼_能源_能耗月报表_加工量_污水处理",":key{{dw}}")</t>
        </r>
      </text>
    </comment>
    <comment ref="D45" authorId="0">
      <text>
        <r>
          <rPr>
            <b/>
            <sz val="9"/>
            <color indexed="81"/>
            <rFont val="宋体"/>
            <family val="2"/>
          </rPr>
          <t>#Input("榆炼_能源_能耗月报表_新鲜水_其它辅助部门",":key{{dw}}")</t>
        </r>
      </text>
    </comment>
    <comment ref="E45" authorId="0">
      <text>
        <r>
          <rPr>
            <b/>
            <sz val="9"/>
            <color indexed="81"/>
            <rFont val="宋体"/>
            <family val="2"/>
          </rPr>
          <t>#Input("榆炼_能源_能耗月报表_循环水_其它辅助部门",":key{{dw}}")</t>
        </r>
      </text>
    </comment>
    <comment ref="F45" authorId="0">
      <text>
        <r>
          <rPr>
            <b/>
            <sz val="9"/>
            <color indexed="81"/>
            <rFont val="宋体"/>
            <family val="2"/>
          </rPr>
          <t>#Input("榆炼_能源_能耗月报表_软化水_其它辅助部门",":key{{dw}}")</t>
        </r>
      </text>
    </comment>
    <comment ref="G45" authorId="0">
      <text>
        <r>
          <rPr>
            <b/>
            <sz val="9"/>
            <color indexed="81"/>
            <rFont val="宋体"/>
            <family val="2"/>
          </rPr>
          <t>#Input("榆炼_能源_能耗月报表_除盐水_其它辅助部门",":key{{dw}}")</t>
        </r>
      </text>
    </comment>
    <comment ref="H45" authorId="0">
      <text>
        <r>
          <rPr>
            <b/>
            <sz val="9"/>
            <color indexed="81"/>
            <rFont val="宋体"/>
            <family val="2"/>
          </rPr>
          <t>#Input("榆炼_能源_能耗月报表_除氧水_其它辅助部门",":key{{dw}}")</t>
        </r>
      </text>
    </comment>
    <comment ref="I45" authorId="0">
      <text>
        <r>
          <rPr>
            <b/>
            <sz val="9"/>
            <color indexed="81"/>
            <rFont val="宋体"/>
            <family val="2"/>
          </rPr>
          <t>#Input("榆炼_能源_能耗月报表_中水_其它辅助部门",":key{{dw}}")</t>
        </r>
      </text>
    </comment>
    <comment ref="J45" authorId="0">
      <text>
        <r>
          <rPr>
            <b/>
            <sz val="9"/>
            <color indexed="81"/>
            <rFont val="宋体"/>
            <family val="2"/>
          </rPr>
          <t>#Input("榆炼_能源_能耗月报表_透平凝结水_其它辅助部门",":key{{dw}}")</t>
        </r>
      </text>
    </comment>
    <comment ref="K45" authorId="0">
      <text>
        <r>
          <rPr>
            <b/>
            <sz val="9"/>
            <color indexed="81"/>
            <rFont val="宋体"/>
            <family val="2"/>
          </rPr>
          <t>#Input("榆炼_能源_能耗月报表_工艺凝结水_其它辅助部门",":key{{dw}}")</t>
        </r>
      </text>
    </comment>
    <comment ref="L45" authorId="0">
      <text>
        <r>
          <rPr>
            <b/>
            <sz val="9"/>
            <color indexed="81"/>
            <rFont val="宋体"/>
            <family val="2"/>
          </rPr>
          <t>#Input("榆炼_能源_能耗月报表_电_其它辅助部门",":key{{dw}}")</t>
        </r>
      </text>
    </comment>
    <comment ref="M45" authorId="0">
      <text>
        <r>
          <rPr>
            <b/>
            <sz val="9"/>
            <color indexed="81"/>
            <rFont val="宋体"/>
            <family val="2"/>
          </rPr>
          <t>#Input("榆炼_能源_能耗月报表_3.5MPa蒸汽_其它辅助部门",":key{{dw}}")</t>
        </r>
      </text>
    </comment>
    <comment ref="N45" authorId="0">
      <text>
        <r>
          <rPr>
            <b/>
            <sz val="9"/>
            <color indexed="81"/>
            <rFont val="宋体"/>
            <family val="2"/>
          </rPr>
          <t>#Input("榆炼_能源_能耗月报表_1.0MPa蒸汽_其它辅助部门",":key{{dw}}")</t>
        </r>
      </text>
    </comment>
    <comment ref="O45" authorId="0">
      <text>
        <r>
          <rPr>
            <b/>
            <sz val="9"/>
            <color indexed="81"/>
            <rFont val="宋体"/>
            <family val="2"/>
          </rPr>
          <t>#Input("榆炼_能源_能耗月报表_燃料油_其它辅助部门",":key{{dw}}")</t>
        </r>
      </text>
    </comment>
    <comment ref="P45" authorId="0">
      <text>
        <r>
          <rPr>
            <b/>
            <sz val="9"/>
            <color indexed="81"/>
            <rFont val="宋体"/>
            <family val="2"/>
          </rPr>
          <t>#Input("榆炼_能源_能耗月报表_燃料气_其它辅助部门",":key{{dw}}")</t>
        </r>
      </text>
    </comment>
    <comment ref="Q45" authorId="0">
      <text>
        <r>
          <rPr>
            <b/>
            <sz val="9"/>
            <color indexed="81"/>
            <rFont val="宋体"/>
            <family val="2"/>
          </rPr>
          <t>#Input("榆炼_能源_能耗月报表_制氢燃料_其它辅助部门",":key{{dw}}")</t>
        </r>
      </text>
    </comment>
    <comment ref="R45" authorId="0">
      <text>
        <r>
          <rPr>
            <b/>
            <sz val="9"/>
            <color indexed="81"/>
            <rFont val="宋体"/>
            <family val="2"/>
          </rPr>
          <t>#Input("榆炼_能源_能耗月报表_煤_其它辅助部门",":key{{dw}}")</t>
        </r>
      </text>
    </comment>
    <comment ref="S45" authorId="0">
      <text>
        <r>
          <rPr>
            <b/>
            <sz val="9"/>
            <color indexed="81"/>
            <rFont val="宋体"/>
            <family val="2"/>
          </rPr>
          <t>#Input("榆炼_能源_能耗月报表_干馏瓦斯_其它辅助部门",":key{{dw}}")</t>
        </r>
      </text>
    </comment>
    <comment ref="T45" authorId="0">
      <text>
        <r>
          <rPr>
            <b/>
            <sz val="9"/>
            <color indexed="81"/>
            <rFont val="宋体"/>
            <family val="2"/>
          </rPr>
          <t>#Input("榆炼_能源_能耗月报表_天然气_其它辅助部门",":key{{dw}}")</t>
        </r>
      </text>
    </comment>
    <comment ref="U45" authorId="0">
      <text>
        <r>
          <rPr>
            <b/>
            <sz val="9"/>
            <color indexed="81"/>
            <rFont val="宋体"/>
            <family val="2"/>
          </rPr>
          <t>#Input("榆炼_能源_能耗月报表_催化烧焦_其它辅助部门",":key{{dw}}")</t>
        </r>
      </text>
    </comment>
    <comment ref="V45" authorId="0">
      <text>
        <r>
          <rPr>
            <b/>
            <sz val="9"/>
            <color indexed="81"/>
            <rFont val="宋体"/>
            <family val="2"/>
          </rPr>
          <t>#Input("榆炼_能源_能耗月报表_热进热出_其它辅助部门",":key{{dw}}")</t>
        </r>
      </text>
    </comment>
    <comment ref="W45" authorId="0">
      <text>
        <r>
          <rPr>
            <b/>
            <sz val="9"/>
            <color indexed="81"/>
            <rFont val="宋体"/>
            <family val="2"/>
          </rPr>
          <t>#Input("榆炼_能源_能耗月报表_加工量_其它辅助部门",":key{{dw}}")</t>
        </r>
      </text>
    </comment>
    <comment ref="L46" authorId="0">
      <text>
        <r>
          <rPr>
            <b/>
            <sz val="9"/>
            <color indexed="81"/>
            <rFont val="宋体"/>
            <family val="2"/>
          </rPr>
          <t>#Input("榆炼_能源_能耗月报表_电_损失",":key{{dw}}")</t>
        </r>
      </text>
    </comment>
    <comment ref="W46" authorId="0">
      <text>
        <r>
          <rPr>
            <b/>
            <sz val="9"/>
            <color indexed="81"/>
            <rFont val="宋体"/>
            <family val="2"/>
          </rPr>
          <t>#Input("榆炼_能源_能耗月报表_加工量_损失",":key{{dw}}")</t>
        </r>
      </text>
    </comment>
    <comment ref="D47" authorId="0">
      <text>
        <r>
          <rPr>
            <b/>
            <sz val="9"/>
            <color indexed="81"/>
            <rFont val="宋体"/>
            <family val="2"/>
          </rPr>
          <t>#Input("榆炼_能源_能耗月报表_单位负责人",":key{{dw}}")</t>
        </r>
      </text>
    </comment>
    <comment ref="N47" authorId="0">
      <text>
        <r>
          <rPr>
            <b/>
            <sz val="9"/>
            <color indexed="81"/>
            <rFont val="宋体"/>
            <family val="2"/>
          </rPr>
          <t>#Input("榆炼_能源_能耗月报表_统计负责人",":key{{dw}}")</t>
        </r>
      </text>
    </comment>
    <comment ref="V47" authorId="0">
      <text>
        <r>
          <rPr>
            <b/>
            <sz val="9"/>
            <color indexed="81"/>
            <rFont val="宋体"/>
            <family val="2"/>
          </rPr>
          <t>#Input("榆炼_能源_能耗月报表_填报人",":key{{dw}}")</t>
        </r>
      </text>
    </comment>
    <comment ref="F51" authorId="0">
      <text>
        <r>
          <rPr>
            <b/>
            <sz val="9"/>
            <color indexed="81"/>
            <rFont val="宋体"/>
            <family val="2"/>
          </rPr>
          <t>#Input("榆炼_能源_能耗月报表_被加热罐容积",":key{{dw}}")</t>
        </r>
      </text>
    </comment>
    <comment ref="F52" authorId="0">
      <text>
        <r>
          <rPr>
            <b/>
            <sz val="9"/>
            <color indexed="81"/>
            <rFont val="宋体"/>
            <family val="2"/>
          </rPr>
          <t>#Input("榆炼_能源_能耗月报表_被加热物料总量",":key{{dw}}")</t>
        </r>
      </text>
    </comment>
    <comment ref="F53" authorId="0">
      <text>
        <r>
          <rPr>
            <b/>
            <sz val="9"/>
            <color indexed="81"/>
            <rFont val="宋体"/>
            <family val="2"/>
          </rPr>
          <t>#Input("榆炼_能源_能耗月报表_统计天数",":key{{dw}}")</t>
        </r>
      </text>
    </comment>
    <comment ref="F54" authorId="0">
      <text>
        <r>
          <rPr>
            <b/>
            <sz val="9"/>
            <color indexed="81"/>
            <rFont val="宋体"/>
            <family val="2"/>
          </rPr>
          <t>#Input("榆炼_能源_能耗月报表_原油及原料油(气)加工量",":key{{dw}}")</t>
        </r>
      </text>
    </comment>
    <comment ref="F55" authorId="0">
      <text>
        <r>
          <rPr>
            <b/>
            <sz val="9"/>
            <color indexed="81"/>
            <rFont val="宋体"/>
            <family val="2"/>
          </rPr>
          <t>#Input("榆炼_能源_能耗月报表_原油加工量",":key{{dw}}")</t>
        </r>
      </text>
    </comment>
    <comment ref="F56" authorId="0">
      <text>
        <r>
          <rPr>
            <b/>
            <sz val="9"/>
            <color indexed="81"/>
            <rFont val="宋体"/>
            <family val="2"/>
          </rPr>
          <t>#Input("榆炼_能源_能耗月报表_总产值",":key{{dw}}")</t>
        </r>
      </text>
    </comment>
    <comment ref="F57" authorId="0">
      <text>
        <r>
          <rPr>
            <b/>
            <sz val="9"/>
            <color indexed="81"/>
            <rFont val="宋体"/>
            <family val="2"/>
          </rPr>
          <t>#Input("榆炼_能源_能耗月报表_炼油外输热量",":key{{dw}}")</t>
        </r>
      </text>
    </comment>
    <comment ref="F58" authorId="0">
      <text>
        <r>
          <rPr>
            <b/>
            <sz val="9"/>
            <color indexed="81"/>
            <rFont val="宋体"/>
            <family val="2"/>
          </rPr>
          <t>#Input("榆炼_能源_能耗月报表_非炼油外输热量",":key{{dw}}")</t>
        </r>
      </text>
    </comment>
    <comment ref="F59" authorId="0">
      <text>
        <r>
          <rPr>
            <b/>
            <sz val="9"/>
            <color indexed="81"/>
            <rFont val="宋体"/>
            <family val="2"/>
          </rPr>
          <t>#Input("榆炼_能源_能耗月报表_槽车进厂",":key{{dw}}")</t>
        </r>
      </text>
    </comment>
    <comment ref="F60" authorId="0">
      <text>
        <r>
          <rPr>
            <b/>
            <sz val="9"/>
            <color indexed="81"/>
            <rFont val="宋体"/>
            <family val="2"/>
          </rPr>
          <t>#Input("榆炼_能源_能耗月报表_油驳进厂",":key{{dw}}")</t>
        </r>
      </text>
    </comment>
    <comment ref="F61" authorId="0">
      <text>
        <r>
          <rPr>
            <b/>
            <sz val="9"/>
            <color indexed="81"/>
            <rFont val="宋体"/>
            <family val="2"/>
          </rPr>
          <t>#Input("榆炼_能源_能耗月报表_油轮进厂",":key{{dw}}")</t>
        </r>
      </text>
    </comment>
    <comment ref="F62" authorId="0">
      <text>
        <r>
          <rPr>
            <b/>
            <sz val="9"/>
            <color indexed="81"/>
            <rFont val="宋体"/>
            <family val="2"/>
          </rPr>
          <t>#Input("榆炼_能源_能耗月报表_管道输送",":key{{dw}}")</t>
        </r>
      </text>
    </comment>
    <comment ref="F63" authorId="0">
      <text>
        <r>
          <rPr>
            <b/>
            <sz val="9"/>
            <color indexed="81"/>
            <rFont val="宋体"/>
            <family val="2"/>
          </rPr>
          <t>#Input("榆炼_能源_能耗月报表_特洗油槽车",":key{{dw}}")</t>
        </r>
      </text>
    </comment>
    <comment ref="F64" authorId="0">
      <text>
        <r>
          <rPr>
            <b/>
            <sz val="9"/>
            <color indexed="81"/>
            <rFont val="宋体"/>
            <family val="2"/>
          </rPr>
          <t>#Input("榆炼_能源_能耗月报表_EC3",":key{{dw}}")</t>
        </r>
      </text>
    </comment>
    <comment ref="F65" authorId="0">
      <text>
        <r>
          <rPr>
            <b/>
            <sz val="9"/>
            <color indexed="81"/>
            <rFont val="宋体"/>
            <family val="2"/>
          </rPr>
          <t>#Input("榆炼_能源_能耗月报表_GW1",":key{{dw}}")</t>
        </r>
      </text>
    </comment>
    <comment ref="F66" authorId="0">
      <text>
        <r>
          <rPr>
            <b/>
            <sz val="9"/>
            <color indexed="81"/>
            <rFont val="宋体"/>
            <family val="2"/>
          </rPr>
          <t>#Input("榆炼_能源_能耗月报表_GW2",":key{{dw}}")</t>
        </r>
      </text>
    </comment>
    <comment ref="F67" authorId="0">
      <text>
        <r>
          <rPr>
            <b/>
            <sz val="9"/>
            <color indexed="81"/>
            <rFont val="宋体"/>
            <family val="2"/>
          </rPr>
          <t>#Input("榆炼_能源_能耗月报表_GW3",":key{{dw}}")</t>
        </r>
      </text>
    </comment>
    <comment ref="F68" authorId="0">
      <text>
        <r>
          <rPr>
            <b/>
            <sz val="9"/>
            <color indexed="81"/>
            <rFont val="宋体"/>
            <family val="2"/>
          </rPr>
          <t>#Input("榆炼_能源_能耗月报表_GW4",":key{{dw}}")</t>
        </r>
      </text>
    </comment>
    <comment ref="F69" authorId="0">
      <text>
        <r>
          <rPr>
            <b/>
            <sz val="9"/>
            <color indexed="81"/>
            <rFont val="宋体"/>
            <family val="2"/>
          </rPr>
          <t>#Input("榆炼_能源_能耗月报表_GW5",":key{{dw}}")</t>
        </r>
      </text>
    </comment>
    <comment ref="F70" authorId="0">
      <text>
        <r>
          <rPr>
            <b/>
            <sz val="9"/>
            <color indexed="81"/>
            <rFont val="宋体"/>
            <family val="2"/>
          </rPr>
          <t>#Input("榆炼_能源_能耗月报表_GW6",":key{{dw}}")</t>
        </r>
      </text>
    </comment>
    <comment ref="F71" authorId="0">
      <text>
        <r>
          <rPr>
            <b/>
            <sz val="9"/>
            <color indexed="81"/>
            <rFont val="宋体"/>
            <family val="2"/>
          </rPr>
          <t>#Input("榆炼_能源_能耗月报表_GW7",":key{{dw}}")</t>
        </r>
      </text>
    </comment>
    <comment ref="F72" authorId="0">
      <text>
        <r>
          <rPr>
            <b/>
            <sz val="9"/>
            <color indexed="81"/>
            <rFont val="宋体"/>
            <family val="2"/>
          </rPr>
          <t>#Input("榆炼_能源_能耗月报表_GW8",":key{{dw}}")</t>
        </r>
      </text>
    </comment>
    <comment ref="F73" authorId="0">
      <text>
        <r>
          <rPr>
            <b/>
            <sz val="9"/>
            <color indexed="81"/>
            <rFont val="宋体"/>
            <family val="2"/>
          </rPr>
          <t>#Input("榆炼_能源_能耗月报表_GW9",":key{{dw}}")</t>
        </r>
      </text>
    </comment>
    <comment ref="F74" authorId="0">
      <text>
        <r>
          <rPr>
            <b/>
            <sz val="9"/>
            <color indexed="81"/>
            <rFont val="宋体"/>
            <family val="2"/>
          </rPr>
          <t>#Input("榆炼_能源_能耗月报表_电炼油分摊比",":key{{dw}}")</t>
        </r>
      </text>
    </comment>
    <comment ref="F75" authorId="0">
      <text>
        <r>
          <rPr>
            <b/>
            <sz val="9"/>
            <color indexed="81"/>
            <rFont val="宋体"/>
            <family val="2"/>
          </rPr>
          <t>#Input("榆炼_能源_能耗月报表_蒸汽炼油分摊比",":key{{dw}}")</t>
        </r>
      </text>
    </comment>
    <comment ref="F76" authorId="0">
      <text>
        <r>
          <rPr>
            <b/>
            <sz val="9"/>
            <color indexed="81"/>
            <rFont val="宋体"/>
            <family val="2"/>
          </rPr>
          <t>#Input("榆炼_能源_能耗月报表_电站电热比",":key{{dw}}")</t>
        </r>
      </text>
    </comment>
    <comment ref="F77" authorId="0">
      <text>
        <r>
          <rPr>
            <b/>
            <sz val="9"/>
            <color indexed="81"/>
            <rFont val="宋体"/>
            <family val="2"/>
          </rPr>
          <t>#Input("榆炼_能源_能耗月报表_全厂水耗",":key{{dw}}")</t>
        </r>
      </text>
    </comment>
    <comment ref="F78" authorId="0">
      <text>
        <r>
          <rPr>
            <b/>
            <sz val="9"/>
            <color indexed="81"/>
            <rFont val="宋体"/>
            <family val="2"/>
          </rPr>
          <t>#Input("榆炼_能源_能耗月报表_耗新鲜水",":key{{dw}}")</t>
        </r>
      </text>
    </comment>
    <comment ref="F79" authorId="0">
      <text>
        <r>
          <rPr>
            <b/>
            <sz val="9"/>
            <color indexed="81"/>
            <rFont val="宋体"/>
            <family val="2"/>
          </rPr>
          <t>#Input("榆炼_能源_能耗月报表_耗电",":key{{dw}}")</t>
        </r>
      </text>
    </comment>
    <comment ref="F80" authorId="0">
      <text>
        <r>
          <rPr>
            <b/>
            <sz val="9"/>
            <color indexed="81"/>
            <rFont val="宋体"/>
            <family val="2"/>
          </rPr>
          <t>#Input("榆炼_能源_能耗月报表_耗蒸汽",":key{{dw}}")</t>
        </r>
      </text>
    </comment>
    <comment ref="F81" authorId="0">
      <text>
        <r>
          <rPr>
            <b/>
            <sz val="9"/>
            <color indexed="81"/>
            <rFont val="宋体"/>
            <family val="2"/>
          </rPr>
          <t>#Input("榆炼_能源_能耗月报表_耗燃料油",":key{{dw}}")</t>
        </r>
      </text>
    </comment>
    <comment ref="F82" authorId="0">
      <text>
        <r>
          <rPr>
            <b/>
            <sz val="9"/>
            <color indexed="81"/>
            <rFont val="宋体"/>
            <family val="2"/>
          </rPr>
          <t>#Input("榆炼_能源_能耗月报表_耗干气",":key{{dw}}")</t>
        </r>
      </text>
    </comment>
    <comment ref="F83" authorId="0">
      <text>
        <r>
          <rPr>
            <b/>
            <sz val="9"/>
            <color indexed="81"/>
            <rFont val="宋体"/>
            <family val="2"/>
          </rPr>
          <t>#Input("榆炼_能源_能耗月报表_耗天然气",":key{{dw}}")</t>
        </r>
      </text>
    </comment>
  </commentList>
</comments>
</file>

<file path=xl/sharedStrings.xml><?xml version="1.0" encoding="utf-8"?>
<sst xmlns="http://schemas.openxmlformats.org/spreadsheetml/2006/main" count="357" uniqueCount="220">
  <si>
    <t>能耗数据模板</t>
  </si>
  <si>
    <t>项目代码</t>
  </si>
  <si>
    <t>项目名称</t>
  </si>
  <si>
    <t>新鲜水</t>
  </si>
  <si>
    <t>循环水</t>
  </si>
  <si>
    <t>软化水</t>
  </si>
  <si>
    <t>除盐水</t>
  </si>
  <si>
    <t>除氧水</t>
  </si>
  <si>
    <t>中水</t>
  </si>
  <si>
    <t>透平凝结水</t>
  </si>
  <si>
    <t>工艺凝结水</t>
  </si>
  <si>
    <t>电</t>
  </si>
  <si>
    <t>3.5MPa蒸汽</t>
  </si>
  <si>
    <t>1.0MPa蒸汽</t>
  </si>
  <si>
    <t>燃料油</t>
  </si>
  <si>
    <t>燃料气</t>
  </si>
  <si>
    <t>制氢燃料</t>
  </si>
  <si>
    <t>煤</t>
  </si>
  <si>
    <t>干馏瓦斯</t>
  </si>
  <si>
    <t>天然气</t>
  </si>
  <si>
    <t>催化烧焦</t>
  </si>
  <si>
    <t>热进热出</t>
  </si>
  <si>
    <t>加工量</t>
  </si>
  <si>
    <t>吨</t>
  </si>
  <si>
    <t>KWh</t>
  </si>
  <si>
    <t>立方米</t>
  </si>
  <si>
    <t>千克标油</t>
  </si>
  <si>
    <t>N01</t>
  </si>
  <si>
    <t>N02</t>
  </si>
  <si>
    <t>N03</t>
  </si>
  <si>
    <t>N04</t>
  </si>
  <si>
    <t>N22</t>
  </si>
  <si>
    <t>N52</t>
  </si>
  <si>
    <t>N05</t>
  </si>
  <si>
    <t>N06</t>
  </si>
  <si>
    <t>N07</t>
  </si>
  <si>
    <t>N09</t>
  </si>
  <si>
    <t>N10</t>
  </si>
  <si>
    <t>N12</t>
  </si>
  <si>
    <t>N13</t>
  </si>
  <si>
    <t>N14</t>
  </si>
  <si>
    <t>N15</t>
  </si>
  <si>
    <t>N16</t>
  </si>
  <si>
    <t>N26</t>
  </si>
  <si>
    <t>N17</t>
  </si>
  <si>
    <t>N18</t>
  </si>
  <si>
    <t>T1000000</t>
  </si>
  <si>
    <t>一、总收入量</t>
  </si>
  <si>
    <t>T1010000</t>
  </si>
  <si>
    <t xml:space="preserve"> 1、外购量</t>
  </si>
  <si>
    <t>T1020000</t>
  </si>
  <si>
    <t xml:space="preserve"> 2、自产/转换量</t>
  </si>
  <si>
    <t>T1020100</t>
  </si>
  <si>
    <t xml:space="preserve">  1）锅炉产蒸汽</t>
  </si>
  <si>
    <t>T1020200</t>
  </si>
  <si>
    <t xml:space="preserve">  2）电站产蒸汽</t>
  </si>
  <si>
    <t>T1030000</t>
  </si>
  <si>
    <t xml:space="preserve"> 3、减温减压蒸汽并网量</t>
  </si>
  <si>
    <t>T1040000</t>
  </si>
  <si>
    <t xml:space="preserve"> 4、发电机用汽及降级量</t>
  </si>
  <si>
    <t>T1050000</t>
  </si>
  <si>
    <t xml:space="preserve"> 5、其他转入量</t>
  </si>
  <si>
    <t>T2000000</t>
  </si>
  <si>
    <t>二、总外销量</t>
  </si>
  <si>
    <t>T3000000</t>
  </si>
  <si>
    <t>三、总供出量</t>
  </si>
  <si>
    <t>T4000000</t>
  </si>
  <si>
    <t>四、总消耗量</t>
  </si>
  <si>
    <t>S01</t>
  </si>
  <si>
    <t>动力单元</t>
  </si>
  <si>
    <t>Z102002300</t>
  </si>
  <si>
    <t xml:space="preserve">    新鲜水场</t>
  </si>
  <si>
    <t>Z102002310</t>
  </si>
  <si>
    <t xml:space="preserve">    循环水场</t>
  </si>
  <si>
    <t>Z102002320</t>
  </si>
  <si>
    <t xml:space="preserve">    电站</t>
  </si>
  <si>
    <t>Z102002330</t>
  </si>
  <si>
    <t xml:space="preserve">    锅炉</t>
  </si>
  <si>
    <t>S02</t>
  </si>
  <si>
    <t>炼油装置</t>
  </si>
  <si>
    <t>Z102004180</t>
  </si>
  <si>
    <t xml:space="preserve">    500万吨/年常压蒸馏</t>
  </si>
  <si>
    <t>Z102004380</t>
  </si>
  <si>
    <t xml:space="preserve">    30万吨/年航煤加氢</t>
  </si>
  <si>
    <t>Z102000102</t>
  </si>
  <si>
    <t xml:space="preserve">    220万吨/年常压蒸馏</t>
  </si>
  <si>
    <t>Z102000190</t>
  </si>
  <si>
    <t xml:space="preserve">    180万吨/年催化裂化</t>
  </si>
  <si>
    <t>Z102000161</t>
  </si>
  <si>
    <t xml:space="preserve">    60万吨/年催化裂化</t>
  </si>
  <si>
    <t>Z109000019</t>
  </si>
  <si>
    <t xml:space="preserve">    100万吨/年连续重整</t>
  </si>
  <si>
    <t>Z109000020</t>
  </si>
  <si>
    <t xml:space="preserve">    芳烃分离</t>
  </si>
  <si>
    <t>Z102000332</t>
  </si>
  <si>
    <t>酸性水汽提</t>
  </si>
  <si>
    <t>Z102000333</t>
  </si>
  <si>
    <t>液化气脱硫、脱硫醇</t>
  </si>
  <si>
    <t>Z102000334</t>
  </si>
  <si>
    <t>汽油脱硫醇</t>
  </si>
  <si>
    <t>Z102000335</t>
  </si>
  <si>
    <t>催化溶剂再生</t>
  </si>
  <si>
    <t>Z102000336</t>
  </si>
  <si>
    <t>20万吨/年苯抽提(芳烃)</t>
  </si>
  <si>
    <t>Z102004200</t>
  </si>
  <si>
    <t xml:space="preserve">    90万吨/年汽油加氢</t>
  </si>
  <si>
    <t>Z102004190</t>
  </si>
  <si>
    <t xml:space="preserve">    200万吨/年柴油加氢</t>
  </si>
  <si>
    <t>Z102004310</t>
  </si>
  <si>
    <t xml:space="preserve">    20万吨/年DCC裂解石脑油</t>
  </si>
  <si>
    <t>Z102004320</t>
  </si>
  <si>
    <t xml:space="preserve">    20万吨/年DCC裂解轻油</t>
  </si>
  <si>
    <t>Z102004220</t>
  </si>
  <si>
    <t xml:space="preserve">    天然气制氢</t>
  </si>
  <si>
    <t>Z102004210</t>
  </si>
  <si>
    <t xml:space="preserve">    干气制氢</t>
  </si>
  <si>
    <t>Z102001250</t>
  </si>
  <si>
    <t xml:space="preserve">    硫磺回收</t>
  </si>
  <si>
    <t>S05</t>
  </si>
  <si>
    <t>生产辅助</t>
  </si>
  <si>
    <t>Z102002370</t>
  </si>
  <si>
    <t xml:space="preserve">    储运系统</t>
  </si>
  <si>
    <t>Z102002380</t>
  </si>
  <si>
    <t xml:space="preserve">    污水处理</t>
  </si>
  <si>
    <t>Z102002390</t>
  </si>
  <si>
    <t xml:space="preserve">    其它辅助部门</t>
  </si>
  <si>
    <t>T4020600</t>
  </si>
  <si>
    <t>损失</t>
  </si>
  <si>
    <t>单位负责人：</t>
  </si>
  <si>
    <t>统计负责人：</t>
  </si>
  <si>
    <t>填报人：</t>
  </si>
  <si>
    <t>能耗其他相关数据模板</t>
  </si>
  <si>
    <t>项目编码</t>
  </si>
  <si>
    <t>项目类别</t>
  </si>
  <si>
    <t>计量单位</t>
  </si>
  <si>
    <t>本期值</t>
  </si>
  <si>
    <t>01</t>
  </si>
  <si>
    <t>被加热罐容积(V)</t>
  </si>
  <si>
    <t>02</t>
  </si>
  <si>
    <t>被加热物料总量(M)</t>
  </si>
  <si>
    <t>03</t>
  </si>
  <si>
    <t>统计天数(D)</t>
  </si>
  <si>
    <t>天</t>
  </si>
  <si>
    <t>04</t>
  </si>
  <si>
    <t>原油及原料油(气)加工量(G)</t>
  </si>
  <si>
    <t>08</t>
  </si>
  <si>
    <t>原油加工量(G)</t>
  </si>
  <si>
    <t>05</t>
  </si>
  <si>
    <t>总产值</t>
  </si>
  <si>
    <t>万元</t>
  </si>
  <si>
    <t>06</t>
  </si>
  <si>
    <t>炼油外输热量</t>
  </si>
  <si>
    <t>07</t>
  </si>
  <si>
    <t>非炼油外输热量</t>
  </si>
  <si>
    <t>20</t>
  </si>
  <si>
    <t>槽车进厂</t>
  </si>
  <si>
    <t>21</t>
  </si>
  <si>
    <t>油驳进厂</t>
  </si>
  <si>
    <t>22</t>
  </si>
  <si>
    <t>油轮进厂</t>
  </si>
  <si>
    <t>23</t>
  </si>
  <si>
    <t>管道输送</t>
  </si>
  <si>
    <t>24</t>
  </si>
  <si>
    <t>特洗油槽车</t>
  </si>
  <si>
    <t>25</t>
  </si>
  <si>
    <t>EC3</t>
  </si>
  <si>
    <t>30</t>
  </si>
  <si>
    <t>GW1</t>
  </si>
  <si>
    <t>31</t>
  </si>
  <si>
    <t>GW2</t>
  </si>
  <si>
    <t>32</t>
  </si>
  <si>
    <t>GW3</t>
  </si>
  <si>
    <t>33</t>
  </si>
  <si>
    <t>GW4</t>
  </si>
  <si>
    <t>34</t>
  </si>
  <si>
    <t>GW5</t>
  </si>
  <si>
    <t>35</t>
  </si>
  <si>
    <t>GW6</t>
  </si>
  <si>
    <t>36</t>
  </si>
  <si>
    <t>GW7</t>
  </si>
  <si>
    <t>37</t>
  </si>
  <si>
    <t>GW8</t>
  </si>
  <si>
    <t>38</t>
  </si>
  <si>
    <t>GW9</t>
  </si>
  <si>
    <t>50</t>
  </si>
  <si>
    <t>电炼油分摊比</t>
  </si>
  <si>
    <t>%</t>
  </si>
  <si>
    <t>51</t>
  </si>
  <si>
    <t>蒸汽炼油分摊比</t>
  </si>
  <si>
    <t>电站电热比(电占%)</t>
  </si>
  <si>
    <t>全厂水耗</t>
  </si>
  <si>
    <t>t</t>
  </si>
  <si>
    <t>耗新鲜水</t>
  </si>
  <si>
    <t>耗电</t>
  </si>
  <si>
    <t>kwh</t>
  </si>
  <si>
    <t>耗蒸汽</t>
  </si>
  <si>
    <t>耗燃料油</t>
  </si>
  <si>
    <t>kg</t>
  </si>
  <si>
    <t>耗干气</t>
  </si>
  <si>
    <t>耗天然气</t>
  </si>
  <si>
    <t>m3</t>
  </si>
  <si>
    <t>新鲜水外购量</t>
  </si>
  <si>
    <t xml:space="preserve"> 2、自产/转换量循环水</t>
  </si>
  <si>
    <r>
      <t xml:space="preserve"> 2、自产/转换量</t>
    </r>
    <r>
      <rPr>
        <charset val="134"/>
        <family val="3"/>
        <rFont val="宋体"/>
        <sz val="12"/>
      </rPr>
      <t>除盐水</t>
    </r>
  </si>
  <si>
    <t xml:space="preserve"> 2、自产/转换量3.5PA蒸汽</t>
  </si>
  <si>
    <t>新鲜水场</t>
  </si>
  <si>
    <t>锅炉除盐水</t>
  </si>
  <si>
    <t>锅炉燃料气</t>
  </si>
  <si>
    <r>
      <t>电站1.0</t>
    </r>
    <r>
      <rPr>
        <charset val="134"/>
        <family val="3"/>
        <rFont val="宋体"/>
        <sz val="12"/>
      </rPr>
      <t>PA蒸汽</t>
    </r>
  </si>
  <si>
    <t>自产燃料气</t>
  </si>
  <si>
    <t>自产量催化焦化</t>
  </si>
  <si>
    <t>180万新鲜水</t>
  </si>
  <si>
    <t>180万循环水</t>
  </si>
  <si>
    <t>180万除盐水</t>
  </si>
  <si>
    <t>180万3.5蒸汽</t>
  </si>
  <si>
    <t>180万1.0蒸汽</t>
  </si>
  <si>
    <t>180万电</t>
  </si>
  <si>
    <t>100万除氧水</t>
  </si>
  <si>
    <t>GW</t>
  </si>
  <si>
    <t>#SQL("YUL_EM_Factory_ByMonth","VALUE",":where{NAME="榆炼_生产_联合一车间生产、消耗月报表_硫磺回收除盐水量_月度消耗}")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</si>
</sst>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_ "/>
    <numFmt numFmtId="172" formatCode="0.00_ "/>
  </numFmts>
  <fonts count="27">
    <font>
      <sz val="12"/>
      <color rgb="FF000000"/>
      <name val="宋体"/>
    </font>
    <font>
      <sz val="11"/>
      <color theme="1"/>
      <name val="DengXian"/>
      <scheme val="minor"/>
    </font>
    <font>
      <sz val="11"/>
      <color theme="0"/>
      <name val="DengXian"/>
      <scheme val="minor"/>
    </font>
    <font>
      <sz val="11"/>
      <color rgb="FF9C0006"/>
      <name val="DengXian"/>
      <scheme val="minor"/>
    </font>
    <font>
      <b/>
      <sz val="11"/>
      <color rgb="FFFA7D00"/>
      <name val="DengXian"/>
      <scheme val="minor"/>
    </font>
    <font>
      <b/>
      <sz val="11"/>
      <color theme="0"/>
      <name val="DengXian"/>
      <scheme val="minor"/>
    </font>
    <font>
      <sz val="11"/>
      <color indexed="0"/>
      <name val="Calibri"/>
      <family val="2"/>
    </font>
    <font>
      <i/>
      <sz val="11"/>
      <color rgb="FF7F7F7F"/>
      <name val="DengXian"/>
      <scheme val="minor"/>
    </font>
    <font>
      <sz val="11"/>
      <color rgb="FF006100"/>
      <name val="DengXian"/>
      <scheme val="minor"/>
    </font>
    <font>
      <b/>
      <sz val="15"/>
      <color theme="3"/>
      <name val="DengXian"/>
      <scheme val="minor"/>
    </font>
    <font>
      <b/>
      <sz val="13"/>
      <color theme="3"/>
      <name val="DengXian"/>
      <scheme val="minor"/>
    </font>
    <font>
      <b/>
      <sz val="11"/>
      <color theme="3"/>
      <name val="DengXian"/>
      <scheme val="minor"/>
    </font>
    <font>
      <sz val="11"/>
      <color rgb="FF3F3F76"/>
      <name val="DengXian"/>
      <scheme val="minor"/>
    </font>
    <font>
      <sz val="11"/>
      <color rgb="FFFA7D00"/>
      <name val="DengXian"/>
      <scheme val="minor"/>
    </font>
    <font>
      <sz val="11"/>
      <color rgb="FF9C6500"/>
      <name val="DengXian"/>
      <scheme val="minor"/>
    </font>
    <font>
      <b/>
      <sz val="11"/>
      <color rgb="FF3F3F3F"/>
      <name val="DengXian"/>
      <scheme val="minor"/>
    </font>
    <font>
      <b/>
      <sz val="18"/>
      <color theme="3"/>
      <name val="DengXian Light"/>
      <scheme val="major"/>
    </font>
    <font>
      <b/>
      <sz val="11"/>
      <color theme="1"/>
      <name val="DengXian"/>
      <scheme val="minor"/>
    </font>
    <font>
      <sz val="11"/>
      <color rgb="FFFF0000"/>
      <name val="DengXian"/>
      <scheme val="minor"/>
    </font>
    <font>
      <sz val="12"/>
      <color auto="1"/>
      <name val="宋体"/>
    </font>
    <font>
      <b/>
      <sz val="10"/>
      <color rgb="FF000000"/>
      <name val="宋体"/>
    </font>
    <font>
      <sz val="10"/>
      <color rgb="FF000000"/>
      <name val="等线"/>
    </font>
    <font>
      <sz val="10"/>
      <color auto="1"/>
      <name val="等线"/>
    </font>
    <font>
      <sz val="8"/>
      <color rgb="FF000000"/>
      <name val="宋体"/>
    </font>
    <font>
      <sz val="10"/>
      <color rgb="FF000000"/>
      <name val="宋体"/>
    </font>
    <font>
      <b/>
      <sz val="18"/>
      <color rgb="FF000000"/>
      <name val="等线"/>
    </font>
    <font>
      <b/>
      <sz val="16"/>
      <color rgb="FF000000"/>
      <name val="宋体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2"/>
      </patternFill>
    </fill>
    <fill>
      <patternFill patternType="solid">
        <fgColor theme="0"/>
      </patternFill>
    </fill>
  </fills>
  <borders count="17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  <right style="thin">
        <color rgb="FF010000"/>
      </right>
      <top style="thin">
        <color rgb="FF01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10000"/>
      </left>
      <right/>
      <top style="thin">
        <color rgb="FF010000"/>
      </top>
      <bottom style="thin">
        <color rgb="FF010000"/>
      </bottom>
    </border>
    <border>
      <left/>
      <right style="thin">
        <color rgb="FF010000"/>
      </right>
      <top style="thin">
        <color rgb="FF010000"/>
      </top>
      <bottom style="thin">
        <color rgb="FF010000"/>
      </bottom>
    </border>
    <border>
      <left/>
      <right/>
      <top style="thin">
        <color rgb="FF010000"/>
      </top>
      <bottom/>
    </border>
  </borders>
  <cellStyleXfs count="47">
    <xf numFmtId="0" fontId="0" fillId="0" borderId="0" applyFont="1" applyFill="0" applyBorder="0"/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43" fontId="6" fillId="0" borderId="0" applyFont="0" applyFill="0" applyBorder="0" applyNumberFormat="1">
      <alignment vertical="top"/>
    </xf>
    <xf numFmtId="41" fontId="6" fillId="0" borderId="0" applyFont="0" applyFill="0" applyBorder="0" applyNumberFormat="1">
      <alignment vertical="top"/>
    </xf>
    <xf numFmtId="44" fontId="6" fillId="0" borderId="0" applyFont="0" applyFill="0" applyBorder="0" applyNumberFormat="1">
      <alignment vertical="top"/>
    </xf>
    <xf numFmtId="42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</cellStyleXfs>
  <cellXfs count="192">
    <xf numFmtId="0" fontId="0" fillId="0" borderId="0" xfId="0" applyFont="1"/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43" fontId="6" fillId="0" borderId="0" xfId="28" applyFont="0" applyNumberFormat="1">
      <alignment vertical="top"/>
    </xf>
    <xf numFmtId="41" fontId="6" fillId="0" borderId="0" xfId="29" applyFont="0" applyNumberFormat="1">
      <alignment vertical="top"/>
    </xf>
    <xf numFmtId="44" fontId="6" fillId="0" borderId="0" xfId="30" applyFont="0" applyNumberFormat="1">
      <alignment vertical="top"/>
    </xf>
    <xf numFmtId="42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0" applyFont="1">
      <alignment horizontal="right"/>
    </xf>
    <xf numFmtId="0" fontId="20" fillId="0" borderId="10" xfId="0" applyFont="1" applyBorder="1">
      <alignment horizontal="right" vertical="center"/>
      <protection locked="0"/>
    </xf>
    <xf numFmtId="0" fontId="21" fillId="0" borderId="10" xfId="0" applyFont="1" applyBorder="1">
      <alignment horizontal="center" vertical="center" wrapText="1"/>
      <protection locked="0"/>
    </xf>
    <xf numFmtId="0" fontId="21" fillId="0" borderId="10" xfId="0" applyFont="1" applyBorder="1">
      <alignment horizontal="right" vertical="center"/>
      <protection locked="0"/>
    </xf>
    <xf numFmtId="0" fontId="21" fillId="4" borderId="10" xfId="0" applyFont="1" applyFill="1" applyBorder="1">
      <alignment horizontal="right" vertical="center"/>
      <protection locked="0"/>
    </xf>
    <xf numFmtId="0" fontId="21" fillId="0" borderId="10" xfId="0" applyFont="1" applyBorder="1">
      <alignment horizontal="right" vertical="center"/>
      <protection locked="0"/>
    </xf>
    <xf numFmtId="0" fontId="21" fillId="0" borderId="10" xfId="0" applyFont="1" applyBorder="1">
      <alignment horizontal="center" vertical="center"/>
      <protection locked="0"/>
    </xf>
    <xf numFmtId="0" fontId="21" fillId="0" borderId="10" xfId="0" applyFont="1" applyBorder="1">
      <alignment horizontal="center" vertical="center"/>
      <protection locked="0"/>
    </xf>
    <xf numFmtId="0" fontId="22" fillId="4" borderId="10" xfId="0" applyFont="1" applyFill="1" applyBorder="1">
      <alignment horizontal="right" vertical="center"/>
      <protection locked="0"/>
    </xf>
    <xf numFmtId="49" fontId="21" fillId="0" borderId="10" xfId="0" applyFont="1" applyBorder="1" applyNumberFormat="1">
      <alignment horizontal="right" vertical="center"/>
      <protection locked="0"/>
    </xf>
    <xf numFmtId="0" fontId="21" fillId="0" borderId="11" xfId="0" applyFont="1" applyBorder="1">
      <alignment horizontal="right" vertical="center"/>
      <protection locked="0"/>
    </xf>
    <xf numFmtId="0" fontId="22" fillId="0" borderId="12" xfId="0" applyFont="1" applyBorder="1"/>
    <xf numFmtId="0" fontId="21" fillId="0" borderId="12" xfId="0" applyFont="1" applyBorder="1">
      <alignment horizontal="right" vertical="center"/>
      <protection locked="0"/>
    </xf>
    <xf numFmtId="0" fontId="21" fillId="4" borderId="12" xfId="0" applyFont="1" applyFill="1" applyBorder="1">
      <alignment horizontal="right" vertical="center"/>
      <protection locked="0"/>
    </xf>
    <xf numFmtId="171" fontId="21" fillId="4" borderId="12" xfId="0" applyFont="1" applyFill="1" applyBorder="1" applyNumberFormat="1">
      <alignment vertical="center"/>
      <protection locked="0"/>
    </xf>
    <xf numFmtId="0" fontId="21" fillId="0" borderId="10" xfId="0" applyFont="1" applyBorder="1">
      <alignment horizontal="right" vertical="center" shrinkToFit="1"/>
      <protection locked="0"/>
    </xf>
    <xf numFmtId="0" fontId="21" fillId="4" borderId="10" xfId="0" applyFont="1" applyFill="1" applyBorder="1">
      <alignment horizontal="right" vertical="center" shrinkToFit="1"/>
      <protection locked="0"/>
    </xf>
    <xf numFmtId="0" fontId="23" fillId="0" borderId="12" xfId="0" applyFont="1" applyBorder="1">
      <alignment horizontal="right" vertical="center" shrinkToFit="1"/>
    </xf>
    <xf numFmtId="0" fontId="19" fillId="0" borderId="0" xfId="0" applyFont="1">
      <alignment shrinkToFit="1"/>
    </xf>
    <xf numFmtId="0" fontId="21" fillId="0" borderId="10" xfId="0" applyFont="1" applyBorder="1">
      <alignment horizontal="right" vertical="center" shrinkToFit="1"/>
      <protection locked="0"/>
    </xf>
    <xf numFmtId="0" fontId="22" fillId="4" borderId="10" xfId="0" applyFont="1" applyFill="1" applyBorder="1">
      <alignment horizontal="right" vertical="center" shrinkToFit="1"/>
      <protection locked="0"/>
    </xf>
    <xf numFmtId="0" fontId="23" fillId="33" borderId="12" xfId="0" applyFont="1" applyFill="1" applyBorder="1">
      <alignment horizontal="right" vertical="center" shrinkToFit="1"/>
    </xf>
    <xf numFmtId="0" fontId="23" fillId="0" borderId="0" xfId="0" applyFont="1">
      <alignment horizontal="right" vertical="center" shrinkToFit="1"/>
    </xf>
    <xf numFmtId="0" fontId="19" fillId="0" borderId="0" xfId="0" applyFont="1"/>
    <xf numFmtId="0" fontId="21" fillId="4" borderId="0" xfId="0" applyFont="1" applyFill="1">
      <alignment horizontal="right" vertical="center" shrinkToFit="1"/>
      <protection locked="0"/>
    </xf>
    <xf numFmtId="0" fontId="23" fillId="0" borderId="12" xfId="0" applyFont="1" applyBorder="1">
      <alignment horizontal="right" vertical="center" shrinkToFit="1"/>
    </xf>
    <xf numFmtId="0" fontId="21" fillId="0" borderId="10" xfId="0" applyFont="1" applyBorder="1">
      <alignment horizontal="right" vertical="center"/>
      <protection locked="0"/>
    </xf>
    <xf numFmtId="0" fontId="23" fillId="33" borderId="12" xfId="0" applyFont="1" applyFill="1" applyBorder="1">
      <alignment horizontal="right" vertical="center" shrinkToFit="1"/>
    </xf>
    <xf numFmtId="0" fontId="21" fillId="0" borderId="10" xfId="0" applyFont="1" applyBorder="1">
      <alignment horizontal="right" vertical="center" shrinkToFit="1"/>
      <protection locked="0"/>
    </xf>
    <xf numFmtId="0" fontId="21" fillId="0" borderId="10" xfId="0" applyFont="1" applyBorder="1">
      <alignment horizontal="right" vertical="center"/>
      <protection locked="0"/>
    </xf>
    <xf numFmtId="0" fontId="19" fillId="0" borderId="0" xfId="0" applyFont="1"/>
    <xf numFmtId="0" fontId="21" fillId="4" borderId="10" xfId="0" applyFont="1" applyFill="1" applyBorder="1">
      <alignment horizontal="left" vertical="center"/>
      <protection locked="0"/>
    </xf>
    <xf numFmtId="172" fontId="0" fillId="0" borderId="0" xfId="0" applyFont="1" applyNumberFormat="1"/>
    <xf numFmtId="172" fontId="21" fillId="4" borderId="10" xfId="0" applyFont="1" applyFill="1" applyBorder="1" applyNumberFormat="1">
      <alignment horizontal="right" vertical="center" shrinkToFit="1"/>
      <protection locked="0"/>
    </xf>
    <xf numFmtId="0" fontId="19" fillId="0" borderId="0" xfId="0" applyFont="1">
      <alignment horizontal="right"/>
    </xf>
    <xf numFmtId="0" fontId="24" fillId="0" borderId="13" xfId="0" applyFont="1" applyBorder="1">
      <alignment horizontal="right" vertical="center"/>
      <protection locked="0"/>
    </xf>
    <xf numFmtId="0" fontId="24" fillId="34" borderId="13" xfId="0" applyFont="1" applyFill="1" applyBorder="1">
      <alignment horizontal="right" vertical="center"/>
      <protection locked="0"/>
    </xf>
    <xf numFmtId="0" fontId="21" fillId="0" borderId="14" xfId="0" applyFont="1" applyBorder="1">
      <alignment horizontal="center" vertical="center" wrapText="1"/>
      <protection locked="0"/>
    </xf>
    <xf numFmtId="0" fontId="21" fillId="0" borderId="14" xfId="0" applyFont="1" applyBorder="1">
      <alignment horizontal="right" vertical="center"/>
      <protection locked="0"/>
    </xf>
    <xf numFmtId="0" fontId="21" fillId="4" borderId="14" xfId="0" applyFont="1" applyFill="1" applyBorder="1">
      <alignment horizontal="right" vertical="center"/>
      <protection locked="0"/>
    </xf>
    <xf numFmtId="0" fontId="22" fillId="4" borderId="14" xfId="0" applyFont="1" applyFill="1" applyBorder="1">
      <alignment horizontal="right" vertical="center"/>
      <protection locked="0"/>
    </xf>
    <xf numFmtId="0" fontId="21" fillId="0" borderId="15" xfId="0" applyFont="1" applyBorder="1">
      <alignment horizontal="center" vertical="center" wrapText="1"/>
      <protection locked="0"/>
    </xf>
    <xf numFmtId="0" fontId="21" fillId="0" borderId="15" xfId="0" applyFont="1" applyBorder="1">
      <alignment horizontal="right" vertical="center"/>
      <protection locked="0"/>
    </xf>
    <xf numFmtId="0" fontId="21" fillId="4" borderId="15" xfId="0" applyFont="1" applyFill="1" applyBorder="1">
      <alignment horizontal="right" vertical="center"/>
      <protection locked="0"/>
    </xf>
    <xf numFmtId="0" fontId="22" fillId="4" borderId="15" xfId="0" applyFont="1" applyFill="1" applyBorder="1">
      <alignment horizontal="right" vertical="center"/>
      <protection locked="0"/>
    </xf>
    <xf numFmtId="0" fontId="24" fillId="0" borderId="12" xfId="0" applyFont="1" applyBorder="1">
      <alignment horizontal="center" vertical="center" wrapText="1"/>
      <protection locked="0"/>
    </xf>
    <xf numFmtId="0" fontId="21" fillId="0" borderId="12" xfId="0" applyFont="1" applyBorder="1">
      <alignment horizontal="right" vertical="center"/>
      <protection locked="0"/>
    </xf>
    <xf numFmtId="0" fontId="21" fillId="4" borderId="12" xfId="0" applyFont="1" applyFill="1" applyBorder="1">
      <alignment horizontal="right" vertical="center"/>
      <protection locked="0"/>
    </xf>
    <xf numFmtId="0" fontId="22" fillId="4" borderId="12" xfId="0" applyFont="1" applyFill="1" applyBorder="1">
      <alignment horizontal="right" vertical="center"/>
      <protection locked="0"/>
    </xf>
    <xf numFmtId="0" fontId="19" fillId="0" borderId="0" xfId="0" applyFont="1"/>
    <xf numFmtId="172" fontId="21" fillId="4" borderId="10" xfId="0" applyFont="1" applyFill="1" applyBorder="1" applyNumberFormat="1">
      <alignment horizontal="right" vertical="center" shrinkToFit="1"/>
      <protection locked="0"/>
    </xf>
    <xf numFmtId="0" fontId="23" fillId="0" borderId="12" xfId="0" applyFont="1" applyBorder="1">
      <alignment horizontal="right" vertical="center" shrinkToFit="1"/>
    </xf>
    <xf numFmtId="0" fontId="21" fillId="35" borderId="10" xfId="0" applyFont="1" applyFill="1" applyBorder="1">
      <alignment horizontal="right" vertical="center"/>
      <protection locked="0"/>
    </xf>
    <xf numFmtId="0" fontId="21" fillId="35" borderId="10" xfId="0" applyFont="1" applyFill="1" applyBorder="1">
      <alignment horizontal="right" vertical="center"/>
      <protection locked="0"/>
    </xf>
    <xf numFmtId="0" fontId="19" fillId="0" borderId="0" xfId="0" applyFont="1"/>
    <xf numFmtId="0" fontId="23" fillId="0" borderId="12" xfId="0" applyFont="1" applyBorder="1">
      <alignment horizontal="right" vertical="center" shrinkToFit="1"/>
    </xf>
    <xf numFmtId="0" fontId="21" fillId="0" borderId="14" xfId="0" applyFont="1" applyBorder="1">
      <alignment horizontal="right" vertical="center"/>
      <protection locked="0"/>
    </xf>
    <xf numFmtId="0" fontId="21" fillId="4" borderId="14" xfId="0" applyFont="1" applyFill="1" applyBorder="1">
      <alignment horizontal="right" vertical="center"/>
      <protection locked="0"/>
    </xf>
    <xf numFmtId="0" fontId="19" fillId="0" borderId="0" xfId="0" applyFont="1"/>
    <xf numFmtId="0" fontId="21" fillId="0" borderId="12" xfId="0" applyFont="1" applyBorder="1">
      <alignment horizontal="right" vertical="center"/>
      <protection locked="0"/>
    </xf>
    <xf numFmtId="0" fontId="21" fillId="4" borderId="10" xfId="0" applyFont="1" applyFill="1" applyBorder="1">
      <alignment horizontal="right" vertical="center"/>
      <protection locked="0"/>
    </xf>
    <xf numFmtId="0" fontId="21" fillId="35" borderId="10" xfId="0" applyFont="1" applyFill="1" applyBorder="1">
      <alignment horizontal="right" vertical="center"/>
      <protection locked="0"/>
    </xf>
    <xf numFmtId="0" fontId="21" fillId="4" borderId="15" xfId="0" applyFont="1" applyFill="1" applyBorder="1">
      <alignment horizontal="right" vertical="center"/>
      <protection locked="0"/>
    </xf>
    <xf numFmtId="0" fontId="25" fillId="0" borderId="0" xfId="0" applyFont="1">
      <alignment horizontal="center" vertical="center"/>
      <protection locked="0"/>
    </xf>
    <xf numFmtId="0" fontId="21" fillId="0" borderId="10" xfId="0" applyFont="1" applyBorder="1">
      <alignment horizontal="center" vertical="center" wrapText="1"/>
      <protection locked="0"/>
    </xf>
    <xf numFmtId="0" fontId="26" fillId="0" borderId="0" xfId="0" applyFont="1">
      <alignment horizontal="right" vertical="center"/>
      <protection locked="0"/>
    </xf>
    <xf numFmtId="0" fontId="19" fillId="0" borderId="16" xfId="0" applyFont="1" applyBorder="1">
      <alignment horizontal="right"/>
    </xf>
    <xf numFmtId="0" fontId="19" fillId="4" borderId="16" xfId="0" applyFont="1" applyFill="1" applyBorder="1">
      <alignment horizontal="left"/>
    </xf>
    <xf numFmtId="0" fontId="21" fillId="0" borderId="10" xfId="0" applyFont="1" applyBorder="1">
      <alignment horizontal="right" vertical="center"/>
      <protection locked="0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5" fillId="0" borderId="0" xfId="0" applyFont="1">
      <alignment horizontal="center" vertical="center" wrapText="1"/>
      <protection locked="0"/>
    </xf>
    <xf numFmtId="0" fontId="21" fillId="0" borderId="10" xfId="0" applyFont="1" applyBorder="1">
      <alignment horizontal="center" vertical="center" wrapText="1"/>
      <protection locked="0"/>
    </xf>
    <xf numFmtId="0" fontId="21" fillId="0" borderId="10" xfId="0" applyFont="1" applyBorder="1">
      <alignment horizontal="center" vertical="center" wrapText="1"/>
      <protection locked="0"/>
    </xf>
    <xf numFmtId="0" fontId="21" fillId="0" borderId="14" xfId="0" applyFont="1" applyBorder="1">
      <alignment horizontal="center" vertical="center" wrapText="1"/>
      <protection locked="0"/>
    </xf>
    <xf numFmtId="0" fontId="24" fillId="0" borderId="12" xfId="0" applyFont="1" applyBorder="1">
      <alignment horizontal="center" vertical="center" wrapText="1"/>
      <protection locked="0"/>
    </xf>
    <xf numFmtId="0" fontId="21" fillId="0" borderId="15" xfId="0" applyFont="1" applyBorder="1">
      <alignment horizontal="center" vertical="center" wrapText="1"/>
      <protection locked="0"/>
    </xf>
    <xf numFmtId="0" fontId="24" fillId="0" borderId="13" xfId="0" applyFont="1" applyBorder="1">
      <alignment horizontal="right" vertical="center" wrapText="1"/>
      <protection locked="0"/>
    </xf>
    <xf numFmtId="0" fontId="21" fillId="0" borderId="10" xfId="0" applyFont="1" applyBorder="1">
      <alignment horizontal="center" vertical="center" wrapText="1"/>
      <protection locked="0"/>
    </xf>
    <xf numFmtId="0" fontId="21" fillId="0" borderId="10" xfId="0" applyFont="1" applyBorder="1">
      <alignment horizontal="right" vertical="center" wrapText="1"/>
      <protection locked="0"/>
    </xf>
    <xf numFmtId="0" fontId="21" fillId="0" borderId="14" xfId="0" applyFont="1" applyBorder="1">
      <alignment horizontal="right" vertical="center" wrapText="1"/>
      <protection locked="0"/>
    </xf>
    <xf numFmtId="0" fontId="21" fillId="0" borderId="14" xfId="0" applyFont="1" applyBorder="1">
      <alignment horizontal="right" vertical="center" wrapText="1"/>
      <protection locked="0"/>
    </xf>
    <xf numFmtId="0" fontId="21" fillId="0" borderId="15" xfId="0" applyFont="1" applyBorder="1">
      <alignment horizontal="right" vertical="center" wrapText="1"/>
      <protection locked="0"/>
    </xf>
    <xf numFmtId="0" fontId="21" fillId="4" borderId="10" xfId="0" applyFont="1" applyFill="1" applyBorder="1">
      <alignment horizontal="right" vertical="center" wrapText="1"/>
      <protection locked="0"/>
    </xf>
    <xf numFmtId="0" fontId="21" fillId="4" borderId="14" xfId="0" applyFont="1" applyFill="1" applyBorder="1">
      <alignment horizontal="right" vertical="center" wrapText="1"/>
      <protection locked="0"/>
    </xf>
    <xf numFmtId="0" fontId="21" fillId="4" borderId="14" xfId="0" applyFont="1" applyFill="1" applyBorder="1">
      <alignment horizontal="right" vertical="center" wrapText="1"/>
      <protection locked="0"/>
    </xf>
    <xf numFmtId="0" fontId="21" fillId="4" borderId="15" xfId="0" applyFont="1" applyFill="1" applyBorder="1">
      <alignment horizontal="right" vertical="center" wrapText="1"/>
      <protection locked="0"/>
    </xf>
    <xf numFmtId="0" fontId="21" fillId="0" borderId="10" xfId="0" applyFont="1" applyBorder="1">
      <alignment horizontal="right" vertical="center" wrapText="1"/>
      <protection locked="0"/>
    </xf>
    <xf numFmtId="0" fontId="21" fillId="0" borderId="12" xfId="0" applyFont="1" applyBorder="1">
      <alignment horizontal="right" vertical="center" wrapText="1"/>
      <protection locked="0"/>
    </xf>
    <xf numFmtId="0" fontId="21" fillId="4" borderId="10" xfId="0" applyFont="1" applyFill="1" applyBorder="1">
      <alignment horizontal="right" vertical="center" wrapText="1"/>
      <protection locked="0"/>
    </xf>
    <xf numFmtId="0" fontId="21" fillId="0" borderId="10" xfId="0" applyFont="1" applyBorder="1">
      <alignment horizontal="right" vertical="center" wrapText="1"/>
      <protection locked="0"/>
    </xf>
    <xf numFmtId="0" fontId="21" fillId="0" borderId="12" xfId="0" applyFont="1" applyBorder="1">
      <alignment horizontal="right" vertical="center" wrapText="1"/>
      <protection locked="0"/>
    </xf>
    <xf numFmtId="0" fontId="21" fillId="4" borderId="12" xfId="0" applyFont="1" applyFill="1" applyBorder="1">
      <alignment horizontal="right" vertical="center" wrapText="1"/>
      <protection locked="0"/>
    </xf>
    <xf numFmtId="0" fontId="21" fillId="4" borderId="15" xfId="0" applyFont="1" applyFill="1" applyBorder="1">
      <alignment horizontal="right" vertical="center" wrapText="1"/>
      <protection locked="0"/>
    </xf>
    <xf numFmtId="0" fontId="21" fillId="35" borderId="10" xfId="0" applyFont="1" applyFill="1" applyBorder="1">
      <alignment horizontal="right" vertical="center" wrapText="1"/>
      <protection locked="0"/>
    </xf>
    <xf numFmtId="0" fontId="21" fillId="35" borderId="10" xfId="0" applyFont="1" applyFill="1" applyBorder="1">
      <alignment horizontal="right" vertical="center" wrapText="1"/>
      <protection locked="0"/>
    </xf>
    <xf numFmtId="0" fontId="22" fillId="4" borderId="10" xfId="0" applyFont="1" applyFill="1" applyBorder="1">
      <alignment horizontal="right" vertical="center" wrapText="1"/>
      <protection locked="0"/>
    </xf>
    <xf numFmtId="0" fontId="22" fillId="4" borderId="14" xfId="0" applyFont="1" applyFill="1" applyBorder="1">
      <alignment horizontal="right" vertical="center" wrapText="1"/>
      <protection locked="0"/>
    </xf>
    <xf numFmtId="0" fontId="22" fillId="4" borderId="12" xfId="0" applyFont="1" applyFill="1" applyBorder="1">
      <alignment horizontal="right" vertical="center" wrapText="1"/>
      <protection locked="0"/>
    </xf>
    <xf numFmtId="0" fontId="22" fillId="4" borderId="15" xfId="0" applyFont="1" applyFill="1" applyBorder="1">
      <alignment horizontal="right" vertical="center" wrapText="1"/>
      <protection locked="0"/>
    </xf>
    <xf numFmtId="0" fontId="0" fillId="0" borderId="0" xfId="0" applyFont="1"/>
    <xf numFmtId="0" fontId="21" fillId="0" borderId="10" xfId="0" applyFont="1" applyBorder="1">
      <alignment horizontal="center" vertical="center" wrapText="1"/>
      <protection locked="0"/>
    </xf>
    <xf numFmtId="0" fontId="21" fillId="0" borderId="10" xfId="0" applyFont="1" applyBorder="1">
      <alignment horizontal="right" vertical="center" wrapText="1"/>
      <protection locked="0"/>
    </xf>
    <xf numFmtId="0" fontId="24" fillId="34" borderId="13" xfId="0" applyFont="1" applyFill="1" applyBorder="1">
      <alignment horizontal="right" vertical="center" wrapText="1"/>
      <protection locked="0"/>
    </xf>
    <xf numFmtId="0" fontId="19" fillId="0" borderId="0" xfId="0" applyFont="1">
      <alignment wrapText="1"/>
    </xf>
    <xf numFmtId="0" fontId="21" fillId="35" borderId="10" xfId="0" applyFont="1" applyFill="1" applyBorder="1">
      <alignment horizontal="right" vertical="center" wrapText="1"/>
      <protection locked="0"/>
    </xf>
    <xf numFmtId="0" fontId="21" fillId="0" borderId="10" xfId="0" applyFont="1" applyBorder="1">
      <alignment horizontal="right" vertical="center" wrapText="1"/>
      <protection locked="0"/>
    </xf>
    <xf numFmtId="0" fontId="19" fillId="0" borderId="16" xfId="0" applyFont="1" applyBorder="1">
      <alignment horizontal="right" wrapText="1"/>
    </xf>
    <xf numFmtId="0" fontId="21" fillId="4" borderId="10" xfId="0" applyFont="1" applyFill="1" applyBorder="1">
      <alignment horizontal="left" vertical="center" wrapText="1"/>
      <protection locked="0"/>
    </xf>
    <xf numFmtId="0" fontId="19" fillId="0" borderId="0" xfId="0" applyFont="1">
      <alignment horizontal="right" wrapText="1"/>
    </xf>
    <xf numFmtId="0" fontId="19" fillId="0" borderId="0" xfId="0" applyFont="1">
      <alignment horizontal="right" wrapText="1"/>
    </xf>
    <xf numFmtId="0" fontId="19" fillId="4" borderId="16" xfId="0" applyFont="1" applyFill="1" applyBorder="1">
      <alignment horizontal="left" wrapText="1"/>
      <protection locked="0"/>
    </xf>
    <xf numFmtId="0" fontId="19" fillId="4" borderId="16" xfId="0" applyFont="1" applyFill="1" applyBorder="1">
      <alignment horizontal="left" wrapText="1"/>
    </xf>
    <xf numFmtId="0" fontId="26" fillId="0" borderId="0" xfId="0" applyFont="1">
      <alignment horizontal="right" vertical="center" wrapText="1"/>
      <protection locked="0"/>
    </xf>
    <xf numFmtId="0" fontId="20" fillId="0" borderId="10" xfId="0" applyFont="1" applyBorder="1">
      <alignment horizontal="right" vertical="center" wrapText="1"/>
      <protection locked="0"/>
    </xf>
    <xf numFmtId="49" fontId="21" fillId="0" borderId="10" xfId="0" applyFont="1" applyBorder="1" applyNumberFormat="1">
      <alignment horizontal="right" vertical="center" wrapText="1"/>
      <protection locked="0"/>
    </xf>
    <xf numFmtId="0" fontId="21" fillId="4" borderId="12" xfId="0" applyFont="1" applyFill="1" applyBorder="1">
      <alignment horizontal="right" vertical="center" wrapText="1"/>
      <protection locked="0"/>
    </xf>
    <xf numFmtId="171" fontId="21" fillId="4" borderId="12" xfId="0" applyFont="1" applyFill="1" applyBorder="1" applyNumberFormat="1">
      <alignment vertical="center" wrapText="1"/>
      <protection locked="0"/>
    </xf>
    <xf numFmtId="0" fontId="21" fillId="0" borderId="11" xfId="0" applyFont="1" applyBorder="1">
      <alignment horizontal="right" vertical="center" wrapText="1"/>
      <protection locked="0"/>
    </xf>
    <xf numFmtId="0" fontId="22" fillId="0" borderId="12" xfId="0" applyFont="1" applyBorder="1">
      <alignment wrapText="1"/>
    </xf>
    <xf numFmtId="0" fontId="21" fillId="0" borderId="12" xfId="0" applyFont="1" applyBorder="1">
      <alignment horizontal="right" vertical="center" wrapText="1"/>
      <protection locked="0"/>
    </xf>
    <xf numFmtId="0" fontId="0" fillId="0" borderId="0" xfId="0" applyFont="1"/>
    <xf numFmtId="0" fontId="0" fillId="0" borderId="0" xfId="0" applyFont="1"/>
    <xf numFmtId="0" fontId="21" fillId="0" borderId="10" xfId="0" applyFont="1" applyBorder="1">
      <alignment horizontal="right" vertical="center" wrapText="1" shrinkToFit="1"/>
      <protection locked="0"/>
    </xf>
    <xf numFmtId="0" fontId="21" fillId="4" borderId="10" xfId="0" applyFont="1" applyFill="1" applyBorder="1">
      <alignment horizontal="right" vertical="center" wrapText="1" shrinkToFit="1"/>
      <protection locked="0"/>
    </xf>
    <xf numFmtId="0" fontId="21" fillId="4" borderId="0" xfId="0" applyFont="1" applyFill="1">
      <alignment horizontal="right" vertical="center" wrapText="1" shrinkToFit="1"/>
      <protection locked="0"/>
    </xf>
    <xf numFmtId="0" fontId="19" fillId="0" borderId="0" xfId="0" applyFont="1">
      <alignment wrapText="1"/>
    </xf>
    <xf numFmtId="172" fontId="21" fillId="4" borderId="10" xfId="0" applyFont="1" applyFill="1" applyBorder="1" applyNumberFormat="1">
      <alignment horizontal="right" vertical="center" wrapText="1" shrinkToFit="1"/>
    </xf>
    <xf numFmtId="172" fontId="21" fillId="4" borderId="10" xfId="0" applyFont="1" applyFill="1" applyBorder="1" applyNumberFormat="1">
      <alignment horizontal="right" vertical="center" wrapText="1" shrinkToFit="1"/>
      <protection locked="0"/>
    </xf>
    <xf numFmtId="0" fontId="21" fillId="0" borderId="10" xfId="0" applyFont="1" applyBorder="1">
      <alignment horizontal="right" vertical="center" wrapText="1" shrinkToFit="1"/>
      <protection locked="0"/>
    </xf>
    <xf numFmtId="0" fontId="23" fillId="0" borderId="12" xfId="0" applyFont="1" applyBorder="1">
      <alignment horizontal="right" vertical="center" wrapText="1" shrinkToFit="1"/>
    </xf>
    <xf numFmtId="0" fontId="23" fillId="0" borderId="12" xfId="0" applyFont="1" applyBorder="1">
      <alignment horizontal="right" vertical="center" wrapText="1" shrinkToFit="1"/>
    </xf>
    <xf numFmtId="0" fontId="0" fillId="0" borderId="0" xfId="0" applyFont="1">
      <alignment wrapText="1"/>
    </xf>
    <xf numFmtId="0" fontId="23" fillId="0" borderId="12" xfId="0" applyFont="1" applyBorder="1">
      <alignment horizontal="right" vertical="center" wrapText="1" shrinkToFit="1"/>
    </xf>
    <xf numFmtId="0" fontId="23" fillId="0" borderId="0" xfId="0" applyFont="1">
      <alignment horizontal="right" vertical="center" wrapText="1" shrinkToFit="1"/>
    </xf>
    <xf numFmtId="0" fontId="23" fillId="0" borderId="12" xfId="0" applyFont="1" applyBorder="1">
      <alignment horizontal="right" vertical="center" wrapText="1" shrinkToFit="1"/>
    </xf>
    <xf numFmtId="0" fontId="21" fillId="0" borderId="10" xfId="0" applyFont="1" applyBorder="1">
      <alignment horizontal="right" vertical="center" wrapText="1" shrinkToFit="1"/>
    </xf>
    <xf numFmtId="0" fontId="19" fillId="0" borderId="0" xfId="0" applyFont="1">
      <alignment wrapText="1"/>
    </xf>
    <xf numFmtId="0" fontId="19" fillId="0" borderId="0" xfId="0" applyFont="1">
      <alignment wrapText="1"/>
    </xf>
    <xf numFmtId="0" fontId="19" fillId="0" borderId="0" xfId="0" applyFont="1">
      <alignment wrapText="1"/>
    </xf>
    <xf numFmtId="172" fontId="0" fillId="0" borderId="0" xfId="0" applyFont="1" applyNumberFormat="1">
      <alignment wrapText="1"/>
    </xf>
    <xf numFmtId="0" fontId="19" fillId="0" borderId="0" xfId="0" applyFont="1">
      <alignment wrapText="1" shrinkToFit="1"/>
    </xf>
    <xf numFmtId="0" fontId="22" fillId="4" borderId="10" xfId="0" applyFont="1" applyFill="1" applyBorder="1">
      <alignment horizontal="right" vertical="center" wrapText="1" shrinkToFit="1"/>
      <protection locked="0"/>
    </xf>
    <xf numFmtId="0" fontId="23" fillId="33" borderId="12" xfId="0" applyFont="1" applyFill="1" applyBorder="1">
      <alignment horizontal="right" vertical="center" wrapText="1" shrinkToFit="1"/>
    </xf>
    <xf numFmtId="0" fontId="23" fillId="33" borderId="12" xfId="0" applyFont="1" applyFill="1" applyBorder="1">
      <alignment horizontal="right" vertical="center" wrapText="1" shrinkToFi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DengXi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A4CB38-0DF8-3BC3-E63B-74A0B14E198E}" mc:Ignorable="x14ac xr xr2 xr3">
  <dimension ref="A1:Y84"/>
  <sheetViews>
    <sheetView showGridLines="0" workbookViewId="0" tabSelected="1">
      <pane xSplit="3" ySplit="5" topLeftCell="D6" activePane="bottomRight" state="frozen"/>
      <selection pane="bottomLeft" activeCell="A6" sqref="A6"/>
      <selection pane="topRight" activeCell="D1" sqref="D1"/>
      <selection pane="bottomRight" activeCell="A1" sqref="A1"/>
    </sheetView>
  </sheetViews>
  <sheetFormatPr defaultColWidth="8.875" customHeight="1" defaultRowHeight="15"/>
  <cols>
    <col min="1" max="1" width="3.375" customWidth="1"/>
    <col min="2" max="2" width="11.875" customWidth="1"/>
    <col min="3" max="3" width="26.125" customWidth="1"/>
    <col min="4" max="4" width="25.125" customWidth="1"/>
    <col min="5" max="5" width="17.375" customWidth="1"/>
    <col min="6" max="9" width="14.50390625" customWidth="1"/>
    <col min="10" max="10" style="168" width="14.50390625" customWidth="1"/>
    <col min="11" max="11" style="169" width="14.50390625" customWidth="1"/>
    <col min="12" max="23" width="14.50390625" customWidth="1"/>
  </cols>
  <sheetData>
    <row customHeight="1" ht="2.25">
      <c r="A1" s="116"/>
      <c r="B1" s="116"/>
      <c r="C1" s="116"/>
      <c r="D1" s="116"/>
      <c r="E1" s="116"/>
      <c r="F1" s="116"/>
      <c r="G1" s="116"/>
      <c r="H1" s="116"/>
      <c r="I1" s="116"/>
      <c r="J1" s="117"/>
      <c r="K1" s="117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</row>
    <row customHeight="1" ht="22.5">
      <c r="A2" s="116"/>
      <c r="B2" s="118" t="s">
        <v>0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6"/>
      <c r="Y2" s="116"/>
    </row>
    <row customHeight="1" ht="28.5">
      <c r="A3" s="116"/>
      <c r="B3" s="111" t="s">
        <v>1</v>
      </c>
      <c r="C3" s="111" t="s">
        <v>2</v>
      </c>
      <c r="D3" s="49" t="s">
        <v>3</v>
      </c>
      <c r="E3" s="49" t="s">
        <v>4</v>
      </c>
      <c r="F3" s="49" t="s">
        <v>5</v>
      </c>
      <c r="G3" s="49" t="s">
        <v>6</v>
      </c>
      <c r="H3" s="49" t="s">
        <v>7</v>
      </c>
      <c r="I3" s="84" t="s">
        <v>8</v>
      </c>
      <c r="J3" s="92" t="s">
        <v>9</v>
      </c>
      <c r="K3" s="92" t="s">
        <v>10</v>
      </c>
      <c r="L3" s="88" t="s">
        <v>11</v>
      </c>
      <c r="M3" s="49" t="s">
        <v>12</v>
      </c>
      <c r="N3" s="49" t="s">
        <v>13</v>
      </c>
      <c r="O3" s="49" t="s">
        <v>14</v>
      </c>
      <c r="P3" s="49" t="s">
        <v>15</v>
      </c>
      <c r="Q3" s="49" t="s">
        <v>16</v>
      </c>
      <c r="R3" s="49" t="s">
        <v>17</v>
      </c>
      <c r="S3" s="49" t="s">
        <v>18</v>
      </c>
      <c r="T3" s="49" t="s">
        <v>19</v>
      </c>
      <c r="U3" s="49" t="s">
        <v>20</v>
      </c>
      <c r="V3" s="49" t="s">
        <v>21</v>
      </c>
      <c r="W3" s="49" t="s">
        <v>22</v>
      </c>
      <c r="X3" s="116"/>
      <c r="Y3" s="116"/>
    </row>
    <row customHeight="1" ht="16.5">
      <c r="A4" s="116"/>
      <c r="B4" s="111"/>
      <c r="C4" s="111"/>
      <c r="D4" s="49" t="s">
        <v>23</v>
      </c>
      <c r="E4" s="49" t="s">
        <v>23</v>
      </c>
      <c r="F4" s="49" t="s">
        <v>23</v>
      </c>
      <c r="G4" s="49" t="s">
        <v>23</v>
      </c>
      <c r="H4" s="49" t="s">
        <v>23</v>
      </c>
      <c r="I4" s="84" t="s">
        <v>23</v>
      </c>
      <c r="J4" s="92" t="s">
        <v>23</v>
      </c>
      <c r="K4" s="92" t="s">
        <v>23</v>
      </c>
      <c r="L4" s="88" t="s">
        <v>24</v>
      </c>
      <c r="M4" s="49" t="s">
        <v>23</v>
      </c>
      <c r="N4" s="49" t="s">
        <v>23</v>
      </c>
      <c r="O4" s="49" t="s">
        <v>23</v>
      </c>
      <c r="P4" s="49" t="s">
        <v>23</v>
      </c>
      <c r="Q4" s="49" t="s">
        <v>23</v>
      </c>
      <c r="R4" s="49" t="s">
        <v>23</v>
      </c>
      <c r="S4" s="49" t="s">
        <v>23</v>
      </c>
      <c r="T4" s="49" t="s">
        <v>25</v>
      </c>
      <c r="U4" s="49" t="s">
        <v>23</v>
      </c>
      <c r="V4" s="49" t="s">
        <v>26</v>
      </c>
      <c r="W4" s="49" t="s">
        <v>23</v>
      </c>
      <c r="X4" s="116"/>
      <c r="Y4" s="116"/>
    </row>
    <row customHeight="1" ht="16.5">
      <c r="A5" s="116"/>
      <c r="B5" s="111"/>
      <c r="C5" s="111"/>
      <c r="D5" s="49" t="s">
        <v>27</v>
      </c>
      <c r="E5" s="49" t="s">
        <v>28</v>
      </c>
      <c r="F5" s="49" t="s">
        <v>29</v>
      </c>
      <c r="G5" s="49" t="s">
        <v>30</v>
      </c>
      <c r="H5" s="49" t="s">
        <v>31</v>
      </c>
      <c r="I5" s="84" t="s">
        <v>32</v>
      </c>
      <c r="J5" s="92" t="s">
        <v>33</v>
      </c>
      <c r="K5" s="92" t="s">
        <v>34</v>
      </c>
      <c r="L5" s="88" t="s">
        <v>35</v>
      </c>
      <c r="M5" s="49" t="s">
        <v>36</v>
      </c>
      <c r="N5" s="49" t="s">
        <v>37</v>
      </c>
      <c r="O5" s="49" t="s">
        <v>38</v>
      </c>
      <c r="P5" s="49" t="s">
        <v>39</v>
      </c>
      <c r="Q5" s="49" t="s">
        <v>40</v>
      </c>
      <c r="R5" s="49" t="s">
        <v>41</v>
      </c>
      <c r="S5" s="49" t="s">
        <v>42</v>
      </c>
      <c r="T5" s="49" t="s">
        <v>43</v>
      </c>
      <c r="U5" s="49" t="s">
        <v>44</v>
      </c>
      <c r="V5" s="49" t="s">
        <v>45</v>
      </c>
      <c r="W5" s="49">
        <v>0</v>
      </c>
      <c r="X5" s="116"/>
      <c r="Y5" s="116"/>
    </row>
    <row customHeight="1" ht="15">
      <c r="A6" s="124"/>
      <c r="B6" s="125" t="s">
        <v>46</v>
      </c>
      <c r="C6" s="126" t="s">
        <v>47</v>
      </c>
      <c r="D6" s="126">
        <v>292791</v>
      </c>
      <c r="E6" s="126">
        <v>14069682</v>
      </c>
      <c r="F6" s="126">
        <v>0</v>
      </c>
      <c r="G6" s="126">
        <v>306811</v>
      </c>
      <c r="H6" s="126">
        <v>28393</v>
      </c>
      <c r="I6" s="127">
        <v>0</v>
      </c>
      <c r="J6" s="128">
        <v>-43703</v>
      </c>
      <c r="K6" s="128">
        <v>-21336</v>
      </c>
      <c r="L6" s="129">
        <v>23717888</v>
      </c>
      <c r="M6" s="126">
        <v>28005</v>
      </c>
      <c r="N6" s="126">
        <v>2987</v>
      </c>
      <c r="O6" s="126">
        <v>0</v>
      </c>
      <c r="P6" s="126">
        <v>9634</v>
      </c>
      <c r="Q6" s="126">
        <v>0</v>
      </c>
      <c r="R6" s="126">
        <v>0</v>
      </c>
      <c r="S6" s="126">
        <v>0</v>
      </c>
      <c r="T6" s="126">
        <v>0</v>
      </c>
      <c r="U6" s="126">
        <v>10911</v>
      </c>
      <c r="V6" s="126"/>
      <c r="W6" s="126"/>
      <c r="X6" s="116"/>
      <c r="Y6" s="116"/>
    </row>
    <row customHeight="1" ht="15">
      <c r="A7" s="124"/>
      <c r="B7" s="125" t="s">
        <v>48</v>
      </c>
      <c r="C7" s="126" t="s">
        <v>49</v>
      </c>
      <c r="D7" s="130">
        <v>162</v>
      </c>
      <c r="E7" s="130"/>
      <c r="F7" s="130"/>
      <c r="G7" s="130"/>
      <c r="H7" s="130"/>
      <c r="I7" s="131"/>
      <c r="J7" s="132"/>
      <c r="K7" s="132"/>
      <c r="L7" s="133">
        <v>23717888</v>
      </c>
      <c r="M7" s="130"/>
      <c r="N7" s="130">
        <v>11</v>
      </c>
      <c r="O7" s="130"/>
      <c r="P7" s="130">
        <v>1027</v>
      </c>
      <c r="Q7" s="130"/>
      <c r="R7" s="130"/>
      <c r="S7" s="130"/>
      <c r="T7" s="130"/>
      <c r="U7" s="130"/>
      <c r="V7" s="130"/>
      <c r="W7" s="130"/>
      <c r="X7" s="116"/>
      <c r="Y7" s="116"/>
    </row>
    <row customHeight="1" ht="15">
      <c r="A8" s="124"/>
      <c r="B8" s="125" t="s">
        <v>50</v>
      </c>
      <c r="C8" s="134" t="s">
        <v>51</v>
      </c>
      <c r="D8" s="130">
        <v>292629</v>
      </c>
      <c r="E8" s="130">
        <v>14069682</v>
      </c>
      <c r="F8" s="130"/>
      <c r="G8" s="130">
        <v>241772</v>
      </c>
      <c r="H8" s="130">
        <v>28393</v>
      </c>
      <c r="I8" s="131"/>
      <c r="J8" s="132"/>
      <c r="K8" s="132"/>
      <c r="L8" s="133"/>
      <c r="M8" s="130">
        <v>29786</v>
      </c>
      <c r="N8" s="130">
        <v>1195</v>
      </c>
      <c r="O8" s="130"/>
      <c r="P8" s="130">
        <v>8607</v>
      </c>
      <c r="Q8" s="130"/>
      <c r="R8" s="130"/>
      <c r="S8" s="130"/>
      <c r="T8" s="130"/>
      <c r="U8" s="130">
        <v>10911</v>
      </c>
      <c r="V8" s="130"/>
      <c r="W8" s="130"/>
      <c r="X8" s="116"/>
      <c r="Y8" s="116"/>
    </row>
    <row customHeight="1" ht="15">
      <c r="A9" s="124"/>
      <c r="B9" s="125" t="s">
        <v>52</v>
      </c>
      <c r="C9" s="126" t="s">
        <v>53</v>
      </c>
      <c r="D9" s="126"/>
      <c r="E9" s="126"/>
      <c r="F9" s="126"/>
      <c r="G9" s="126"/>
      <c r="H9" s="126"/>
      <c r="I9" s="127"/>
      <c r="J9" s="135"/>
      <c r="K9" s="135"/>
      <c r="L9" s="129"/>
      <c r="M9" s="130">
        <v>29786</v>
      </c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16"/>
      <c r="Y9" s="116"/>
    </row>
    <row customHeight="1" ht="15">
      <c r="A10" s="124"/>
      <c r="B10" s="125" t="s">
        <v>54</v>
      </c>
      <c r="C10" s="126" t="s">
        <v>55</v>
      </c>
      <c r="D10" s="126"/>
      <c r="E10" s="126"/>
      <c r="F10" s="126"/>
      <c r="G10" s="126"/>
      <c r="H10" s="126"/>
      <c r="I10" s="127"/>
      <c r="J10" s="135"/>
      <c r="K10" s="135"/>
      <c r="L10" s="129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16"/>
      <c r="Y10" s="116"/>
    </row>
    <row customHeight="1" ht="15">
      <c r="A11" s="124"/>
      <c r="B11" s="125" t="s">
        <v>56</v>
      </c>
      <c r="C11" s="126" t="s">
        <v>57</v>
      </c>
      <c r="D11" s="126"/>
      <c r="E11" s="126"/>
      <c r="F11" s="126"/>
      <c r="G11" s="126"/>
      <c r="H11" s="126"/>
      <c r="I11" s="127"/>
      <c r="J11" s="135"/>
      <c r="K11" s="135"/>
      <c r="L11" s="129"/>
      <c r="M11" s="130">
        <v>-1781</v>
      </c>
      <c r="N11" s="130">
        <v>1781</v>
      </c>
      <c r="O11" s="126"/>
      <c r="P11" s="126"/>
      <c r="Q11" s="126"/>
      <c r="R11" s="126"/>
      <c r="S11" s="126"/>
      <c r="T11" s="126"/>
      <c r="U11" s="126"/>
      <c r="V11" s="126"/>
      <c r="W11" s="126"/>
      <c r="X11" s="116"/>
      <c r="Y11" s="116"/>
    </row>
    <row customHeight="1" ht="15">
      <c r="A12" s="124"/>
      <c r="B12" s="125" t="s">
        <v>58</v>
      </c>
      <c r="C12" s="126" t="s">
        <v>59</v>
      </c>
      <c r="D12" s="126"/>
      <c r="E12" s="126"/>
      <c r="F12" s="126"/>
      <c r="G12" s="126"/>
      <c r="H12" s="126"/>
      <c r="I12" s="127"/>
      <c r="J12" s="135"/>
      <c r="K12" s="135"/>
      <c r="L12" s="129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16"/>
      <c r="Y12" s="116"/>
    </row>
    <row customHeight="1" ht="15">
      <c r="A13" s="124"/>
      <c r="B13" s="125" t="s">
        <v>60</v>
      </c>
      <c r="C13" s="126" t="s">
        <v>61</v>
      </c>
      <c r="D13" s="126"/>
      <c r="E13" s="126"/>
      <c r="F13" s="126"/>
      <c r="G13" s="136">
        <v>65039</v>
      </c>
      <c r="H13" s="126"/>
      <c r="I13" s="127"/>
      <c r="J13" s="136">
        <v>-43703</v>
      </c>
      <c r="K13" s="136">
        <v>-21336</v>
      </c>
      <c r="L13" s="129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16"/>
      <c r="Y13" s="116"/>
    </row>
    <row customHeight="1" ht="15">
      <c r="A14" s="124"/>
      <c r="B14" s="125" t="s">
        <v>62</v>
      </c>
      <c r="C14" s="126" t="s">
        <v>63</v>
      </c>
      <c r="D14" s="137">
        <v>40257</v>
      </c>
      <c r="E14" s="137">
        <v>140358</v>
      </c>
      <c r="F14" s="137"/>
      <c r="G14" s="137"/>
      <c r="H14" s="137"/>
      <c r="I14" s="127"/>
      <c r="J14" s="128"/>
      <c r="K14" s="128"/>
      <c r="L14" s="129">
        <v>986261</v>
      </c>
      <c r="M14" s="137"/>
      <c r="N14" s="137">
        <v>6989</v>
      </c>
      <c r="O14" s="137"/>
      <c r="P14" s="137"/>
      <c r="Q14" s="137"/>
      <c r="R14" s="137"/>
      <c r="S14" s="137"/>
      <c r="T14" s="137"/>
      <c r="U14" s="137"/>
      <c r="V14" s="137"/>
      <c r="W14" s="137"/>
      <c r="X14" s="116"/>
      <c r="Y14" s="116"/>
    </row>
    <row customHeight="1" ht="15">
      <c r="A15" s="124"/>
      <c r="B15" s="125" t="s">
        <v>64</v>
      </c>
      <c r="C15" s="126" t="s">
        <v>65</v>
      </c>
      <c r="D15" s="126"/>
      <c r="E15" s="126"/>
      <c r="F15" s="126"/>
      <c r="G15" s="126"/>
      <c r="H15" s="126"/>
      <c r="I15" s="127"/>
      <c r="J15" s="135"/>
      <c r="K15" s="138"/>
      <c r="L15" s="129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16"/>
      <c r="Y15" s="116"/>
    </row>
    <row customHeight="1" ht="15">
      <c r="A16" s="124"/>
      <c r="B16" s="125" t="s">
        <v>66</v>
      </c>
      <c r="C16" s="126" t="s">
        <v>67</v>
      </c>
      <c r="D16" s="126">
        <v>252534</v>
      </c>
      <c r="E16" s="126">
        <v>13929324</v>
      </c>
      <c r="F16" s="126">
        <v>0</v>
      </c>
      <c r="G16" s="126">
        <v>306811</v>
      </c>
      <c r="H16" s="126">
        <v>28393</v>
      </c>
      <c r="I16" s="127">
        <v>0</v>
      </c>
      <c r="J16" s="128">
        <v>-43703</v>
      </c>
      <c r="K16" s="128">
        <v>-21336</v>
      </c>
      <c r="L16" s="129">
        <v>22731627</v>
      </c>
      <c r="M16" s="126">
        <v>28005</v>
      </c>
      <c r="N16" s="126">
        <v>-4002</v>
      </c>
      <c r="O16" s="126">
        <v>0</v>
      </c>
      <c r="P16" s="126">
        <v>9634</v>
      </c>
      <c r="Q16" s="126">
        <v>0</v>
      </c>
      <c r="R16" s="126">
        <v>0</v>
      </c>
      <c r="S16" s="126">
        <v>0</v>
      </c>
      <c r="T16" s="126"/>
      <c r="U16" s="126">
        <v>10911</v>
      </c>
      <c r="V16" s="126"/>
      <c r="W16" s="126"/>
      <c r="X16" s="116"/>
      <c r="Y16" s="116"/>
    </row>
    <row customHeight="1" ht="15">
      <c r="A17" s="124"/>
      <c r="B17" s="125" t="s">
        <v>68</v>
      </c>
      <c r="C17" s="126" t="s">
        <v>69</v>
      </c>
      <c r="D17" s="126">
        <v>249303</v>
      </c>
      <c r="E17" s="126">
        <v>0</v>
      </c>
      <c r="F17" s="126">
        <v>0</v>
      </c>
      <c r="G17" s="126">
        <v>36482</v>
      </c>
      <c r="H17" s="126">
        <v>0</v>
      </c>
      <c r="I17" s="127">
        <v>0</v>
      </c>
      <c r="J17" s="128"/>
      <c r="K17" s="128"/>
      <c r="L17" s="129">
        <v>4290987</v>
      </c>
      <c r="M17" s="126">
        <v>0</v>
      </c>
      <c r="N17" s="126">
        <v>25454</v>
      </c>
      <c r="O17" s="126">
        <v>0</v>
      </c>
      <c r="P17" s="126">
        <v>2204</v>
      </c>
      <c r="Q17" s="126">
        <v>0</v>
      </c>
      <c r="R17" s="126">
        <v>0</v>
      </c>
      <c r="S17" s="126">
        <v>0</v>
      </c>
      <c r="T17" s="126">
        <v>0</v>
      </c>
      <c r="U17" s="126">
        <v>0</v>
      </c>
      <c r="V17" s="126"/>
      <c r="W17" s="126"/>
      <c r="X17" s="116"/>
      <c r="Y17" s="116"/>
    </row>
    <row customHeight="1" ht="15">
      <c r="A18" s="124"/>
      <c r="B18" s="125" t="s">
        <v>70</v>
      </c>
      <c r="C18" s="126" t="s">
        <v>71</v>
      </c>
      <c r="D18" s="130">
        <v>204848</v>
      </c>
      <c r="E18" s="130"/>
      <c r="F18" s="130"/>
      <c r="G18" s="130"/>
      <c r="H18" s="130"/>
      <c r="I18" s="131"/>
      <c r="J18" s="139"/>
      <c r="K18" s="139"/>
      <c r="L18" s="133">
        <v>438700</v>
      </c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>
        <v>292629</v>
      </c>
      <c r="X18" s="116"/>
      <c r="Y18" s="116"/>
    </row>
    <row customHeight="1" ht="15">
      <c r="A19" s="124"/>
      <c r="B19" s="125" t="s">
        <v>72</v>
      </c>
      <c r="C19" s="126" t="s">
        <v>73</v>
      </c>
      <c r="D19" s="130">
        <v>44455</v>
      </c>
      <c r="E19" s="130"/>
      <c r="F19" s="130"/>
      <c r="G19" s="130"/>
      <c r="H19" s="130"/>
      <c r="I19" s="131"/>
      <c r="J19" s="139"/>
      <c r="K19" s="139"/>
      <c r="L19" s="133">
        <v>2480297</v>
      </c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>
        <v>14069682</v>
      </c>
      <c r="X19" s="116"/>
      <c r="Y19" s="116"/>
    </row>
    <row customHeight="1" ht="15">
      <c r="A20" s="124"/>
      <c r="B20" s="125" t="s">
        <v>74</v>
      </c>
      <c r="C20" s="126" t="s">
        <v>75</v>
      </c>
      <c r="D20" s="126"/>
      <c r="E20" s="126"/>
      <c r="F20" s="126"/>
      <c r="G20" s="126"/>
      <c r="H20" s="126"/>
      <c r="I20" s="127"/>
      <c r="J20" s="135"/>
      <c r="K20" s="135"/>
      <c r="L20" s="140"/>
      <c r="M20" s="126"/>
      <c r="N20" s="126">
        <v>25454</v>
      </c>
      <c r="O20" s="126"/>
      <c r="P20" s="126"/>
      <c r="Q20" s="126"/>
      <c r="R20" s="126"/>
      <c r="S20" s="126"/>
      <c r="T20" s="126"/>
      <c r="U20" s="126"/>
      <c r="V20" s="126"/>
      <c r="W20" s="126">
        <v>3779856</v>
      </c>
      <c r="X20" s="116"/>
      <c r="Y20" s="116"/>
    </row>
    <row customHeight="1" ht="15">
      <c r="A21" s="124"/>
      <c r="B21" s="125" t="s">
        <v>76</v>
      </c>
      <c r="C21" s="126" t="s">
        <v>77</v>
      </c>
      <c r="D21" s="126"/>
      <c r="E21" s="126"/>
      <c r="F21" s="126"/>
      <c r="G21" s="130">
        <v>36482</v>
      </c>
      <c r="H21" s="126"/>
      <c r="I21" s="127"/>
      <c r="J21" s="135"/>
      <c r="K21" s="135"/>
      <c r="L21" s="140">
        <v>1371990</v>
      </c>
      <c r="M21" s="126"/>
      <c r="N21" s="126"/>
      <c r="O21" s="126"/>
      <c r="P21" s="130">
        <v>2204</v>
      </c>
      <c r="Q21" s="126"/>
      <c r="R21" s="126"/>
      <c r="S21" s="126"/>
      <c r="T21" s="126"/>
      <c r="U21" s="126"/>
      <c r="V21" s="126"/>
      <c r="W21" s="126">
        <v>29786</v>
      </c>
      <c r="X21" s="116"/>
      <c r="Y21" s="116"/>
    </row>
    <row customHeight="1" ht="15">
      <c r="A22" s="124"/>
      <c r="B22" s="125" t="s">
        <v>78</v>
      </c>
      <c r="C22" s="126" t="s">
        <v>79</v>
      </c>
      <c r="D22" s="137">
        <v>575</v>
      </c>
      <c r="E22" s="126">
        <v>6242852</v>
      </c>
      <c r="F22" s="126">
        <v>0</v>
      </c>
      <c r="G22" s="141">
        <v>213528</v>
      </c>
      <c r="H22" s="126">
        <v>28393</v>
      </c>
      <c r="I22" s="127">
        <v>0</v>
      </c>
      <c r="J22" s="128">
        <v>-43703</v>
      </c>
      <c r="K22" s="128">
        <v>-21336</v>
      </c>
      <c r="L22" s="129">
        <v>9607430</v>
      </c>
      <c r="M22" s="126">
        <v>28005</v>
      </c>
      <c r="N22" s="126">
        <v>-38903</v>
      </c>
      <c r="O22" s="126">
        <v>0</v>
      </c>
      <c r="P22" s="126">
        <v>7430</v>
      </c>
      <c r="Q22" s="126">
        <v>0</v>
      </c>
      <c r="R22" s="126">
        <v>0</v>
      </c>
      <c r="S22" s="126">
        <v>0</v>
      </c>
      <c r="T22" s="126">
        <v>0</v>
      </c>
      <c r="U22" s="126">
        <v>10911</v>
      </c>
      <c r="V22" s="126"/>
      <c r="W22" s="126"/>
      <c r="X22" s="116"/>
      <c r="Y22" s="116"/>
    </row>
    <row customHeight="1" ht="15">
      <c r="A23" s="124"/>
      <c r="B23" s="125" t="s">
        <v>80</v>
      </c>
      <c r="C23" s="126" t="s">
        <v>81</v>
      </c>
      <c r="D23" s="130">
        <v>233</v>
      </c>
      <c r="E23" s="130">
        <v>1257525</v>
      </c>
      <c r="F23" s="130"/>
      <c r="G23" s="130">
        <v>6780</v>
      </c>
      <c r="H23" s="130">
        <v>2831</v>
      </c>
      <c r="I23" s="131"/>
      <c r="J23" s="139"/>
      <c r="K23" s="139"/>
      <c r="L23" s="133">
        <v>2821008</v>
      </c>
      <c r="M23" s="130"/>
      <c r="N23" s="130">
        <v>8947</v>
      </c>
      <c r="O23" s="130"/>
      <c r="P23" s="130">
        <v>1858</v>
      </c>
      <c r="Q23" s="130"/>
      <c r="R23" s="130"/>
      <c r="S23" s="130"/>
      <c r="T23" s="130"/>
      <c r="U23" s="130"/>
      <c r="V23" s="130"/>
      <c r="W23" s="130">
        <v>379023</v>
      </c>
      <c r="X23" s="116"/>
      <c r="Y23" s="116"/>
    </row>
    <row customHeight="1" ht="15">
      <c r="A24" s="124"/>
      <c r="B24" s="125" t="s">
        <v>82</v>
      </c>
      <c r="C24" s="126" t="s">
        <v>83</v>
      </c>
      <c r="D24" s="130"/>
      <c r="E24" s="130">
        <v>79003</v>
      </c>
      <c r="F24" s="130"/>
      <c r="G24" s="130">
        <v>567</v>
      </c>
      <c r="H24" s="130"/>
      <c r="I24" s="131"/>
      <c r="J24" s="139"/>
      <c r="K24" s="139"/>
      <c r="L24" s="133"/>
      <c r="M24" s="130"/>
      <c r="N24" s="130">
        <v>573</v>
      </c>
      <c r="O24" s="130"/>
      <c r="P24" s="130"/>
      <c r="Q24" s="130"/>
      <c r="R24" s="130"/>
      <c r="S24" s="130"/>
      <c r="T24" s="130"/>
      <c r="U24" s="130"/>
      <c r="V24" s="130"/>
      <c r="W24" s="130">
        <v>29235</v>
      </c>
      <c r="X24" s="116"/>
      <c r="Y24" s="116"/>
    </row>
    <row customHeight="1" ht="15">
      <c r="A25" s="124"/>
      <c r="B25" s="125" t="s">
        <v>84</v>
      </c>
      <c r="C25" s="126" t="s">
        <v>85</v>
      </c>
      <c r="D25" s="142">
        <v>71</v>
      </c>
      <c r="E25" s="130">
        <v>272763</v>
      </c>
      <c r="F25" s="130"/>
      <c r="G25" s="130">
        <v>4841</v>
      </c>
      <c r="H25" s="130"/>
      <c r="I25" s="131"/>
      <c r="J25" s="139"/>
      <c r="K25" s="139"/>
      <c r="L25" s="133">
        <v>1478160</v>
      </c>
      <c r="M25" s="130"/>
      <c r="N25" s="130">
        <v>4129</v>
      </c>
      <c r="O25" s="130"/>
      <c r="P25" s="130">
        <v>628</v>
      </c>
      <c r="Q25" s="130"/>
      <c r="R25" s="130"/>
      <c r="S25" s="130"/>
      <c r="T25" s="130"/>
      <c r="U25" s="130"/>
      <c r="V25" s="130"/>
      <c r="W25" s="130">
        <v>122294</v>
      </c>
      <c r="X25" s="116"/>
      <c r="Y25" s="116"/>
    </row>
    <row customHeight="1" ht="15">
      <c r="A26" s="124"/>
      <c r="B26" s="125" t="s">
        <v>86</v>
      </c>
      <c r="C26" s="126" t="s">
        <v>87</v>
      </c>
      <c r="D26" s="130">
        <v>232</v>
      </c>
      <c r="E26" s="130">
        <v>2331811</v>
      </c>
      <c r="F26" s="130"/>
      <c r="G26" s="130">
        <v>183673</v>
      </c>
      <c r="H26" s="130">
        <v>28</v>
      </c>
      <c r="I26" s="131"/>
      <c r="J26" s="139"/>
      <c r="K26" s="139">
        <v>-1094</v>
      </c>
      <c r="L26" s="133">
        <v>-1510420</v>
      </c>
      <c r="M26" s="130">
        <v>-19072</v>
      </c>
      <c r="N26" s="130">
        <v>-68833</v>
      </c>
      <c r="O26" s="130"/>
      <c r="P26" s="130">
        <v>260</v>
      </c>
      <c r="Q26" s="130"/>
      <c r="R26" s="130"/>
      <c r="S26" s="130"/>
      <c r="T26" s="130"/>
      <c r="U26" s="130">
        <v>10911</v>
      </c>
      <c r="V26" s="130"/>
      <c r="W26" s="130">
        <v>129635</v>
      </c>
      <c r="X26" s="116"/>
      <c r="Y26" s="116"/>
    </row>
    <row customHeight="1" ht="15">
      <c r="A27" s="124"/>
      <c r="B27" s="125" t="s">
        <v>88</v>
      </c>
      <c r="C27" s="126" t="s">
        <v>89</v>
      </c>
      <c r="D27" s="130"/>
      <c r="E27" s="130">
        <v>360000</v>
      </c>
      <c r="F27" s="130"/>
      <c r="G27" s="130"/>
      <c r="H27" s="130"/>
      <c r="I27" s="131"/>
      <c r="J27" s="139"/>
      <c r="K27" s="139"/>
      <c r="L27" s="133">
        <v>48760</v>
      </c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16"/>
      <c r="Y27" s="116"/>
    </row>
    <row customHeight="1" ht="15">
      <c r="A28" s="124"/>
      <c r="B28" s="125" t="s">
        <v>90</v>
      </c>
      <c r="C28" s="126" t="s">
        <v>91</v>
      </c>
      <c r="D28" s="130"/>
      <c r="E28" s="143">
        <v>781886</v>
      </c>
      <c r="F28" s="143"/>
      <c r="G28" s="143">
        <v>10716</v>
      </c>
      <c r="H28" s="143">
        <v>17457</v>
      </c>
      <c r="I28" s="144"/>
      <c r="J28" s="145">
        <v>-36677</v>
      </c>
      <c r="K28" s="145">
        <v>-4170</v>
      </c>
      <c r="L28" s="146">
        <v>1622377</v>
      </c>
      <c r="M28" s="143">
        <v>25414</v>
      </c>
      <c r="N28" s="143">
        <v>1665</v>
      </c>
      <c r="O28" s="143"/>
      <c r="P28" s="143">
        <v>2849</v>
      </c>
      <c r="Q28" s="130"/>
      <c r="R28" s="130"/>
      <c r="S28" s="130"/>
      <c r="T28" s="130"/>
      <c r="U28" s="130"/>
      <c r="V28" s="130"/>
      <c r="W28" s="130">
        <v>78048</v>
      </c>
      <c r="X28" s="116"/>
      <c r="Y28" s="116"/>
    </row>
    <row s="147" customFormat="1" customHeight="1" ht="15">
      <c r="A29" s="124"/>
      <c r="B29" s="148" t="s">
        <v>92</v>
      </c>
      <c r="C29" s="149" t="s">
        <v>93</v>
      </c>
      <c r="D29" s="136"/>
      <c r="E29" s="143">
        <v>138037</v>
      </c>
      <c r="F29" s="143"/>
      <c r="G29" s="143">
        <v>954</v>
      </c>
      <c r="H29" s="143"/>
      <c r="I29" s="144"/>
      <c r="J29" s="145"/>
      <c r="K29" s="145">
        <v>-7609</v>
      </c>
      <c r="L29" s="146">
        <v>444186</v>
      </c>
      <c r="M29" s="143">
        <v>2011</v>
      </c>
      <c r="N29" s="143">
        <v>3482</v>
      </c>
      <c r="O29" s="143"/>
      <c r="P29" s="143">
        <v>544</v>
      </c>
      <c r="Q29" s="136"/>
      <c r="R29" s="136"/>
      <c r="S29" s="136"/>
      <c r="T29" s="136"/>
      <c r="U29" s="136"/>
      <c r="V29" s="136"/>
      <c r="W29" s="136">
        <v>62439</v>
      </c>
      <c r="X29" s="117"/>
      <c r="Y29" s="117"/>
    </row>
    <row s="105" customFormat="1" customHeight="1" ht="15">
      <c r="A30" s="150"/>
      <c r="B30" s="148" t="s">
        <v>94</v>
      </c>
      <c r="C30" s="137" t="s">
        <v>95</v>
      </c>
      <c r="D30" s="130">
        <v>17</v>
      </c>
      <c r="E30" s="143">
        <v>186078</v>
      </c>
      <c r="F30" s="143"/>
      <c r="G30" s="143">
        <v>31</v>
      </c>
      <c r="H30" s="143"/>
      <c r="I30" s="144"/>
      <c r="J30" s="145"/>
      <c r="K30" s="145"/>
      <c r="L30" s="146">
        <v>624445</v>
      </c>
      <c r="M30" s="143"/>
      <c r="N30" s="143">
        <v>12052</v>
      </c>
      <c r="O30" s="143"/>
      <c r="P30" s="143"/>
      <c r="Q30" s="130"/>
      <c r="R30" s="130"/>
      <c r="S30" s="130"/>
      <c r="T30" s="130"/>
      <c r="U30" s="130"/>
      <c r="V30" s="130"/>
      <c r="W30" s="130">
        <v>64392</v>
      </c>
      <c r="X30" s="151"/>
      <c r="Y30" s="151"/>
    </row>
    <row s="105" customFormat="1" customHeight="1" ht="15">
      <c r="A31" s="150"/>
      <c r="B31" s="148" t="s">
        <v>96</v>
      </c>
      <c r="C31" s="137" t="s">
        <v>97</v>
      </c>
      <c r="D31" s="152"/>
      <c r="E31" s="143"/>
      <c r="F31" s="143"/>
      <c r="G31" s="143"/>
      <c r="H31" s="143"/>
      <c r="I31" s="144"/>
      <c r="J31" s="145"/>
      <c r="K31" s="145"/>
      <c r="L31" s="146"/>
      <c r="M31" s="143"/>
      <c r="N31" s="143"/>
      <c r="O31" s="143"/>
      <c r="P31" s="143"/>
      <c r="Q31" s="130"/>
      <c r="R31" s="130"/>
      <c r="S31" s="130"/>
      <c r="T31" s="130"/>
      <c r="U31" s="130"/>
      <c r="V31" s="130"/>
      <c r="W31" s="130">
        <v>23456</v>
      </c>
      <c r="X31" s="151"/>
      <c r="Y31" s="151"/>
    </row>
    <row s="105" customFormat="1" customHeight="1" ht="15">
      <c r="A32" s="150"/>
      <c r="B32" s="148" t="s">
        <v>98</v>
      </c>
      <c r="C32" s="137" t="s">
        <v>99</v>
      </c>
      <c r="D32" s="152"/>
      <c r="E32" s="143"/>
      <c r="F32" s="143"/>
      <c r="G32" s="143"/>
      <c r="H32" s="143"/>
      <c r="I32" s="144"/>
      <c r="J32" s="145"/>
      <c r="K32" s="145"/>
      <c r="L32" s="146"/>
      <c r="M32" s="143"/>
      <c r="N32" s="143"/>
      <c r="O32" s="143"/>
      <c r="P32" s="143"/>
      <c r="Q32" s="130"/>
      <c r="R32" s="130"/>
      <c r="S32" s="130"/>
      <c r="T32" s="130"/>
      <c r="U32" s="130"/>
      <c r="V32" s="130"/>
      <c r="W32" s="130"/>
      <c r="X32" s="151"/>
      <c r="Y32" s="151"/>
    </row>
    <row s="105" customFormat="1" customHeight="1" ht="15">
      <c r="A33" s="150"/>
      <c r="B33" s="148" t="s">
        <v>100</v>
      </c>
      <c r="C33" s="137" t="s">
        <v>101</v>
      </c>
      <c r="D33" s="152"/>
      <c r="E33" s="143"/>
      <c r="F33" s="143"/>
      <c r="G33" s="143"/>
      <c r="H33" s="143"/>
      <c r="I33" s="144"/>
      <c r="J33" s="145"/>
      <c r="K33" s="145"/>
      <c r="L33" s="146"/>
      <c r="M33" s="143"/>
      <c r="N33" s="143"/>
      <c r="O33" s="143"/>
      <c r="P33" s="143"/>
      <c r="Q33" s="130"/>
      <c r="R33" s="130"/>
      <c r="S33" s="130"/>
      <c r="T33" s="130"/>
      <c r="U33" s="130"/>
      <c r="V33" s="130"/>
      <c r="W33" s="130">
        <v>13680</v>
      </c>
      <c r="X33" s="151"/>
      <c r="Y33" s="151"/>
    </row>
    <row s="105" customFormat="1" customHeight="1" ht="15">
      <c r="A34" s="150"/>
      <c r="B34" s="148" t="s">
        <v>102</v>
      </c>
      <c r="C34" s="137" t="s">
        <v>103</v>
      </c>
      <c r="D34" s="152"/>
      <c r="E34" s="143">
        <v>39329</v>
      </c>
      <c r="F34" s="143"/>
      <c r="G34" s="143">
        <v>286</v>
      </c>
      <c r="H34" s="143">
        <v>2116</v>
      </c>
      <c r="I34" s="144"/>
      <c r="J34" s="145"/>
      <c r="K34" s="145">
        <v>-8283</v>
      </c>
      <c r="L34" s="146">
        <v>132376</v>
      </c>
      <c r="M34" s="143">
        <v>7423</v>
      </c>
      <c r="N34" s="143">
        <v>-213</v>
      </c>
      <c r="O34" s="143"/>
      <c r="P34" s="143"/>
      <c r="Q34" s="130"/>
      <c r="R34" s="130"/>
      <c r="S34" s="130"/>
      <c r="T34" s="130"/>
      <c r="U34" s="130"/>
      <c r="V34" s="130"/>
      <c r="W34" s="130">
        <v>13557</v>
      </c>
      <c r="X34" s="151"/>
      <c r="Y34" s="151"/>
    </row>
    <row customHeight="1" ht="15">
      <c r="A35" s="124"/>
      <c r="B35" s="125" t="s">
        <v>104</v>
      </c>
      <c r="C35" s="126" t="s">
        <v>105</v>
      </c>
      <c r="D35" s="152"/>
      <c r="E35" s="143">
        <v>236010</v>
      </c>
      <c r="F35" s="143"/>
      <c r="G35" s="143">
        <v>1497</v>
      </c>
      <c r="H35" s="143"/>
      <c r="I35" s="144"/>
      <c r="J35" s="145"/>
      <c r="K35" s="145">
        <v>-90</v>
      </c>
      <c r="L35" s="146">
        <v>1048400</v>
      </c>
      <c r="M35" s="143"/>
      <c r="N35" s="143">
        <v>1610</v>
      </c>
      <c r="O35" s="143"/>
      <c r="P35" s="143">
        <v>539</v>
      </c>
      <c r="Q35" s="130"/>
      <c r="R35" s="130"/>
      <c r="S35" s="130"/>
      <c r="T35" s="130"/>
      <c r="U35" s="130"/>
      <c r="V35" s="130"/>
      <c r="W35" s="130">
        <v>70525</v>
      </c>
      <c r="X35" s="116"/>
      <c r="Y35" s="116"/>
    </row>
    <row customHeight="1" ht="15">
      <c r="A36" s="124"/>
      <c r="B36" s="125" t="s">
        <v>106</v>
      </c>
      <c r="C36" s="126" t="s">
        <v>107</v>
      </c>
      <c r="D36" s="152"/>
      <c r="E36" s="143">
        <v>297818</v>
      </c>
      <c r="F36" s="143"/>
      <c r="G36" s="143">
        <v>4160</v>
      </c>
      <c r="H36" s="143">
        <v>2289</v>
      </c>
      <c r="I36" s="144"/>
      <c r="J36" s="145">
        <v>-7026</v>
      </c>
      <c r="K36" s="145">
        <v>-90</v>
      </c>
      <c r="L36" s="146">
        <v>2579448</v>
      </c>
      <c r="M36" s="143">
        <v>12229</v>
      </c>
      <c r="N36" s="143">
        <v>-2320</v>
      </c>
      <c r="O36" s="143"/>
      <c r="P36" s="143">
        <v>675</v>
      </c>
      <c r="Q36" s="130"/>
      <c r="R36" s="130"/>
      <c r="S36" s="130"/>
      <c r="T36" s="130"/>
      <c r="U36" s="130"/>
      <c r="V36" s="130"/>
      <c r="W36" s="130">
        <v>173484</v>
      </c>
      <c r="X36" s="116"/>
      <c r="Y36" s="116"/>
    </row>
    <row customHeight="1" ht="15">
      <c r="A37" s="124"/>
      <c r="B37" s="125" t="s">
        <v>108</v>
      </c>
      <c r="C37" s="126" t="s">
        <v>109</v>
      </c>
      <c r="D37" s="152"/>
      <c r="E37" s="143"/>
      <c r="F37" s="143"/>
      <c r="G37" s="143"/>
      <c r="H37" s="143"/>
      <c r="I37" s="144"/>
      <c r="J37" s="145"/>
      <c r="K37" s="145"/>
      <c r="L37" s="146">
        <v>8190</v>
      </c>
      <c r="M37" s="143"/>
      <c r="N37" s="143"/>
      <c r="O37" s="143"/>
      <c r="P37" s="143"/>
      <c r="Q37" s="130"/>
      <c r="R37" s="130"/>
      <c r="S37" s="130"/>
      <c r="T37" s="130"/>
      <c r="U37" s="130"/>
      <c r="V37" s="130"/>
      <c r="W37" s="130"/>
      <c r="X37" s="116"/>
      <c r="Y37" s="116"/>
    </row>
    <row customHeight="1" ht="15">
      <c r="A38" s="124"/>
      <c r="B38" s="125" t="s">
        <v>110</v>
      </c>
      <c r="C38" s="126" t="s">
        <v>111</v>
      </c>
      <c r="D38" s="152"/>
      <c r="E38" s="130"/>
      <c r="F38" s="130"/>
      <c r="G38" s="130"/>
      <c r="H38" s="130"/>
      <c r="I38" s="131"/>
      <c r="J38" s="139"/>
      <c r="K38" s="139"/>
      <c r="L38" s="133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16"/>
      <c r="Y38" s="116"/>
    </row>
    <row customHeight="1" ht="15">
      <c r="A39" s="124"/>
      <c r="B39" s="125" t="s">
        <v>112</v>
      </c>
      <c r="C39" s="126" t="s">
        <v>113</v>
      </c>
      <c r="D39" s="152"/>
      <c r="E39" s="130">
        <v>77167</v>
      </c>
      <c r="F39" s="130"/>
      <c r="G39" s="130"/>
      <c r="H39" s="130"/>
      <c r="I39" s="131"/>
      <c r="J39" s="139"/>
      <c r="K39" s="139"/>
      <c r="L39" s="133">
        <v>310500</v>
      </c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16"/>
      <c r="Y39" s="116"/>
    </row>
    <row customHeight="1" ht="15">
      <c r="A40" s="124"/>
      <c r="B40" s="125" t="s">
        <v>114</v>
      </c>
      <c r="C40" s="126" t="s">
        <v>115</v>
      </c>
      <c r="D40" s="152"/>
      <c r="E40" s="130"/>
      <c r="F40" s="130"/>
      <c r="G40" s="130"/>
      <c r="H40" s="130"/>
      <c r="I40" s="131"/>
      <c r="J40" s="139"/>
      <c r="K40" s="139"/>
      <c r="L40" s="133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16"/>
      <c r="Y40" s="116"/>
    </row>
    <row customHeight="1" ht="15">
      <c r="A41" s="124"/>
      <c r="B41" s="125" t="s">
        <v>116</v>
      </c>
      <c r="C41" s="126" t="s">
        <v>117</v>
      </c>
      <c r="D41" s="130">
        <v>22</v>
      </c>
      <c r="E41" s="130">
        <v>185425</v>
      </c>
      <c r="F41" s="130"/>
      <c r="G41" s="130">
        <v>23</v>
      </c>
      <c r="H41" s="130">
        <v>3672</v>
      </c>
      <c r="I41" s="131"/>
      <c r="J41" s="139"/>
      <c r="K41" s="139"/>
      <c r="L41" s="133"/>
      <c r="M41" s="130"/>
      <c r="N41" s="130">
        <v>5</v>
      </c>
      <c r="O41" s="130"/>
      <c r="P41" s="130">
        <v>77</v>
      </c>
      <c r="Q41" s="130"/>
      <c r="R41" s="130"/>
      <c r="S41" s="130"/>
      <c r="T41" s="130"/>
      <c r="U41" s="130"/>
      <c r="V41" s="130"/>
      <c r="W41" s="130">
        <v>786</v>
      </c>
      <c r="X41" s="116"/>
      <c r="Y41" s="116"/>
    </row>
    <row customHeight="1" ht="15">
      <c r="A42" s="124"/>
      <c r="B42" s="125" t="s">
        <v>118</v>
      </c>
      <c r="C42" s="126" t="s">
        <v>119</v>
      </c>
      <c r="D42" s="137">
        <v>2656</v>
      </c>
      <c r="E42" s="137">
        <v>7686472</v>
      </c>
      <c r="F42" s="137">
        <v>0</v>
      </c>
      <c r="G42" s="137">
        <v>56801</v>
      </c>
      <c r="H42" s="137">
        <v>0</v>
      </c>
      <c r="I42" s="127">
        <v>0</v>
      </c>
      <c r="J42" s="128"/>
      <c r="K42" s="128"/>
      <c r="L42" s="129">
        <v>8832908</v>
      </c>
      <c r="M42" s="137">
        <v>0</v>
      </c>
      <c r="N42" s="137">
        <v>9447</v>
      </c>
      <c r="O42" s="137">
        <v>0</v>
      </c>
      <c r="P42" s="137">
        <v>0</v>
      </c>
      <c r="Q42" s="137">
        <v>0</v>
      </c>
      <c r="R42" s="137">
        <v>0</v>
      </c>
      <c r="S42" s="137">
        <v>0</v>
      </c>
      <c r="T42" s="137">
        <v>0</v>
      </c>
      <c r="U42" s="137">
        <v>0</v>
      </c>
      <c r="V42" s="137"/>
      <c r="W42" s="137"/>
      <c r="X42" s="116"/>
      <c r="Y42" s="116"/>
    </row>
    <row customHeight="1" ht="15">
      <c r="A43" s="124"/>
      <c r="B43" s="125" t="s">
        <v>120</v>
      </c>
      <c r="C43" s="126" t="s">
        <v>121</v>
      </c>
      <c r="D43" s="130">
        <v>380</v>
      </c>
      <c r="E43" s="130"/>
      <c r="F43" s="130"/>
      <c r="G43" s="130"/>
      <c r="H43" s="130"/>
      <c r="I43" s="131"/>
      <c r="J43" s="139"/>
      <c r="K43" s="139"/>
      <c r="L43" s="133">
        <v>1475673</v>
      </c>
      <c r="M43" s="130"/>
      <c r="N43" s="130">
        <v>11</v>
      </c>
      <c r="O43" s="130"/>
      <c r="P43" s="130"/>
      <c r="Q43" s="130"/>
      <c r="R43" s="130"/>
      <c r="S43" s="130"/>
      <c r="T43" s="130"/>
      <c r="U43" s="130"/>
      <c r="V43" s="130"/>
      <c r="W43" s="130">
        <v>501317</v>
      </c>
      <c r="X43" s="116"/>
      <c r="Y43" s="116"/>
    </row>
    <row customHeight="1" ht="15">
      <c r="A44" s="124"/>
      <c r="B44" s="125" t="s">
        <v>122</v>
      </c>
      <c r="C44" s="126" t="s">
        <v>123</v>
      </c>
      <c r="D44" s="153">
        <v>1839</v>
      </c>
      <c r="E44" s="130"/>
      <c r="F44" s="130"/>
      <c r="G44" s="130"/>
      <c r="H44" s="130"/>
      <c r="I44" s="131"/>
      <c r="J44" s="139"/>
      <c r="K44" s="139"/>
      <c r="L44" s="133">
        <v>512387</v>
      </c>
      <c r="M44" s="130"/>
      <c r="N44" s="130">
        <v>3904</v>
      </c>
      <c r="O44" s="130"/>
      <c r="P44" s="130"/>
      <c r="Q44" s="130"/>
      <c r="R44" s="130"/>
      <c r="S44" s="130"/>
      <c r="T44" s="130"/>
      <c r="U44" s="130"/>
      <c r="V44" s="130"/>
      <c r="W44" s="130">
        <v>501317</v>
      </c>
      <c r="X44" s="116"/>
      <c r="Y44" s="116"/>
    </row>
    <row customHeight="1" ht="15">
      <c r="A45" s="124"/>
      <c r="B45" s="125" t="s">
        <v>124</v>
      </c>
      <c r="C45" s="126" t="s">
        <v>125</v>
      </c>
      <c r="D45" s="130">
        <v>437</v>
      </c>
      <c r="E45" s="130">
        <v>7686472</v>
      </c>
      <c r="F45" s="130"/>
      <c r="G45" s="130">
        <v>56801</v>
      </c>
      <c r="H45" s="130"/>
      <c r="I45" s="131"/>
      <c r="J45" s="139"/>
      <c r="K45" s="139"/>
      <c r="L45" s="133">
        <v>6844848</v>
      </c>
      <c r="M45" s="130"/>
      <c r="N45" s="130">
        <v>5532</v>
      </c>
      <c r="O45" s="130"/>
      <c r="P45" s="130"/>
      <c r="Q45" s="130"/>
      <c r="R45" s="130"/>
      <c r="S45" s="130"/>
      <c r="T45" s="130"/>
      <c r="U45" s="130"/>
      <c r="V45" s="130"/>
      <c r="W45" s="130">
        <v>501317</v>
      </c>
      <c r="X45" s="116"/>
      <c r="Y45" s="116"/>
    </row>
    <row customHeight="1" ht="15">
      <c r="A46" s="124"/>
      <c r="B46" s="125" t="s">
        <v>126</v>
      </c>
      <c r="C46" s="126" t="s">
        <v>127</v>
      </c>
      <c r="D46" s="126"/>
      <c r="E46" s="126"/>
      <c r="F46" s="126"/>
      <c r="G46" s="126"/>
      <c r="H46" s="126"/>
      <c r="I46" s="127"/>
      <c r="J46" s="135"/>
      <c r="K46" s="135"/>
      <c r="L46" s="133">
        <v>302</v>
      </c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30">
        <v>501317</v>
      </c>
      <c r="X46" s="116"/>
      <c r="Y46" s="116"/>
    </row>
    <row customHeight="1" ht="15">
      <c r="A47" s="116"/>
      <c r="B47" s="154" t="s">
        <v>128</v>
      </c>
      <c r="C47" s="154"/>
      <c r="D47" s="155">
        <v>0</v>
      </c>
      <c r="E47" s="156"/>
      <c r="F47" s="156"/>
      <c r="G47" s="156"/>
      <c r="H47" s="156"/>
      <c r="I47" s="156"/>
      <c r="J47" s="157"/>
      <c r="K47" s="157"/>
      <c r="L47" s="156"/>
      <c r="M47" s="156" t="s">
        <v>129</v>
      </c>
      <c r="N47" s="158">
        <v>0</v>
      </c>
      <c r="O47" s="159"/>
      <c r="P47" s="156"/>
      <c r="Q47" s="156"/>
      <c r="R47" s="156"/>
      <c r="S47" s="156"/>
      <c r="T47" s="156"/>
      <c r="U47" s="156" t="s">
        <v>130</v>
      </c>
      <c r="V47" s="158">
        <v>0</v>
      </c>
      <c r="W47" s="159"/>
      <c r="X47" s="116"/>
      <c r="Y47" s="116"/>
    </row>
    <row customHeight="1" ht="15">
      <c r="A48" s="116"/>
      <c r="B48" s="156"/>
      <c r="C48" s="156"/>
      <c r="D48" s="156"/>
      <c r="E48" s="156"/>
      <c r="F48" s="156"/>
      <c r="G48" s="156"/>
      <c r="H48" s="156"/>
      <c r="I48" s="156"/>
      <c r="J48" s="157"/>
      <c r="K48" s="157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16"/>
      <c r="Y48" s="116"/>
    </row>
    <row customHeight="1" ht="22.5">
      <c r="A49" s="116"/>
      <c r="B49" s="160" t="s">
        <v>131</v>
      </c>
      <c r="C49" s="160"/>
      <c r="D49" s="160"/>
      <c r="E49" s="160"/>
      <c r="F49" s="160"/>
      <c r="G49" s="156"/>
      <c r="H49" s="156"/>
      <c r="I49" s="156"/>
      <c r="J49" s="157"/>
      <c r="K49" s="157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16"/>
      <c r="Y49" s="116"/>
    </row>
    <row customHeight="1" ht="15">
      <c r="A50" s="116"/>
      <c r="B50" s="161" t="s">
        <v>132</v>
      </c>
      <c r="C50" s="161" t="s">
        <v>133</v>
      </c>
      <c r="D50" s="161" t="s">
        <v>2</v>
      </c>
      <c r="E50" s="161" t="s">
        <v>134</v>
      </c>
      <c r="F50" s="161" t="s">
        <v>135</v>
      </c>
      <c r="G50" s="156"/>
      <c r="H50" s="156"/>
      <c r="I50" s="156"/>
      <c r="J50" s="157"/>
      <c r="K50" s="157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16"/>
      <c r="Y50" s="116"/>
    </row>
    <row customHeight="1" ht="15">
      <c r="A51" s="116"/>
      <c r="B51" s="162" t="s">
        <v>136</v>
      </c>
      <c r="C51" s="126">
        <v>3</v>
      </c>
      <c r="D51" s="126" t="s">
        <v>137</v>
      </c>
      <c r="E51" s="126" t="s">
        <v>25</v>
      </c>
      <c r="F51" s="130">
        <v>230300</v>
      </c>
      <c r="G51" s="156"/>
      <c r="H51" s="156"/>
      <c r="I51" s="156"/>
      <c r="J51" s="157"/>
      <c r="K51" s="157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16"/>
      <c r="Y51" s="116"/>
    </row>
    <row customHeight="1" ht="15">
      <c r="A52" s="116"/>
      <c r="B52" s="162" t="s">
        <v>138</v>
      </c>
      <c r="C52" s="126">
        <v>3</v>
      </c>
      <c r="D52" s="126" t="s">
        <v>139</v>
      </c>
      <c r="E52" s="126" t="s">
        <v>23</v>
      </c>
      <c r="F52" s="130">
        <v>626256</v>
      </c>
      <c r="G52" s="156"/>
      <c r="H52" s="156"/>
      <c r="I52" s="156"/>
      <c r="J52" s="157"/>
      <c r="K52" s="157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16"/>
      <c r="Y52" s="116"/>
    </row>
    <row customHeight="1" ht="15">
      <c r="A53" s="116"/>
      <c r="B53" s="162" t="s">
        <v>140</v>
      </c>
      <c r="C53" s="126">
        <v>3</v>
      </c>
      <c r="D53" s="126" t="s">
        <v>141</v>
      </c>
      <c r="E53" s="126" t="s">
        <v>142</v>
      </c>
      <c r="F53" s="130">
        <v>31</v>
      </c>
      <c r="G53" s="156"/>
      <c r="H53" s="156"/>
      <c r="I53" s="156"/>
      <c r="J53" s="157"/>
      <c r="K53" s="157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16"/>
      <c r="Y53" s="116"/>
    </row>
    <row customHeight="1" ht="15">
      <c r="A54" s="116"/>
      <c r="B54" s="162" t="s">
        <v>143</v>
      </c>
      <c r="C54" s="126">
        <v>3</v>
      </c>
      <c r="D54" s="126" t="s">
        <v>144</v>
      </c>
      <c r="E54" s="126" t="s">
        <v>23</v>
      </c>
      <c r="F54" s="130">
        <v>501317</v>
      </c>
      <c r="G54" s="156"/>
      <c r="H54" s="156"/>
      <c r="I54" s="156"/>
      <c r="J54" s="157"/>
      <c r="K54" s="157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16"/>
      <c r="Y54" s="116"/>
    </row>
    <row customHeight="1" ht="15">
      <c r="A55" s="116"/>
      <c r="B55" s="162" t="s">
        <v>145</v>
      </c>
      <c r="C55" s="126">
        <v>3</v>
      </c>
      <c r="D55" s="126" t="s">
        <v>146</v>
      </c>
      <c r="E55" s="126" t="s">
        <v>23</v>
      </c>
      <c r="F55" s="130">
        <v>501317</v>
      </c>
      <c r="G55" s="156"/>
      <c r="H55" s="156"/>
      <c r="I55" s="156"/>
      <c r="J55" s="157"/>
      <c r="K55" s="157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16"/>
      <c r="Y55" s="116"/>
    </row>
    <row customHeight="1" ht="15">
      <c r="A56" s="116"/>
      <c r="B56" s="162" t="s">
        <v>147</v>
      </c>
      <c r="C56" s="126">
        <v>3</v>
      </c>
      <c r="D56" s="126" t="s">
        <v>148</v>
      </c>
      <c r="E56" s="126" t="s">
        <v>149</v>
      </c>
      <c r="F56" s="143">
        <v>21097.651</v>
      </c>
      <c r="G56" s="156"/>
      <c r="H56" s="156"/>
      <c r="I56" s="156"/>
      <c r="J56" s="157"/>
      <c r="K56" s="157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16"/>
      <c r="Y56" s="116"/>
    </row>
    <row customHeight="1" ht="15">
      <c r="A57" s="116"/>
      <c r="B57" s="162" t="s">
        <v>150</v>
      </c>
      <c r="C57" s="126">
        <v>3</v>
      </c>
      <c r="D57" s="126" t="s">
        <v>151</v>
      </c>
      <c r="E57" s="126" t="s">
        <v>26</v>
      </c>
      <c r="F57" s="130"/>
      <c r="G57" s="156"/>
      <c r="H57" s="156"/>
      <c r="I57" s="156"/>
      <c r="J57" s="157"/>
      <c r="K57" s="157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16"/>
      <c r="Y57" s="116"/>
    </row>
    <row customHeight="1" ht="15">
      <c r="A58" s="116"/>
      <c r="B58" s="162" t="s">
        <v>152</v>
      </c>
      <c r="C58" s="126">
        <v>3</v>
      </c>
      <c r="D58" s="126" t="s">
        <v>153</v>
      </c>
      <c r="E58" s="126" t="s">
        <v>26</v>
      </c>
      <c r="F58" s="130"/>
      <c r="G58" s="156"/>
      <c r="H58" s="156"/>
      <c r="I58" s="156"/>
      <c r="J58" s="157"/>
      <c r="K58" s="157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16"/>
      <c r="Y58" s="116"/>
    </row>
    <row customHeight="1" ht="15">
      <c r="A59" s="116"/>
      <c r="B59" s="162" t="s">
        <v>154</v>
      </c>
      <c r="C59" s="126">
        <v>4</v>
      </c>
      <c r="D59" s="126" t="s">
        <v>155</v>
      </c>
      <c r="E59" s="126" t="s">
        <v>23</v>
      </c>
      <c r="F59" s="163"/>
      <c r="G59" s="156"/>
      <c r="H59" s="156"/>
      <c r="I59" s="156"/>
      <c r="J59" s="157"/>
      <c r="K59" s="157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16"/>
      <c r="Y59" s="116"/>
    </row>
    <row customHeight="1" ht="15">
      <c r="A60" s="116"/>
      <c r="B60" s="162" t="s">
        <v>156</v>
      </c>
      <c r="C60" s="126">
        <v>4</v>
      </c>
      <c r="D60" s="126" t="s">
        <v>157</v>
      </c>
      <c r="E60" s="126" t="s">
        <v>23</v>
      </c>
      <c r="F60" s="163"/>
      <c r="G60" s="156"/>
      <c r="H60" s="156"/>
      <c r="I60" s="156"/>
      <c r="J60" s="157"/>
      <c r="K60" s="157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16"/>
      <c r="Y60" s="116"/>
    </row>
    <row customHeight="1" ht="15">
      <c r="A61" s="116"/>
      <c r="B61" s="162" t="s">
        <v>158</v>
      </c>
      <c r="C61" s="126">
        <v>4</v>
      </c>
      <c r="D61" s="126" t="s">
        <v>159</v>
      </c>
      <c r="E61" s="126" t="s">
        <v>23</v>
      </c>
      <c r="F61" s="163"/>
      <c r="G61" s="156"/>
      <c r="H61" s="156"/>
      <c r="I61" s="156"/>
      <c r="J61" s="157"/>
      <c r="K61" s="157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16"/>
      <c r="Y61" s="116"/>
    </row>
    <row customHeight="1" ht="15">
      <c r="A62" s="116"/>
      <c r="B62" s="162" t="s">
        <v>160</v>
      </c>
      <c r="C62" s="126">
        <v>4</v>
      </c>
      <c r="D62" s="126" t="s">
        <v>161</v>
      </c>
      <c r="E62" s="126" t="s">
        <v>23</v>
      </c>
      <c r="F62" s="164">
        <v>565160.307</v>
      </c>
      <c r="G62" s="156"/>
      <c r="H62" s="156"/>
      <c r="I62" s="156"/>
      <c r="J62" s="157"/>
      <c r="K62" s="157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16"/>
      <c r="Y62" s="116"/>
    </row>
    <row customHeight="1" ht="15">
      <c r="A63" s="116"/>
      <c r="B63" s="162" t="s">
        <v>162</v>
      </c>
      <c r="C63" s="126">
        <v>4</v>
      </c>
      <c r="D63" s="126" t="s">
        <v>163</v>
      </c>
      <c r="E63" s="126" t="s">
        <v>23</v>
      </c>
      <c r="F63" s="130"/>
      <c r="G63" s="156"/>
      <c r="H63" s="156"/>
      <c r="I63" s="156"/>
      <c r="J63" s="157"/>
      <c r="K63" s="157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16"/>
      <c r="Y63" s="116"/>
    </row>
    <row customHeight="1" ht="15">
      <c r="A64" s="116"/>
      <c r="B64" s="162" t="s">
        <v>164</v>
      </c>
      <c r="C64" s="126">
        <v>4</v>
      </c>
      <c r="D64" s="126" t="s">
        <v>165</v>
      </c>
      <c r="E64" s="126" t="s">
        <v>23</v>
      </c>
      <c r="F64" s="130"/>
      <c r="G64" s="156"/>
      <c r="H64" s="156"/>
      <c r="I64" s="156"/>
      <c r="J64" s="157"/>
      <c r="K64" s="157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16"/>
      <c r="Y64" s="116"/>
    </row>
    <row customHeight="1" ht="15">
      <c r="A65" s="116"/>
      <c r="B65" s="162" t="s">
        <v>166</v>
      </c>
      <c r="C65" s="126">
        <v>5</v>
      </c>
      <c r="D65" s="126" t="s">
        <v>167</v>
      </c>
      <c r="E65" s="126" t="s">
        <v>23</v>
      </c>
      <c r="F65" s="163">
        <v>156886</v>
      </c>
      <c r="G65" s="156"/>
      <c r="H65" s="156"/>
      <c r="I65" s="156"/>
      <c r="J65" s="157"/>
      <c r="K65" s="157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16"/>
      <c r="Y65" s="116"/>
    </row>
    <row customHeight="1" ht="15">
      <c r="A66" s="116"/>
      <c r="B66" s="162" t="s">
        <v>168</v>
      </c>
      <c r="C66" s="126">
        <v>5</v>
      </c>
      <c r="D66" s="126" t="s">
        <v>169</v>
      </c>
      <c r="E66" s="126" t="s">
        <v>23</v>
      </c>
      <c r="F66" s="163">
        <v>156886</v>
      </c>
      <c r="G66" s="156"/>
      <c r="H66" s="156"/>
      <c r="I66" s="156"/>
      <c r="J66" s="157"/>
      <c r="K66" s="157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16"/>
      <c r="Y66" s="116"/>
    </row>
    <row customHeight="1" ht="15">
      <c r="A67" s="116"/>
      <c r="B67" s="162" t="s">
        <v>170</v>
      </c>
      <c r="C67" s="126">
        <v>5</v>
      </c>
      <c r="D67" s="126" t="s">
        <v>171</v>
      </c>
      <c r="E67" s="126" t="s">
        <v>23</v>
      </c>
      <c r="F67" s="163">
        <v>156886</v>
      </c>
      <c r="G67" s="156"/>
      <c r="H67" s="156"/>
      <c r="I67" s="156"/>
      <c r="J67" s="157"/>
      <c r="K67" s="157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16"/>
      <c r="Y67" s="116"/>
    </row>
    <row customHeight="1" ht="15">
      <c r="A68" s="116"/>
      <c r="B68" s="162" t="s">
        <v>172</v>
      </c>
      <c r="C68" s="126">
        <v>5</v>
      </c>
      <c r="D68" s="126" t="s">
        <v>173</v>
      </c>
      <c r="E68" s="126" t="s">
        <v>23</v>
      </c>
      <c r="F68" s="163">
        <v>156886</v>
      </c>
      <c r="G68" s="156"/>
      <c r="H68" s="156"/>
      <c r="I68" s="156"/>
      <c r="J68" s="157"/>
      <c r="K68" s="157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16"/>
      <c r="Y68" s="116"/>
    </row>
    <row customHeight="1" ht="15">
      <c r="A69" s="116"/>
      <c r="B69" s="162" t="s">
        <v>174</v>
      </c>
      <c r="C69" s="126">
        <v>5</v>
      </c>
      <c r="D69" s="126" t="s">
        <v>175</v>
      </c>
      <c r="E69" s="126" t="s">
        <v>23</v>
      </c>
      <c r="F69" s="130"/>
      <c r="G69" s="156"/>
      <c r="H69" s="156"/>
      <c r="I69" s="156"/>
      <c r="J69" s="157"/>
      <c r="K69" s="157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16"/>
      <c r="Y69" s="116"/>
    </row>
    <row customHeight="1" ht="15">
      <c r="A70" s="116"/>
      <c r="B70" s="162" t="s">
        <v>176</v>
      </c>
      <c r="C70" s="126">
        <v>5</v>
      </c>
      <c r="D70" s="126" t="s">
        <v>177</v>
      </c>
      <c r="E70" s="126" t="s">
        <v>23</v>
      </c>
      <c r="F70" s="130"/>
      <c r="G70" s="156"/>
      <c r="H70" s="156"/>
      <c r="I70" s="156"/>
      <c r="J70" s="157"/>
      <c r="K70" s="157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16"/>
      <c r="Y70" s="116"/>
    </row>
    <row customHeight="1" ht="15">
      <c r="A71" s="116"/>
      <c r="B71" s="162" t="s">
        <v>178</v>
      </c>
      <c r="C71" s="126">
        <v>5</v>
      </c>
      <c r="D71" s="126" t="s">
        <v>179</v>
      </c>
      <c r="E71" s="126" t="s">
        <v>23</v>
      </c>
      <c r="F71" s="130"/>
      <c r="G71" s="156"/>
      <c r="H71" s="156"/>
      <c r="I71" s="156"/>
      <c r="J71" s="157"/>
      <c r="K71" s="157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16"/>
      <c r="Y71" s="116"/>
    </row>
    <row customHeight="1" ht="15">
      <c r="A72" s="116"/>
      <c r="B72" s="162" t="s">
        <v>180</v>
      </c>
      <c r="C72" s="126">
        <v>5</v>
      </c>
      <c r="D72" s="126" t="s">
        <v>181</v>
      </c>
      <c r="E72" s="126" t="s">
        <v>23</v>
      </c>
      <c r="F72" s="130"/>
      <c r="G72" s="156"/>
      <c r="H72" s="156"/>
      <c r="I72" s="156"/>
      <c r="J72" s="157"/>
      <c r="K72" s="157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16"/>
      <c r="Y72" s="116"/>
    </row>
    <row customHeight="1" ht="15">
      <c r="A73" s="116"/>
      <c r="B73" s="162" t="s">
        <v>182</v>
      </c>
      <c r="C73" s="126">
        <v>5</v>
      </c>
      <c r="D73" s="126" t="s">
        <v>183</v>
      </c>
      <c r="E73" s="126" t="s">
        <v>23</v>
      </c>
      <c r="F73" s="130"/>
      <c r="G73" s="156"/>
      <c r="H73" s="156"/>
      <c r="I73" s="156"/>
      <c r="J73" s="157"/>
      <c r="K73" s="157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16"/>
      <c r="Y73" s="116"/>
    </row>
    <row customHeight="1" ht="15">
      <c r="A74" s="116"/>
      <c r="B74" s="162" t="s">
        <v>184</v>
      </c>
      <c r="C74" s="126">
        <v>6</v>
      </c>
      <c r="D74" s="126" t="s">
        <v>185</v>
      </c>
      <c r="E74" s="126" t="s">
        <v>186</v>
      </c>
      <c r="F74" s="130"/>
      <c r="G74" s="156"/>
      <c r="H74" s="156"/>
      <c r="I74" s="156"/>
      <c r="J74" s="157"/>
      <c r="K74" s="157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16"/>
      <c r="Y74" s="116"/>
    </row>
    <row customHeight="1" ht="15">
      <c r="A75" s="116"/>
      <c r="B75" s="162" t="s">
        <v>187</v>
      </c>
      <c r="C75" s="126">
        <v>6</v>
      </c>
      <c r="D75" s="126" t="s">
        <v>188</v>
      </c>
      <c r="E75" s="126" t="s">
        <v>186</v>
      </c>
      <c r="F75" s="130"/>
      <c r="G75" s="156"/>
      <c r="H75" s="156"/>
      <c r="I75" s="156"/>
      <c r="J75" s="157"/>
      <c r="K75" s="157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16"/>
      <c r="Y75" s="116"/>
    </row>
    <row customHeight="1" ht="15">
      <c r="A76" s="116"/>
      <c r="B76" s="165">
        <v>52</v>
      </c>
      <c r="C76" s="165">
        <v>6</v>
      </c>
      <c r="D76" s="165" t="s">
        <v>189</v>
      </c>
      <c r="E76" s="165" t="s">
        <v>186</v>
      </c>
      <c r="F76" s="163">
        <v>100</v>
      </c>
      <c r="G76" s="156"/>
      <c r="H76" s="156"/>
      <c r="I76" s="156"/>
      <c r="J76" s="157"/>
      <c r="K76" s="157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16"/>
      <c r="Y76" s="116"/>
    </row>
    <row customHeight="1" ht="15.75">
      <c r="A77" s="116"/>
      <c r="B77" s="166">
        <v>70</v>
      </c>
      <c r="C77" s="166">
        <v>13</v>
      </c>
      <c r="D77" s="167" t="s">
        <v>190</v>
      </c>
      <c r="E77" s="167" t="s">
        <v>191</v>
      </c>
      <c r="F77" s="163"/>
      <c r="G77" s="116"/>
      <c r="H77" s="116"/>
      <c r="I77" s="116"/>
      <c r="J77" s="117"/>
      <c r="K77" s="117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</row>
    <row customHeight="1" ht="15.75">
      <c r="A78" s="116"/>
      <c r="B78" s="166">
        <v>71</v>
      </c>
      <c r="C78" s="166">
        <v>13</v>
      </c>
      <c r="D78" s="167" t="s">
        <v>192</v>
      </c>
      <c r="E78" s="167" t="s">
        <v>191</v>
      </c>
      <c r="F78" s="163">
        <v>252534</v>
      </c>
      <c r="G78" s="116"/>
      <c r="H78" s="116"/>
      <c r="I78" s="116"/>
      <c r="J78" s="117"/>
      <c r="K78" s="117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</row>
    <row customHeight="1" ht="15.75">
      <c r="A79" s="116"/>
      <c r="B79" s="166">
        <v>72</v>
      </c>
      <c r="C79" s="166">
        <v>13</v>
      </c>
      <c r="D79" s="167" t="s">
        <v>193</v>
      </c>
      <c r="E79" s="167" t="s">
        <v>194</v>
      </c>
      <c r="F79" s="163">
        <v>22731627</v>
      </c>
      <c r="G79" s="116"/>
      <c r="H79" s="116"/>
      <c r="I79" s="116"/>
      <c r="J79" s="117"/>
      <c r="K79" s="117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</row>
    <row customHeight="1" ht="15.75">
      <c r="A80" s="116"/>
      <c r="B80" s="166">
        <v>73</v>
      </c>
      <c r="C80" s="166">
        <v>13</v>
      </c>
      <c r="D80" s="167" t="s">
        <v>195</v>
      </c>
      <c r="E80" s="167" t="s">
        <v>191</v>
      </c>
      <c r="F80" s="163">
        <v>193933</v>
      </c>
      <c r="G80" s="116"/>
      <c r="H80" s="116"/>
      <c r="I80" s="116"/>
      <c r="J80" s="117"/>
      <c r="K80" s="117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</row>
    <row customHeight="1" ht="15.75">
      <c r="A81" s="116"/>
      <c r="B81" s="166">
        <v>74</v>
      </c>
      <c r="C81" s="166">
        <v>13</v>
      </c>
      <c r="D81" s="167" t="s">
        <v>196</v>
      </c>
      <c r="E81" s="167" t="s">
        <v>197</v>
      </c>
      <c r="F81" s="163"/>
      <c r="G81" s="116"/>
      <c r="H81" s="116"/>
      <c r="I81" s="116"/>
      <c r="J81" s="117"/>
      <c r="K81" s="117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</row>
    <row customHeight="1" ht="15.75">
      <c r="A82" s="116"/>
      <c r="B82" s="166">
        <v>75</v>
      </c>
      <c r="C82" s="166">
        <v>13</v>
      </c>
      <c r="D82" s="167" t="s">
        <v>198</v>
      </c>
      <c r="E82" s="167" t="s">
        <v>197</v>
      </c>
      <c r="F82" s="163">
        <v>8607000</v>
      </c>
      <c r="G82" s="116"/>
      <c r="H82" s="116"/>
      <c r="I82" s="116"/>
      <c r="J82" s="117"/>
      <c r="K82" s="117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</row>
    <row customHeight="1" ht="15.75">
      <c r="A83" s="116"/>
      <c r="B83" s="166">
        <v>76</v>
      </c>
      <c r="C83" s="166">
        <v>13</v>
      </c>
      <c r="D83" s="167" t="s">
        <v>199</v>
      </c>
      <c r="E83" s="167" t="s">
        <v>200</v>
      </c>
      <c r="F83" s="163">
        <v>1412732</v>
      </c>
      <c r="G83" s="116"/>
      <c r="H83" s="116"/>
      <c r="I83" s="116"/>
      <c r="J83" s="117"/>
      <c r="K83" s="117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</row>
    <row customHeight="1" ht="15">
      <c r="A84" s="116"/>
      <c r="B84" s="116"/>
      <c r="C84" s="116"/>
      <c r="D84" s="116"/>
      <c r="E84" s="116"/>
      <c r="F84" s="116"/>
      <c r="G84" s="116"/>
      <c r="H84" s="116"/>
      <c r="I84" s="116"/>
      <c r="J84" s="117"/>
      <c r="K84" s="117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</row>
  </sheetData>
  <mergeCells count="7">
    <mergeCell ref="B2:W2"/>
    <mergeCell ref="B3:B5"/>
    <mergeCell ref="C3:C5"/>
    <mergeCell ref="B49:F49"/>
    <mergeCell ref="B47:C47"/>
    <mergeCell ref="V47:W47"/>
    <mergeCell ref="N47:O47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CCE5C8-79D8-976C-0038-1A01BDB4D6B8}" mc:Ignorable="x14ac xr xr2 xr3">
  <dimension ref="A1:E117"/>
  <sheetViews>
    <sheetView zoomScale="85" workbookViewId="0">
      <pane xSplit="2" ySplit="4" topLeftCell="C41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customHeight="1" defaultRowHeight="15"/>
  <cols>
    <col min="1" max="1" width="21.625" customWidth="1"/>
    <col min="2" max="2" width="24.625" customWidth="1"/>
  </cols>
  <sheetData>
    <row customHeight="1" ht="15">
      <c r="A1" s="116"/>
      <c r="B1" s="116"/>
      <c r="C1" s="116">
        <v>-1</v>
      </c>
      <c r="D1" s="116"/>
      <c r="E1" s="116"/>
    </row>
    <row customHeight="1" ht="26.25">
      <c r="A2" s="116"/>
      <c r="B2" s="111" t="s">
        <v>2</v>
      </c>
      <c r="C2" s="49" t="s">
        <v>3</v>
      </c>
      <c r="D2" s="116"/>
      <c r="E2" s="116"/>
    </row>
    <row customHeight="1" ht="15">
      <c r="A3" s="116"/>
      <c r="B3" s="111"/>
      <c r="C3" s="49" t="s">
        <v>23</v>
      </c>
      <c r="D3" s="116"/>
      <c r="E3" s="116"/>
    </row>
    <row customHeight="1" ht="15">
      <c r="A4" s="116"/>
      <c r="B4" s="111"/>
      <c r="C4" s="49" t="s">
        <v>27</v>
      </c>
      <c r="D4" s="116"/>
      <c r="E4" s="116"/>
    </row>
    <row customHeight="1" ht="15">
      <c r="A5" s="116"/>
      <c r="B5" s="126" t="s">
        <v>47</v>
      </c>
      <c r="C5" s="170">
        <v>452155</v>
      </c>
      <c r="D5" s="116"/>
      <c r="E5" s="116"/>
    </row>
    <row customHeight="1" ht="15">
      <c r="A6" s="116"/>
      <c r="B6" s="126" t="s">
        <v>49</v>
      </c>
      <c r="C6" s="171">
        <f>B63+B64</f>
        <v>0</v>
      </c>
      <c r="D6" s="116"/>
      <c r="E6" s="116"/>
    </row>
    <row customHeight="1" ht="15">
      <c r="A7" s="116"/>
      <c r="B7" s="126"/>
      <c r="C7" s="172"/>
      <c r="D7" s="116"/>
      <c r="E7" s="116"/>
    </row>
    <row customHeight="1" ht="15">
      <c r="A8" s="116"/>
      <c r="B8" s="126" t="s">
        <v>51</v>
      </c>
      <c r="C8" s="173"/>
      <c r="D8" s="116"/>
      <c r="E8" s="116"/>
    </row>
    <row customHeight="1" ht="15">
      <c r="A9" s="116"/>
      <c r="B9" s="126" t="s">
        <v>53</v>
      </c>
      <c r="C9" s="170"/>
      <c r="D9" s="116"/>
      <c r="E9" s="116"/>
    </row>
    <row customHeight="1" ht="15">
      <c r="A10" s="116"/>
      <c r="B10" s="126"/>
      <c r="C10" s="170"/>
      <c r="D10" s="116"/>
      <c r="E10" s="116"/>
    </row>
    <row customHeight="1" ht="15">
      <c r="A11" s="116"/>
      <c r="B11" s="126" t="s">
        <v>55</v>
      </c>
      <c r="C11" s="174"/>
      <c r="D11" s="116"/>
      <c r="E11" s="116"/>
    </row>
    <row customHeight="1" ht="15">
      <c r="A12" s="116"/>
      <c r="B12" s="126" t="s">
        <v>57</v>
      </c>
      <c r="C12" s="174"/>
      <c r="D12" s="116"/>
      <c r="E12" s="116"/>
    </row>
    <row customHeight="1" ht="15">
      <c r="A13" s="116"/>
      <c r="B13" s="126" t="s">
        <v>59</v>
      </c>
      <c r="C13" s="174">
        <v>2160</v>
      </c>
      <c r="D13" s="116"/>
      <c r="E13" s="116"/>
    </row>
    <row customHeight="1" ht="15">
      <c r="A14" s="116"/>
      <c r="B14" s="126" t="s">
        <v>61</v>
      </c>
      <c r="C14" s="170"/>
      <c r="D14" s="116"/>
      <c r="E14" s="116"/>
    </row>
    <row customHeight="1" ht="15">
      <c r="A15" s="116"/>
      <c r="B15" s="126" t="s">
        <v>63</v>
      </c>
      <c r="C15" s="171">
        <v>168029</v>
      </c>
      <c r="D15" s="116"/>
      <c r="E15" s="116"/>
    </row>
    <row customHeight="1" ht="15">
      <c r="A16" s="116"/>
      <c r="B16" s="126" t="s">
        <v>65</v>
      </c>
      <c r="C16" s="170"/>
      <c r="D16" s="116"/>
      <c r="E16" s="116"/>
    </row>
    <row customHeight="1" ht="15">
      <c r="A17" s="116"/>
      <c r="B17" s="126" t="s">
        <v>67</v>
      </c>
      <c r="C17" s="170">
        <v>284126</v>
      </c>
      <c r="D17" s="116"/>
      <c r="E17" s="116"/>
    </row>
    <row customHeight="1" ht="15">
      <c r="A18" s="116"/>
      <c r="B18" s="126" t="s">
        <v>69</v>
      </c>
      <c r="C18" s="170">
        <v>271856</v>
      </c>
      <c r="D18" s="116"/>
      <c r="E18" s="116"/>
    </row>
    <row customHeight="1" ht="15">
      <c r="A19" s="116"/>
      <c r="B19" s="126" t="s">
        <v>71</v>
      </c>
      <c r="C19" s="174"/>
      <c r="D19" s="116"/>
      <c r="E19" s="116"/>
    </row>
    <row customHeight="1" ht="15">
      <c r="A20" s="116"/>
      <c r="B20" s="126" t="s">
        <v>73</v>
      </c>
      <c r="C20" s="175">
        <f>SUM(C11,C12,C13)</f>
        <v>2160</v>
      </c>
      <c r="D20" s="116"/>
      <c r="E20" s="116"/>
    </row>
    <row customHeight="1" ht="15">
      <c r="A21" s="116"/>
      <c r="B21" s="126"/>
      <c r="C21" s="171"/>
      <c r="D21" s="116"/>
      <c r="E21" s="116"/>
    </row>
    <row customHeight="1" ht="15">
      <c r="A22" s="116"/>
      <c r="B22" s="126" t="s">
        <v>75</v>
      </c>
      <c r="C22" s="170"/>
      <c r="D22" s="116"/>
      <c r="E22" s="116"/>
    </row>
    <row customHeight="1" ht="15">
      <c r="A23" s="116"/>
      <c r="B23" s="126"/>
      <c r="C23" s="170"/>
      <c r="D23" s="116"/>
      <c r="E23" s="116"/>
    </row>
    <row customHeight="1" ht="15">
      <c r="A24" s="116"/>
      <c r="B24" s="126" t="s">
        <v>77</v>
      </c>
      <c r="C24" s="170"/>
      <c r="D24" s="116"/>
      <c r="E24" s="116"/>
    </row>
    <row customHeight="1" ht="15">
      <c r="A25" s="116"/>
      <c r="B25" s="126" t="s">
        <v>79</v>
      </c>
      <c r="C25" s="176"/>
      <c r="D25" s="116"/>
      <c r="E25" s="116"/>
    </row>
    <row customHeight="1" ht="15">
      <c r="A26" s="116"/>
      <c r="B26" s="126" t="s">
        <v>81</v>
      </c>
      <c r="C26" s="177">
        <v>233</v>
      </c>
      <c r="D26" s="116"/>
      <c r="E26" s="116"/>
    </row>
    <row customHeight="1" ht="15">
      <c r="A27" s="116"/>
      <c r="B27" s="126" t="s">
        <v>83</v>
      </c>
      <c r="C27" s="177">
        <v>0.2887</v>
      </c>
      <c r="D27" s="116"/>
      <c r="E27" s="116"/>
    </row>
    <row customHeight="1" ht="15">
      <c r="A28" s="116"/>
      <c r="B28" s="126" t="s">
        <v>85</v>
      </c>
      <c r="C28" s="171"/>
      <c r="D28" s="116"/>
      <c r="E28" s="116"/>
    </row>
    <row customHeight="1" ht="15">
      <c r="A29" s="116"/>
      <c r="B29" s="126" t="s">
        <v>87</v>
      </c>
      <c r="C29" s="178">
        <f>SUM(B96:B97)</f>
        <v>233.0832</v>
      </c>
      <c r="D29" s="116"/>
      <c r="E29" s="116"/>
    </row>
    <row customHeight="1" ht="15">
      <c r="A30" s="116"/>
      <c r="B30" s="126" t="s">
        <v>89</v>
      </c>
      <c r="C30" s="177">
        <v>0</v>
      </c>
      <c r="D30" s="116"/>
      <c r="E30" s="116"/>
    </row>
    <row customHeight="1" ht="15">
      <c r="A31" s="116"/>
      <c r="B31" s="126" t="s">
        <v>91</v>
      </c>
      <c r="C31" s="177">
        <v>0</v>
      </c>
      <c r="D31" s="116"/>
      <c r="E31" s="179"/>
    </row>
    <row customHeight="1" ht="15">
      <c r="A32" s="116"/>
      <c r="B32" s="126"/>
      <c r="C32" s="171"/>
      <c r="D32" s="116"/>
      <c r="E32" s="116"/>
    </row>
    <row customHeight="1" ht="15">
      <c r="A33" s="116"/>
      <c r="B33" s="137" t="s">
        <v>95</v>
      </c>
      <c r="C33" s="171"/>
      <c r="D33" s="116"/>
      <c r="E33" s="116"/>
    </row>
    <row customHeight="1" ht="15">
      <c r="A34" s="116"/>
      <c r="B34" s="137" t="s">
        <v>97</v>
      </c>
      <c r="C34" s="171"/>
      <c r="D34" s="116"/>
      <c r="E34" s="116"/>
    </row>
    <row customHeight="1" ht="15">
      <c r="A35" s="116"/>
      <c r="B35" s="137" t="s">
        <v>99</v>
      </c>
      <c r="C35" s="171"/>
      <c r="D35" s="116"/>
      <c r="E35" s="116"/>
    </row>
    <row customHeight="1" ht="15">
      <c r="A36" s="116"/>
      <c r="B36" s="137" t="s">
        <v>101</v>
      </c>
      <c r="C36" s="171"/>
      <c r="D36" s="116"/>
      <c r="E36" s="116"/>
    </row>
    <row customHeight="1" ht="15">
      <c r="A37" s="116"/>
      <c r="B37" s="137" t="s">
        <v>103</v>
      </c>
      <c r="C37" s="171"/>
      <c r="D37" s="116"/>
      <c r="E37" s="116"/>
    </row>
    <row customHeight="1" ht="15">
      <c r="A38" s="116"/>
      <c r="B38" s="126" t="s">
        <v>105</v>
      </c>
      <c r="C38" s="171"/>
      <c r="D38" s="116"/>
      <c r="E38" s="116"/>
    </row>
    <row customHeight="1" ht="15">
      <c r="A39" s="116"/>
      <c r="B39" s="126"/>
      <c r="C39" s="171"/>
      <c r="D39" s="116"/>
      <c r="E39" s="116"/>
    </row>
    <row customHeight="1" ht="15">
      <c r="A40" s="116"/>
      <c r="B40" s="126" t="s">
        <v>107</v>
      </c>
      <c r="C40" s="171"/>
      <c r="D40" s="116"/>
      <c r="E40" s="116"/>
    </row>
    <row customHeight="1" ht="15">
      <c r="A41" s="116"/>
      <c r="B41" s="126" t="s">
        <v>109</v>
      </c>
      <c r="C41" s="171"/>
      <c r="D41" s="116"/>
      <c r="E41" s="116"/>
    </row>
    <row customHeight="1" ht="15">
      <c r="A42" s="116"/>
      <c r="B42" s="126" t="s">
        <v>111</v>
      </c>
      <c r="C42" s="171"/>
      <c r="D42" s="116"/>
      <c r="E42" s="116"/>
    </row>
    <row customHeight="1" ht="15">
      <c r="A43" s="116"/>
      <c r="B43" s="126" t="s">
        <v>113</v>
      </c>
      <c r="C43" s="171"/>
      <c r="D43" s="116"/>
      <c r="E43" s="116"/>
    </row>
    <row customHeight="1" ht="15">
      <c r="A44" s="116"/>
      <c r="B44" s="126" t="s">
        <v>115</v>
      </c>
      <c r="C44" s="171"/>
      <c r="D44" s="116"/>
      <c r="E44" s="116"/>
    </row>
    <row customHeight="1" ht="15">
      <c r="A45" s="116"/>
      <c r="B45" s="126" t="s">
        <v>117</v>
      </c>
      <c r="C45" s="180"/>
      <c r="D45" s="116"/>
      <c r="E45" s="116"/>
    </row>
    <row customHeight="1" ht="15">
      <c r="A46" s="116"/>
      <c r="B46" s="126"/>
      <c r="C46" s="181"/>
      <c r="D46" s="116"/>
      <c r="E46" s="116"/>
    </row>
    <row customHeight="1" ht="15">
      <c r="A47" s="116"/>
      <c r="B47" s="126" t="s">
        <v>119</v>
      </c>
      <c r="C47" s="171">
        <v>10753</v>
      </c>
      <c r="D47" s="116"/>
      <c r="E47" s="116"/>
    </row>
    <row customHeight="1" ht="15">
      <c r="A48" s="116"/>
      <c r="B48" s="126" t="s">
        <v>121</v>
      </c>
      <c r="C48" s="182"/>
      <c r="D48" s="116"/>
      <c r="E48" s="116"/>
    </row>
    <row customHeight="1" ht="15">
      <c r="A49" s="116"/>
      <c r="B49" s="126"/>
      <c r="C49" s="182"/>
      <c r="D49" s="116"/>
      <c r="E49" s="116"/>
    </row>
    <row customHeight="1" ht="15">
      <c r="A50" s="116"/>
      <c r="B50" s="126"/>
      <c r="C50" s="178"/>
      <c r="D50" s="116"/>
      <c r="E50" s="116"/>
    </row>
    <row customHeight="1" ht="15">
      <c r="A51" s="116"/>
      <c r="B51" s="126" t="s">
        <v>123</v>
      </c>
      <c r="C51" s="183"/>
      <c r="D51" s="116"/>
      <c r="E51" s="116"/>
    </row>
    <row customHeight="1" ht="15">
      <c r="A52" s="116"/>
      <c r="B52" s="126" t="s">
        <v>125</v>
      </c>
      <c r="C52" s="171">
        <v>7112</v>
      </c>
      <c r="D52" s="116"/>
      <c r="E52" s="116"/>
    </row>
    <row customHeight="1" ht="15">
      <c r="A53" s="116"/>
      <c r="B53" s="126"/>
      <c r="C53" s="171"/>
      <c r="D53" s="116"/>
      <c r="E53" s="116"/>
    </row>
    <row customHeight="1" ht="15">
      <c r="A54" s="116"/>
      <c r="B54" s="126"/>
      <c r="C54" s="171"/>
      <c r="D54" s="116"/>
      <c r="E54" s="116"/>
    </row>
    <row customHeight="1" ht="15">
      <c r="A55" s="116"/>
      <c r="B55" s="126"/>
      <c r="C55" s="171"/>
      <c r="D55" s="116"/>
      <c r="E55" s="116"/>
    </row>
    <row customHeight="1" ht="15">
      <c r="A56" s="116"/>
      <c r="B56" s="126"/>
      <c r="C56" s="171"/>
      <c r="D56" s="116"/>
      <c r="E56" s="116"/>
    </row>
    <row customHeight="1" ht="15">
      <c r="A57" s="116"/>
      <c r="B57" s="126" t="s">
        <v>127</v>
      </c>
      <c r="C57" s="170"/>
      <c r="D57" s="116"/>
      <c r="E57" s="116"/>
    </row>
    <row customHeight="1" ht="15">
      <c r="A58" s="116"/>
      <c r="B58" s="116"/>
      <c r="C58" s="116"/>
      <c r="D58" s="116"/>
      <c r="E58" s="116"/>
    </row>
    <row customHeight="1" ht="15">
      <c r="A59" s="116"/>
      <c r="B59" s="116"/>
      <c r="C59" s="116"/>
      <c r="D59" s="116"/>
      <c r="E59" s="116"/>
    </row>
    <row customHeight="1" ht="15">
      <c r="A60" s="116"/>
      <c r="B60" s="116"/>
      <c r="C60" s="116"/>
      <c r="D60" s="116"/>
      <c r="E60" s="116"/>
    </row>
    <row customHeight="1" ht="15">
      <c r="A61" s="116"/>
      <c r="B61" s="116"/>
      <c r="C61" s="116"/>
      <c r="D61" s="116"/>
      <c r="E61" s="116"/>
    </row>
    <row customHeight="1" ht="15">
      <c r="A62" s="116"/>
      <c r="B62" s="116"/>
      <c r="C62" s="116"/>
      <c r="D62" s="116"/>
      <c r="E62" s="116"/>
    </row>
    <row customHeight="1" ht="15">
      <c r="A63" s="184" t="s">
        <v>201</v>
      </c>
      <c r="B63" s="185"/>
      <c r="C63" s="116"/>
      <c r="D63" s="116"/>
      <c r="E63" s="116"/>
    </row>
    <row customHeight="1" ht="15">
      <c r="A64" s="116"/>
      <c r="B64" s="173"/>
      <c r="C64" s="116"/>
      <c r="D64" s="116"/>
      <c r="E64" s="116"/>
    </row>
    <row customHeight="1" ht="15">
      <c r="A65" s="184" t="s">
        <v>202</v>
      </c>
      <c r="B65" s="184"/>
      <c r="C65" s="116"/>
      <c r="D65" s="116"/>
      <c r="E65" s="116"/>
    </row>
    <row customHeight="1" ht="15">
      <c r="A66" s="116"/>
      <c r="B66" s="184"/>
      <c r="C66" s="116"/>
      <c r="D66" s="116"/>
      <c r="E66" s="116"/>
    </row>
    <row customHeight="1" ht="15">
      <c r="A67" s="116"/>
      <c r="B67" s="184">
        <v>96000</v>
      </c>
      <c r="C67" s="116"/>
      <c r="D67" s="116"/>
      <c r="E67" s="116"/>
    </row>
    <row customHeight="1" ht="15">
      <c r="A68" s="184" t="s">
        <v>203</v>
      </c>
      <c r="B68" s="184"/>
      <c r="C68" s="116"/>
      <c r="D68" s="116"/>
      <c r="E68" s="116"/>
    </row>
    <row customHeight="1" ht="15">
      <c r="A69" s="116"/>
      <c r="B69" s="184"/>
      <c r="C69" s="116"/>
      <c r="D69" s="116"/>
      <c r="E69" s="116"/>
    </row>
    <row customHeight="1" ht="15">
      <c r="A70" s="116"/>
      <c r="B70" s="184"/>
      <c r="C70" s="116"/>
      <c r="D70" s="116"/>
      <c r="E70" s="116"/>
    </row>
    <row customHeight="1" ht="15">
      <c r="A71" s="184" t="s">
        <v>204</v>
      </c>
      <c r="B71" s="184"/>
      <c r="C71" s="116"/>
      <c r="D71" s="116"/>
      <c r="E71" s="116"/>
    </row>
    <row customHeight="1" ht="15">
      <c r="A72" s="116"/>
      <c r="B72" s="184"/>
      <c r="C72" s="116"/>
      <c r="D72" s="116"/>
      <c r="E72" s="116"/>
    </row>
    <row customHeight="1" ht="15">
      <c r="A73" s="184" t="s">
        <v>205</v>
      </c>
      <c r="B73" s="184"/>
      <c r="C73" s="116"/>
      <c r="D73" s="116"/>
      <c r="E73" s="116"/>
    </row>
    <row customHeight="1" ht="15">
      <c r="A74" s="184" t="s">
        <v>206</v>
      </c>
      <c r="B74" s="184"/>
      <c r="C74" s="116"/>
      <c r="D74" s="116"/>
      <c r="E74" s="116"/>
    </row>
    <row customHeight="1" ht="15">
      <c r="A75" s="116"/>
      <c r="B75" s="184"/>
      <c r="C75" s="116"/>
      <c r="D75" s="116"/>
      <c r="E75" s="116"/>
    </row>
    <row customHeight="1" ht="15">
      <c r="A76" s="184" t="s">
        <v>207</v>
      </c>
      <c r="B76" s="184"/>
      <c r="C76" s="116"/>
      <c r="D76" s="116"/>
      <c r="E76" s="116"/>
    </row>
    <row customHeight="1" ht="15">
      <c r="A77" s="116"/>
      <c r="B77" s="184"/>
      <c r="C77" s="116"/>
      <c r="D77" s="116"/>
      <c r="E77" s="116"/>
    </row>
    <row customHeight="1" ht="15">
      <c r="A78" s="184" t="s">
        <v>208</v>
      </c>
      <c r="B78" s="184"/>
      <c r="C78" s="116"/>
      <c r="D78" s="116"/>
      <c r="E78" s="116"/>
    </row>
    <row customHeight="1" ht="15">
      <c r="A79" s="116"/>
      <c r="B79" s="184"/>
      <c r="C79" s="116"/>
      <c r="D79" s="116"/>
      <c r="E79" s="116"/>
    </row>
    <row customHeight="1" ht="15">
      <c r="A80" s="184" t="s">
        <v>209</v>
      </c>
      <c r="B80" s="184"/>
      <c r="C80" s="116"/>
      <c r="D80" s="116"/>
      <c r="E80" s="116"/>
    </row>
    <row customHeight="1" ht="15">
      <c r="A81" s="116"/>
      <c r="B81" s="184"/>
      <c r="C81" s="116"/>
      <c r="D81" s="116"/>
      <c r="E81" s="116"/>
    </row>
    <row customHeight="1" ht="15">
      <c r="A82" s="116"/>
      <c r="B82" s="184"/>
      <c r="C82" s="116"/>
      <c r="D82" s="116"/>
      <c r="E82" s="116"/>
    </row>
    <row customHeight="1" ht="15">
      <c r="A83" s="116"/>
      <c r="B83" s="184"/>
      <c r="C83" s="116"/>
      <c r="D83" s="116"/>
      <c r="E83" s="116"/>
    </row>
    <row customHeight="1" ht="15">
      <c r="A84" s="116"/>
      <c r="B84" s="184"/>
      <c r="C84" s="116"/>
      <c r="D84" s="116"/>
      <c r="E84" s="116"/>
    </row>
    <row customHeight="1" ht="15">
      <c r="A85" s="116"/>
      <c r="B85" s="184"/>
      <c r="C85" s="116"/>
      <c r="D85" s="116"/>
      <c r="E85" s="116"/>
    </row>
    <row customHeight="1" ht="15">
      <c r="A86" s="116"/>
      <c r="B86" s="184"/>
      <c r="C86" s="116"/>
      <c r="D86" s="116"/>
      <c r="E86" s="116"/>
    </row>
    <row customHeight="1" ht="15">
      <c r="A87" s="116"/>
      <c r="B87" s="184"/>
      <c r="C87" s="116"/>
      <c r="D87" s="116"/>
      <c r="E87" s="116"/>
    </row>
    <row customHeight="1" ht="15">
      <c r="A88" s="116"/>
      <c r="B88" s="184"/>
      <c r="C88" s="116"/>
      <c r="D88" s="116"/>
      <c r="E88" s="116"/>
    </row>
    <row customHeight="1" ht="15">
      <c r="A89" s="116"/>
      <c r="B89" s="184"/>
      <c r="C89" s="116"/>
      <c r="D89" s="116"/>
      <c r="E89" s="116"/>
    </row>
    <row customHeight="1" ht="15">
      <c r="A90" s="116"/>
      <c r="B90" s="184"/>
      <c r="C90" s="116"/>
      <c r="D90" s="116"/>
      <c r="E90" s="116"/>
    </row>
    <row customHeight="1" ht="15">
      <c r="A91" s="116"/>
      <c r="B91" s="184"/>
      <c r="C91" s="116"/>
      <c r="D91" s="116"/>
      <c r="E91" s="116"/>
    </row>
    <row customHeight="1" ht="15">
      <c r="A92" s="116"/>
      <c r="B92" s="184"/>
      <c r="C92" s="116"/>
      <c r="D92" s="116"/>
      <c r="E92" s="116"/>
    </row>
    <row customHeight="1" ht="15">
      <c r="A93" s="116"/>
      <c r="B93" s="184"/>
      <c r="C93" s="116"/>
      <c r="D93" s="116"/>
      <c r="E93" s="116"/>
    </row>
    <row customHeight="1" ht="15">
      <c r="A94" s="184" t="s">
        <v>210</v>
      </c>
      <c r="B94" s="184"/>
      <c r="C94" s="116"/>
      <c r="D94" s="116"/>
      <c r="E94" s="116"/>
    </row>
    <row customHeight="1" ht="15">
      <c r="A95" s="116"/>
      <c r="B95" s="184"/>
      <c r="C95" s="116"/>
      <c r="D95" s="116"/>
      <c r="E95" s="116"/>
    </row>
    <row customHeight="1" ht="15">
      <c r="A96" s="184" t="s">
        <v>211</v>
      </c>
      <c r="B96" s="173">
        <v>233.0002</v>
      </c>
      <c r="C96" s="116"/>
      <c r="D96" s="116"/>
      <c r="E96" s="116"/>
    </row>
    <row customHeight="1" ht="15">
      <c r="A97" s="116"/>
      <c r="B97" s="173">
        <v>0.083</v>
      </c>
      <c r="C97" s="116"/>
      <c r="D97" s="116"/>
      <c r="E97" s="116"/>
    </row>
    <row customHeight="1" ht="15">
      <c r="A98" s="184" t="s">
        <v>212</v>
      </c>
      <c r="B98" s="184"/>
      <c r="C98" s="116"/>
      <c r="D98" s="116"/>
      <c r="E98" s="116"/>
    </row>
    <row customHeight="1" ht="15">
      <c r="A99" s="116"/>
      <c r="B99" s="184"/>
      <c r="C99" s="116"/>
      <c r="D99" s="116"/>
      <c r="E99" s="116"/>
    </row>
    <row customHeight="1" ht="15">
      <c r="A100" s="184" t="s">
        <v>213</v>
      </c>
      <c r="B100" s="184"/>
      <c r="C100" s="116"/>
      <c r="D100" s="116"/>
      <c r="E100" s="116"/>
    </row>
    <row customHeight="1" ht="15">
      <c r="A101" s="116"/>
      <c r="B101" s="184"/>
      <c r="C101" s="116"/>
      <c r="D101" s="116"/>
      <c r="E101" s="116"/>
    </row>
    <row customHeight="1" ht="15">
      <c r="A102" s="184" t="s">
        <v>214</v>
      </c>
      <c r="B102" s="184"/>
      <c r="C102" s="116"/>
      <c r="D102" s="116"/>
      <c r="E102" s="116"/>
    </row>
    <row customHeight="1" ht="15">
      <c r="A103" s="184" t="s">
        <v>215</v>
      </c>
      <c r="B103" s="184"/>
      <c r="C103" s="116"/>
      <c r="D103" s="116"/>
      <c r="E103" s="116"/>
    </row>
    <row customHeight="1" ht="15">
      <c r="A104" s="184" t="s">
        <v>216</v>
      </c>
      <c r="B104" s="184"/>
      <c r="C104" s="116"/>
      <c r="D104" s="116"/>
      <c r="E104" s="116"/>
    </row>
    <row customHeight="1" ht="15">
      <c r="A105" s="184" t="s">
        <v>217</v>
      </c>
      <c r="B105" s="184">
        <v>70541</v>
      </c>
      <c r="C105" s="116"/>
      <c r="D105" s="116"/>
      <c r="E105" s="116"/>
    </row>
    <row customHeight="1" ht="15">
      <c r="A106" s="116"/>
      <c r="B106" s="184">
        <v>588066</v>
      </c>
      <c r="C106" s="116"/>
      <c r="D106" s="116"/>
      <c r="E106" s="116"/>
    </row>
    <row customHeight="1" ht="15">
      <c r="A107" s="116"/>
      <c r="B107" s="116"/>
      <c r="C107" s="116"/>
      <c r="D107" s="116"/>
      <c r="E107" s="116"/>
    </row>
    <row customHeight="1" ht="15">
      <c r="A108" s="116" t="s">
        <v>218</v>
      </c>
      <c r="B108" s="184"/>
      <c r="C108" s="116"/>
      <c r="D108" s="116"/>
      <c r="E108" s="116"/>
    </row>
    <row customHeight="1" ht="15">
      <c r="A109" s="116"/>
      <c r="B109" s="116"/>
      <c r="C109" s="116"/>
      <c r="D109" s="116"/>
      <c r="E109" s="116"/>
    </row>
    <row customHeight="1" ht="15">
      <c r="A110" s="116"/>
      <c r="B110" s="186"/>
      <c r="C110" s="116"/>
      <c r="D110" s="116"/>
      <c r="E110" s="116"/>
    </row>
    <row customHeight="1" ht="15">
      <c r="A111" s="116"/>
      <c r="B111" s="186"/>
      <c r="C111" s="116"/>
      <c r="D111" s="116"/>
      <c r="E111" s="116"/>
    </row>
    <row customHeight="1" ht="15">
      <c r="A112" s="116"/>
      <c r="B112" s="186"/>
      <c r="C112" s="116"/>
      <c r="D112" s="116"/>
      <c r="E112" s="116"/>
    </row>
    <row customHeight="1" ht="15">
      <c r="A113" s="187"/>
      <c r="B113" s="116"/>
      <c r="C113" s="116"/>
      <c r="D113" s="116"/>
      <c r="E113" s="116"/>
    </row>
    <row customHeight="1" ht="15">
      <c r="A114" s="187"/>
      <c r="B114" s="116"/>
      <c r="C114" s="116"/>
      <c r="D114" s="116"/>
      <c r="E114" s="116"/>
    </row>
    <row customHeight="1" ht="15">
      <c r="A115" s="116"/>
      <c r="B115" s="116"/>
      <c r="C115" s="116"/>
      <c r="D115" s="116"/>
      <c r="E115" s="116"/>
    </row>
    <row customHeight="1" ht="15">
      <c r="A116" s="116"/>
      <c r="B116" s="116"/>
      <c r="C116" s="116"/>
      <c r="D116" s="116"/>
      <c r="E116" s="116"/>
    </row>
    <row customHeight="1" ht="15">
      <c r="A117" s="116"/>
      <c r="B117" s="116"/>
      <c r="C117" s="116"/>
      <c r="D117" s="116"/>
      <c r="E117" s="116"/>
    </row>
  </sheetData>
  <mergeCells count="1">
    <mergeCell ref="B2:B4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BC033A-34F8-94B8-B6B8-7CAB5F070EF4}" mc:Ignorable="x14ac xr xr2 xr3">
  <dimension ref="A1:Q59"/>
  <sheetViews>
    <sheetView topLeftCell="A7" workbookViewId="0">
      <selection activeCell="D26" sqref="D26"/>
    </sheetView>
  </sheetViews>
  <sheetFormatPr customHeight="1" defaultRowHeight="15.600000000000001"/>
  <sheetData>
    <row customHeight="1" ht="15.60000000000000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customHeight="1" ht="26.25">
      <c r="A2" s="49" t="s">
        <v>4</v>
      </c>
      <c r="B2" s="49" t="s">
        <v>5</v>
      </c>
      <c r="C2" s="49" t="s">
        <v>6</v>
      </c>
      <c r="D2" s="49" t="s">
        <v>7</v>
      </c>
      <c r="E2" s="49" t="s">
        <v>8</v>
      </c>
      <c r="F2" s="49" t="s">
        <v>11</v>
      </c>
      <c r="G2" s="49" t="s">
        <v>12</v>
      </c>
      <c r="H2" s="49" t="s">
        <v>13</v>
      </c>
      <c r="I2" s="49" t="s">
        <v>14</v>
      </c>
      <c r="J2" s="49" t="s">
        <v>15</v>
      </c>
      <c r="K2" s="49" t="s">
        <v>16</v>
      </c>
      <c r="L2" s="49" t="s">
        <v>17</v>
      </c>
      <c r="M2" s="49" t="s">
        <v>18</v>
      </c>
      <c r="N2" s="49" t="s">
        <v>19</v>
      </c>
      <c r="O2" s="49" t="s">
        <v>20</v>
      </c>
      <c r="P2" s="49" t="s">
        <v>21</v>
      </c>
      <c r="Q2" s="49" t="s">
        <v>22</v>
      </c>
    </row>
    <row customHeight="1" ht="15.75">
      <c r="A3" s="49" t="s">
        <v>23</v>
      </c>
      <c r="B3" s="49" t="s">
        <v>23</v>
      </c>
      <c r="C3" s="49" t="s">
        <v>23</v>
      </c>
      <c r="D3" s="49" t="s">
        <v>23</v>
      </c>
      <c r="E3" s="49" t="s">
        <v>23</v>
      </c>
      <c r="F3" s="49" t="s">
        <v>24</v>
      </c>
      <c r="G3" s="49" t="s">
        <v>23</v>
      </c>
      <c r="H3" s="49" t="s">
        <v>23</v>
      </c>
      <c r="I3" s="49" t="s">
        <v>23</v>
      </c>
      <c r="J3" s="49" t="s">
        <v>23</v>
      </c>
      <c r="K3" s="49" t="s">
        <v>23</v>
      </c>
      <c r="L3" s="49" t="s">
        <v>23</v>
      </c>
      <c r="M3" s="49" t="s">
        <v>23</v>
      </c>
      <c r="N3" s="49" t="s">
        <v>25</v>
      </c>
      <c r="O3" s="49" t="s">
        <v>23</v>
      </c>
      <c r="P3" s="49" t="s">
        <v>26</v>
      </c>
      <c r="Q3" s="49" t="s">
        <v>23</v>
      </c>
    </row>
    <row customHeight="1" ht="15.75">
      <c r="A4" s="49" t="s">
        <v>28</v>
      </c>
      <c r="B4" s="49" t="s">
        <v>29</v>
      </c>
      <c r="C4" s="49" t="s">
        <v>30</v>
      </c>
      <c r="D4" s="49" t="s">
        <v>31</v>
      </c>
      <c r="E4" s="49" t="s">
        <v>32</v>
      </c>
      <c r="F4" s="49" t="s">
        <v>35</v>
      </c>
      <c r="G4" s="49" t="s">
        <v>36</v>
      </c>
      <c r="H4" s="49" t="s">
        <v>37</v>
      </c>
      <c r="I4" s="49" t="s">
        <v>38</v>
      </c>
      <c r="J4" s="49" t="s">
        <v>39</v>
      </c>
      <c r="K4" s="49" t="s">
        <v>40</v>
      </c>
      <c r="L4" s="49" t="s">
        <v>41</v>
      </c>
      <c r="M4" s="49" t="s">
        <v>42</v>
      </c>
      <c r="N4" s="49" t="s">
        <v>43</v>
      </c>
      <c r="O4" s="49" t="s">
        <v>44</v>
      </c>
      <c r="P4" s="49" t="s">
        <v>45</v>
      </c>
      <c r="Q4" s="49">
        <v>0</v>
      </c>
    </row>
    <row customHeight="1" ht="15.75">
      <c r="A5" s="170">
        <v>11595403</v>
      </c>
      <c r="B5" s="170">
        <v>0</v>
      </c>
      <c r="C5" s="170">
        <v>363461</v>
      </c>
      <c r="D5" s="170">
        <v>22052</v>
      </c>
      <c r="E5" s="170">
        <v>0</v>
      </c>
      <c r="F5" s="170">
        <v>27549341</v>
      </c>
      <c r="G5" s="170">
        <v>31521</v>
      </c>
      <c r="H5" s="170">
        <v>47039</v>
      </c>
      <c r="I5" s="170">
        <v>0</v>
      </c>
      <c r="J5" s="170">
        <v>13084</v>
      </c>
      <c r="K5" s="170">
        <v>0</v>
      </c>
      <c r="L5" s="170">
        <v>0</v>
      </c>
      <c r="M5" s="170">
        <v>0</v>
      </c>
      <c r="N5" s="170">
        <v>0</v>
      </c>
      <c r="O5" s="170">
        <v>12044</v>
      </c>
      <c r="P5" s="170"/>
      <c r="Q5" s="170"/>
    </row>
    <row customHeight="1" ht="15.75">
      <c r="A6" s="171">
        <v>9551</v>
      </c>
      <c r="B6" s="171"/>
      <c r="C6" s="171">
        <v>12887</v>
      </c>
      <c r="D6" s="171"/>
      <c r="E6" s="171"/>
      <c r="F6" s="182"/>
      <c r="G6" s="171"/>
      <c r="H6" s="171">
        <v>10810</v>
      </c>
      <c r="I6" s="171"/>
      <c r="J6" s="171">
        <v>4455</v>
      </c>
      <c r="K6" s="171"/>
      <c r="L6" s="171"/>
      <c r="M6" s="171"/>
      <c r="N6" s="171"/>
      <c r="O6" s="171"/>
      <c r="P6" s="171"/>
      <c r="Q6" s="171"/>
    </row>
    <row customHeight="1" ht="15.75">
      <c r="A7" s="171"/>
      <c r="B7" s="171"/>
      <c r="C7" s="171"/>
      <c r="D7" s="171"/>
      <c r="E7" s="171"/>
      <c r="F7" s="182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customHeight="1" ht="15.75">
      <c r="A8" s="171">
        <f>SUM(取值!B65:B67)</f>
        <v>96000</v>
      </c>
      <c r="B8" s="171"/>
      <c r="C8" s="171">
        <f>SUM(取值!B68:B70)</f>
        <v>0</v>
      </c>
      <c r="D8" s="171">
        <v>22052</v>
      </c>
      <c r="E8" s="171"/>
      <c r="F8" s="188"/>
      <c r="G8" s="171">
        <f>SUM(取值!B71:B72)</f>
        <v>0</v>
      </c>
      <c r="H8" s="171"/>
      <c r="I8" s="171"/>
      <c r="J8" s="171">
        <f>SUM(取值!B80:B88)-SUM(取值!B89:B93)</f>
        <v>0</v>
      </c>
      <c r="K8" s="171"/>
      <c r="L8" s="171"/>
      <c r="M8" s="171"/>
      <c r="N8" s="171"/>
      <c r="O8" s="171">
        <f>SUM(取值!B94:B95)</f>
        <v>0</v>
      </c>
      <c r="P8" s="171"/>
      <c r="Q8" s="171"/>
    </row>
    <row customHeight="1" ht="15.75">
      <c r="A9" s="170"/>
      <c r="B9" s="170"/>
      <c r="C9" s="170"/>
      <c r="D9" s="170"/>
      <c r="E9" s="170"/>
      <c r="F9" s="170"/>
      <c r="G9" s="182"/>
      <c r="H9" s="170"/>
      <c r="I9" s="170"/>
      <c r="J9" s="170"/>
      <c r="K9" s="170"/>
      <c r="L9" s="170"/>
      <c r="M9" s="170"/>
      <c r="N9" s="170"/>
      <c r="O9" s="170"/>
      <c r="P9" s="170"/>
      <c r="Q9" s="170"/>
    </row>
    <row customHeight="1" ht="15.75">
      <c r="A10" s="170"/>
      <c r="B10" s="170"/>
      <c r="C10" s="170"/>
      <c r="D10" s="170"/>
      <c r="E10" s="170"/>
      <c r="F10" s="170"/>
      <c r="G10" s="182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customHeight="1" ht="15.75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</row>
    <row customHeight="1" ht="15.75">
      <c r="A12" s="170"/>
      <c r="B12" s="170"/>
      <c r="C12" s="170"/>
      <c r="D12" s="170"/>
      <c r="E12" s="170"/>
      <c r="F12" s="170"/>
      <c r="G12" s="170">
        <v>-36229</v>
      </c>
      <c r="H12" s="170">
        <v>36229</v>
      </c>
      <c r="I12" s="170"/>
      <c r="J12" s="170"/>
      <c r="K12" s="170"/>
      <c r="L12" s="170"/>
      <c r="M12" s="170"/>
      <c r="N12" s="170"/>
      <c r="O12" s="170"/>
      <c r="P12" s="170"/>
      <c r="Q12" s="170"/>
    </row>
    <row customHeight="1" ht="15.75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</row>
    <row customHeight="1" ht="15.75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</row>
    <row customHeight="1" ht="15.75">
      <c r="A15" s="171">
        <v>2287029</v>
      </c>
      <c r="B15" s="171"/>
      <c r="C15" s="171">
        <v>55880</v>
      </c>
      <c r="D15" s="171"/>
      <c r="E15" s="171"/>
      <c r="F15" s="171">
        <v>6093401</v>
      </c>
      <c r="G15" s="171">
        <v>29760</v>
      </c>
      <c r="H15" s="171">
        <v>21655</v>
      </c>
      <c r="I15" s="171"/>
      <c r="J15" s="171">
        <v>118</v>
      </c>
      <c r="K15" s="171"/>
      <c r="L15" s="171"/>
      <c r="M15" s="171"/>
      <c r="N15" s="171"/>
      <c r="O15" s="171"/>
      <c r="P15" s="171"/>
      <c r="Q15" s="171"/>
    </row>
    <row customHeight="1" ht="15.75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</row>
    <row customHeight="1" ht="15.75">
      <c r="A17" s="170">
        <v>9308374</v>
      </c>
      <c r="B17" s="170">
        <v>0</v>
      </c>
      <c r="C17" s="170">
        <v>307581</v>
      </c>
      <c r="D17" s="170">
        <v>22052</v>
      </c>
      <c r="E17" s="170">
        <v>0</v>
      </c>
      <c r="F17" s="170">
        <v>21455940</v>
      </c>
      <c r="G17" s="170">
        <v>1761</v>
      </c>
      <c r="H17" s="170">
        <v>25384</v>
      </c>
      <c r="I17" s="170">
        <v>0</v>
      </c>
      <c r="J17" s="170">
        <v>12966</v>
      </c>
      <c r="K17" s="170">
        <v>0</v>
      </c>
      <c r="L17" s="170">
        <v>0</v>
      </c>
      <c r="M17" s="170">
        <v>0</v>
      </c>
      <c r="N17" s="170">
        <v>0</v>
      </c>
      <c r="O17" s="170">
        <v>12044</v>
      </c>
      <c r="P17" s="170"/>
      <c r="Q17" s="170"/>
    </row>
    <row customHeight="1" ht="15.75">
      <c r="A18" s="170">
        <v>0</v>
      </c>
      <c r="B18" s="170">
        <v>0</v>
      </c>
      <c r="C18" s="170">
        <v>68976</v>
      </c>
      <c r="D18" s="170">
        <v>0</v>
      </c>
      <c r="E18" s="170">
        <v>0</v>
      </c>
      <c r="F18" s="170">
        <v>3425714</v>
      </c>
      <c r="G18" s="170">
        <v>0</v>
      </c>
      <c r="H18" s="170">
        <v>0</v>
      </c>
      <c r="I18" s="170">
        <v>0</v>
      </c>
      <c r="J18" s="170">
        <v>4969</v>
      </c>
      <c r="K18" s="170">
        <v>0</v>
      </c>
      <c r="L18" s="170">
        <v>0</v>
      </c>
      <c r="M18" s="170">
        <v>0</v>
      </c>
      <c r="N18" s="170">
        <v>0</v>
      </c>
      <c r="O18" s="170">
        <v>0</v>
      </c>
      <c r="P18" s="170"/>
      <c r="Q18" s="170"/>
    </row>
    <row customHeight="1" ht="15.75">
      <c r="A19" s="171"/>
      <c r="B19" s="171"/>
      <c r="C19" s="171"/>
      <c r="D19" s="171"/>
      <c r="E19" s="171"/>
      <c r="F19" s="182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>
        <v>451388</v>
      </c>
    </row>
    <row customHeight="1" ht="15.75">
      <c r="A20" s="171"/>
      <c r="B20" s="171"/>
      <c r="C20" s="171"/>
      <c r="D20" s="171"/>
      <c r="E20" s="171"/>
      <c r="F20" s="182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>
        <v>11585852</v>
      </c>
    </row>
    <row customHeight="1" ht="15.75">
      <c r="A21" s="171"/>
      <c r="B21" s="171"/>
      <c r="C21" s="171"/>
      <c r="D21" s="171"/>
      <c r="E21" s="171"/>
      <c r="F21" s="182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</row>
    <row customHeight="1" ht="15.75">
      <c r="A22" s="170"/>
      <c r="B22" s="170"/>
      <c r="C22" s="170"/>
      <c r="D22" s="170"/>
      <c r="E22" s="170"/>
      <c r="F22" s="182"/>
      <c r="G22" s="170"/>
      <c r="H22" s="170">
        <f>SUM(取值!B78:B79)</f>
        <v>0</v>
      </c>
      <c r="I22" s="170"/>
      <c r="J22" s="170"/>
      <c r="K22" s="170"/>
      <c r="L22" s="170"/>
      <c r="M22" s="170"/>
      <c r="N22" s="170"/>
      <c r="O22" s="170"/>
      <c r="P22" s="170"/>
      <c r="Q22" s="170">
        <v>0</v>
      </c>
    </row>
    <row customHeight="1" ht="15.75">
      <c r="A23" s="170"/>
      <c r="B23" s="170"/>
      <c r="C23" s="170"/>
      <c r="D23" s="170"/>
      <c r="E23" s="170"/>
      <c r="F23" s="182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</row>
    <row customHeight="1" ht="15.75">
      <c r="A24" s="170"/>
      <c r="B24" s="170"/>
      <c r="C24" s="170">
        <f>SUM(取值!B74:B75)</f>
        <v>0</v>
      </c>
      <c r="D24" s="170"/>
      <c r="E24" s="170"/>
      <c r="F24" s="182"/>
      <c r="G24" s="170"/>
      <c r="H24" s="170"/>
      <c r="I24" s="170"/>
      <c r="J24" s="170">
        <f>SUM(取值!B76:B77)*0.727/1000</f>
        <v>0</v>
      </c>
      <c r="K24" s="170"/>
      <c r="L24" s="170"/>
      <c r="M24" s="170"/>
      <c r="N24" s="170"/>
      <c r="O24" s="170"/>
      <c r="P24" s="170"/>
      <c r="Q24" s="170">
        <v>67750</v>
      </c>
    </row>
    <row customHeight="1" ht="15.75">
      <c r="A25" s="170">
        <v>5985147</v>
      </c>
      <c r="B25" s="170">
        <v>0</v>
      </c>
      <c r="C25" s="170">
        <v>208019</v>
      </c>
      <c r="D25" s="170">
        <v>22052</v>
      </c>
      <c r="E25" s="170">
        <v>0</v>
      </c>
      <c r="F25" s="170">
        <v>9779545</v>
      </c>
      <c r="G25" s="170">
        <v>1761</v>
      </c>
      <c r="H25" s="170">
        <v>-22338</v>
      </c>
      <c r="I25" s="170">
        <v>0</v>
      </c>
      <c r="J25" s="170">
        <v>7997</v>
      </c>
      <c r="K25" s="170">
        <v>0</v>
      </c>
      <c r="L25" s="170">
        <v>0</v>
      </c>
      <c r="M25" s="170">
        <v>0</v>
      </c>
      <c r="N25" s="170">
        <v>0</v>
      </c>
      <c r="O25" s="170">
        <v>12044</v>
      </c>
      <c r="P25" s="170"/>
      <c r="Q25" s="170"/>
    </row>
    <row customHeight="1" ht="15.75">
      <c r="A26" s="182"/>
      <c r="B26" s="171"/>
      <c r="C26" s="182"/>
      <c r="D26" s="182"/>
      <c r="E26" s="171"/>
      <c r="F26" s="178"/>
      <c r="G26" s="171"/>
      <c r="H26" s="182"/>
      <c r="I26" s="171"/>
      <c r="J26" s="182"/>
      <c r="K26" s="171"/>
      <c r="L26" s="171"/>
      <c r="M26" s="171"/>
      <c r="N26" s="171"/>
      <c r="O26" s="171"/>
      <c r="P26" s="171"/>
      <c r="Q26" s="182">
        <v>13555</v>
      </c>
    </row>
    <row customHeight="1" ht="15.75">
      <c r="A27" s="182"/>
      <c r="B27" s="171"/>
      <c r="C27" s="171"/>
      <c r="D27" s="171"/>
      <c r="E27" s="171"/>
      <c r="F27" s="171"/>
      <c r="G27" s="171"/>
      <c r="H27" s="182"/>
      <c r="I27" s="171"/>
      <c r="J27" s="171"/>
      <c r="K27" s="171"/>
      <c r="L27" s="171"/>
      <c r="M27" s="171"/>
      <c r="N27" s="171"/>
      <c r="O27" s="171"/>
      <c r="P27" s="171"/>
      <c r="Q27" s="182">
        <v>989</v>
      </c>
    </row>
    <row customHeight="1" ht="15.75">
      <c r="A28" s="171"/>
      <c r="B28" s="171"/>
      <c r="C28" s="171"/>
      <c r="D28" s="171"/>
      <c r="E28" s="171"/>
      <c r="F28" s="182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</row>
    <row customHeight="1" ht="15.75">
      <c r="A29" s="182">
        <f>SUM(取值!B98:B99)</f>
        <v>0</v>
      </c>
      <c r="B29" s="171"/>
      <c r="C29" s="182">
        <f>SUM(取值!B100:B101)</f>
        <v>0</v>
      </c>
      <c r="D29" s="171"/>
      <c r="E29" s="171"/>
      <c r="F29" s="178"/>
      <c r="G29" s="182">
        <f>取值!B102*取值!C1</f>
        <v>0</v>
      </c>
      <c r="H29" s="182">
        <f>取值!B103*取值!C1</f>
        <v>0</v>
      </c>
      <c r="I29" s="171"/>
      <c r="J29" s="182"/>
      <c r="K29" s="171"/>
      <c r="L29" s="171"/>
      <c r="M29" s="171"/>
      <c r="N29" s="171"/>
      <c r="O29" s="178">
        <v>320</v>
      </c>
      <c r="P29" s="171"/>
      <c r="Q29" s="182">
        <v>4527</v>
      </c>
    </row>
    <row customHeight="1" ht="15.75">
      <c r="A30" s="182"/>
      <c r="B30" s="171"/>
      <c r="C30" s="171"/>
      <c r="D30" s="171"/>
      <c r="E30" s="171"/>
      <c r="F30" s="182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</row>
    <row customHeight="1" ht="15.75">
      <c r="A31" s="178">
        <v>32570</v>
      </c>
      <c r="B31" s="189"/>
      <c r="C31" s="190">
        <v>383428</v>
      </c>
      <c r="D31" s="191">
        <f>SUM(取值!B105:B106)</f>
        <v>658607</v>
      </c>
      <c r="E31" s="189"/>
      <c r="F31" s="182"/>
      <c r="G31" s="190">
        <v>451847</v>
      </c>
      <c r="H31" s="190">
        <v>145042</v>
      </c>
      <c r="I31" s="189"/>
      <c r="J31" s="190">
        <v>213337</v>
      </c>
      <c r="K31" s="171"/>
      <c r="L31" s="171"/>
      <c r="M31" s="171"/>
      <c r="N31" s="171"/>
      <c r="O31" s="171"/>
      <c r="P31" s="171"/>
      <c r="Q31" s="182">
        <v>3379</v>
      </c>
    </row>
    <row customHeight="1" ht="15.75">
      <c r="A32" s="181"/>
      <c r="B32" s="189"/>
      <c r="C32" s="181"/>
      <c r="D32" s="191">
        <v>588066</v>
      </c>
      <c r="E32" s="189"/>
      <c r="F32" s="181"/>
      <c r="G32" s="181"/>
      <c r="H32" s="181"/>
      <c r="I32" s="189"/>
      <c r="J32" s="181"/>
      <c r="K32" s="171"/>
      <c r="L32" s="171"/>
      <c r="M32" s="171"/>
      <c r="N32" s="171"/>
      <c r="O32" s="171"/>
      <c r="P32" s="171"/>
      <c r="Q32" s="181"/>
    </row>
    <row customHeight="1" ht="15.75">
      <c r="A33" s="182">
        <v>6466.8138</v>
      </c>
      <c r="B33" s="189"/>
      <c r="C33" s="182">
        <v>0.932</v>
      </c>
      <c r="D33" s="189"/>
      <c r="E33" s="189"/>
      <c r="F33" s="182"/>
      <c r="G33" s="189"/>
      <c r="H33" s="182">
        <v>397.6083</v>
      </c>
      <c r="I33" s="189"/>
      <c r="J33" s="189"/>
      <c r="K33" s="171"/>
      <c r="L33" s="171"/>
      <c r="M33" s="171"/>
      <c r="N33" s="171"/>
      <c r="O33" s="171"/>
      <c r="P33" s="171"/>
      <c r="Q33" s="182">
        <v>1500</v>
      </c>
    </row>
    <row customHeight="1" ht="15.75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71"/>
      <c r="L34" s="171"/>
      <c r="M34" s="171"/>
      <c r="N34" s="171"/>
      <c r="O34" s="171"/>
      <c r="P34" s="171"/>
      <c r="Q34" s="171">
        <v>24534</v>
      </c>
    </row>
    <row customHeight="1" ht="15.75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71"/>
      <c r="L35" s="171"/>
      <c r="M35" s="171"/>
      <c r="N35" s="171"/>
      <c r="O35" s="171"/>
      <c r="P35" s="171"/>
      <c r="Q35" s="171"/>
    </row>
    <row customHeight="1" ht="15.75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71"/>
      <c r="L36" s="171"/>
      <c r="M36" s="171"/>
      <c r="N36" s="171"/>
      <c r="O36" s="171"/>
      <c r="P36" s="171"/>
      <c r="Q36" s="171"/>
    </row>
    <row customHeight="1" ht="15.75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71"/>
      <c r="L37" s="171"/>
      <c r="M37" s="171"/>
      <c r="N37" s="171"/>
      <c r="O37" s="171"/>
      <c r="P37" s="171"/>
      <c r="Q37" s="182">
        <v>419</v>
      </c>
    </row>
    <row customHeight="1" ht="15.75">
      <c r="A38" s="182">
        <v>428.779999999999</v>
      </c>
      <c r="B38" s="189"/>
      <c r="C38" s="182">
        <v>50.320000000007</v>
      </c>
      <c r="D38" s="189"/>
      <c r="E38" s="189"/>
      <c r="F38" s="182"/>
      <c r="G38" s="189"/>
      <c r="H38" s="182">
        <v>55.25</v>
      </c>
      <c r="I38" s="189"/>
      <c r="J38" s="182">
        <v>32604</v>
      </c>
      <c r="K38" s="171"/>
      <c r="L38" s="171"/>
      <c r="M38" s="171"/>
      <c r="N38" s="171"/>
      <c r="O38" s="171"/>
      <c r="P38" s="171"/>
      <c r="Q38" s="182">
        <v>2776</v>
      </c>
    </row>
    <row customHeight="1" ht="15.75">
      <c r="A39" s="182">
        <v>8123.54999999999</v>
      </c>
      <c r="B39" s="189"/>
      <c r="C39" s="181"/>
      <c r="D39" s="189"/>
      <c r="E39" s="189"/>
      <c r="F39" s="181"/>
      <c r="G39" s="189"/>
      <c r="H39" s="181"/>
      <c r="I39" s="189"/>
      <c r="J39" s="181"/>
      <c r="K39" s="171"/>
      <c r="L39" s="171"/>
      <c r="M39" s="171"/>
      <c r="N39" s="171"/>
      <c r="O39" s="171"/>
      <c r="P39" s="171"/>
      <c r="Q39" s="181"/>
    </row>
    <row customHeight="1" ht="15.75">
      <c r="A40" s="182">
        <v>9914.03999999992</v>
      </c>
      <c r="B40" s="189"/>
      <c r="C40" s="182">
        <v>121.280000000028</v>
      </c>
      <c r="D40" s="189"/>
      <c r="E40" s="189"/>
      <c r="F40" s="182"/>
      <c r="G40" s="182">
        <v>400.686</v>
      </c>
      <c r="H40" s="182">
        <v>0</v>
      </c>
      <c r="I40" s="189"/>
      <c r="J40" s="182">
        <v>28654.09</v>
      </c>
      <c r="K40" s="171"/>
      <c r="L40" s="171"/>
      <c r="M40" s="171"/>
      <c r="N40" s="171"/>
      <c r="O40" s="171"/>
      <c r="P40" s="171"/>
      <c r="Q40" s="182">
        <v>6200</v>
      </c>
    </row>
    <row customHeight="1" ht="15.75">
      <c r="A41" s="182"/>
      <c r="B41" s="189"/>
      <c r="C41" s="182"/>
      <c r="D41" s="189"/>
      <c r="E41" s="189"/>
      <c r="F41" s="182"/>
      <c r="G41" s="182"/>
      <c r="H41" s="182"/>
      <c r="I41" s="189"/>
      <c r="J41" s="182"/>
      <c r="K41" s="171"/>
      <c r="L41" s="171"/>
      <c r="M41" s="171"/>
      <c r="N41" s="171"/>
      <c r="O41" s="171"/>
      <c r="P41" s="171"/>
      <c r="Q41" s="182"/>
    </row>
    <row customHeight="1" ht="15.75">
      <c r="A42" s="171"/>
      <c r="B42" s="171"/>
      <c r="C42" s="171"/>
      <c r="D42" s="171"/>
      <c r="E42" s="171"/>
      <c r="F42" s="182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</row>
    <row customHeight="1" ht="15.75">
      <c r="A43" s="182">
        <v>2539.25</v>
      </c>
      <c r="B43" s="171"/>
      <c r="C43" s="171"/>
      <c r="D43" s="171"/>
      <c r="E43" s="171"/>
      <c r="F43" s="182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</row>
    <row customHeight="1" ht="15.75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</row>
    <row customHeight="1" ht="15.75">
      <c r="A45" s="182"/>
      <c r="B45" s="171"/>
      <c r="C45" s="182" t="s">
        <v>219</v>
      </c>
      <c r="D45" s="182"/>
      <c r="E45" s="171"/>
      <c r="F45" s="171"/>
      <c r="G45" s="171"/>
      <c r="H45" s="182"/>
      <c r="I45" s="171"/>
      <c r="J45" s="191"/>
      <c r="K45" s="171"/>
      <c r="L45" s="171"/>
      <c r="M45" s="171"/>
      <c r="N45" s="171"/>
      <c r="O45" s="171"/>
      <c r="P45" s="171"/>
      <c r="Q45" s="182"/>
    </row>
    <row customHeight="1" ht="15.75">
      <c r="A46" s="182"/>
      <c r="B46" s="171"/>
      <c r="C46" s="182"/>
      <c r="D46" s="182"/>
      <c r="E46" s="171"/>
      <c r="F46" s="171"/>
      <c r="G46" s="171"/>
      <c r="H46" s="182"/>
      <c r="I46" s="171"/>
      <c r="J46" s="181"/>
      <c r="K46" s="171"/>
      <c r="L46" s="171"/>
      <c r="M46" s="171"/>
      <c r="N46" s="171"/>
      <c r="O46" s="171"/>
      <c r="P46" s="171"/>
      <c r="Q46" s="181"/>
    </row>
    <row customHeight="1" ht="15.75">
      <c r="A47" s="171">
        <v>3323227</v>
      </c>
      <c r="B47" s="171">
        <v>0</v>
      </c>
      <c r="C47" s="171">
        <v>30586</v>
      </c>
      <c r="D47" s="171">
        <v>0</v>
      </c>
      <c r="E47" s="171">
        <v>0</v>
      </c>
      <c r="F47" s="171">
        <v>8184788</v>
      </c>
      <c r="G47" s="171">
        <v>0</v>
      </c>
      <c r="H47" s="171">
        <v>47722</v>
      </c>
      <c r="I47" s="171">
        <v>0</v>
      </c>
      <c r="J47" s="171">
        <v>0</v>
      </c>
      <c r="K47" s="171">
        <v>0</v>
      </c>
      <c r="L47" s="171">
        <v>0</v>
      </c>
      <c r="M47" s="171">
        <v>0</v>
      </c>
      <c r="N47" s="171">
        <v>0</v>
      </c>
      <c r="O47" s="171">
        <v>0</v>
      </c>
      <c r="P47" s="171"/>
      <c r="Q47" s="171"/>
    </row>
    <row customHeight="1" ht="15.75">
      <c r="A48" s="182"/>
      <c r="B48" s="182"/>
      <c r="C48" s="171"/>
      <c r="D48" s="171"/>
      <c r="E48" s="171"/>
      <c r="F48" s="182"/>
      <c r="G48" s="171"/>
      <c r="H48" s="171">
        <v>826</v>
      </c>
      <c r="I48" s="171"/>
      <c r="J48" s="171"/>
      <c r="K48" s="171"/>
      <c r="L48" s="171"/>
      <c r="M48" s="171"/>
      <c r="N48" s="171"/>
      <c r="O48" s="171"/>
      <c r="P48" s="171"/>
      <c r="Q48" s="171">
        <v>423441</v>
      </c>
    </row>
    <row customHeight="1" ht="15.75">
      <c r="A49" s="182"/>
      <c r="B49" s="182"/>
      <c r="C49" s="171"/>
      <c r="D49" s="171"/>
      <c r="E49" s="171"/>
      <c r="F49" s="182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</row>
    <row customHeight="1" ht="15.75">
      <c r="A50" s="182"/>
      <c r="B50" s="182"/>
      <c r="C50" s="171"/>
      <c r="D50" s="171"/>
      <c r="E50" s="171"/>
      <c r="F50" s="178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</row>
    <row customHeight="1" ht="15.75">
      <c r="A51" s="171"/>
      <c r="B51" s="171"/>
      <c r="C51" s="171"/>
      <c r="D51" s="171"/>
      <c r="E51" s="171"/>
      <c r="F51" s="182"/>
      <c r="G51" s="171"/>
      <c r="H51" s="182"/>
      <c r="I51" s="171"/>
      <c r="J51" s="171"/>
      <c r="K51" s="171"/>
      <c r="L51" s="171"/>
      <c r="M51" s="171"/>
      <c r="N51" s="171"/>
      <c r="O51" s="171"/>
      <c r="P51" s="171"/>
      <c r="Q51" s="171">
        <v>423441</v>
      </c>
    </row>
    <row customHeight="1" ht="15.75">
      <c r="A52" s="171">
        <v>3323227</v>
      </c>
      <c r="B52" s="171"/>
      <c r="C52" s="171">
        <v>30586</v>
      </c>
      <c r="D52" s="171"/>
      <c r="E52" s="171"/>
      <c r="F52" s="182"/>
      <c r="G52" s="171"/>
      <c r="H52" s="171">
        <v>43229</v>
      </c>
      <c r="I52" s="171"/>
      <c r="J52" s="171"/>
      <c r="K52" s="171"/>
      <c r="L52" s="171"/>
      <c r="M52" s="171"/>
      <c r="N52" s="171"/>
      <c r="O52" s="171"/>
      <c r="P52" s="171"/>
      <c r="Q52" s="171">
        <v>423441</v>
      </c>
    </row>
    <row customHeight="1" ht="15.75">
      <c r="A53" s="171"/>
      <c r="B53" s="171"/>
      <c r="C53" s="171"/>
      <c r="D53" s="171"/>
      <c r="E53" s="171"/>
      <c r="F53" s="182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</row>
    <row customHeight="1" ht="15.75">
      <c r="A54" s="171"/>
      <c r="B54" s="171"/>
      <c r="C54" s="171"/>
      <c r="D54" s="171"/>
      <c r="E54" s="171"/>
      <c r="F54" s="182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</row>
    <row customHeight="1" ht="15.75">
      <c r="A55" s="171"/>
      <c r="B55" s="171"/>
      <c r="C55" s="171"/>
      <c r="D55" s="171"/>
      <c r="E55" s="171"/>
      <c r="F55" s="182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</row>
    <row customHeight="1" ht="15.75">
      <c r="A56" s="171"/>
      <c r="B56" s="171"/>
      <c r="C56" s="171"/>
      <c r="D56" s="171"/>
      <c r="E56" s="171"/>
      <c r="F56" s="182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</row>
    <row customHeight="1" ht="15.75">
      <c r="A57" s="170"/>
      <c r="B57" s="170"/>
      <c r="C57" s="170"/>
      <c r="D57" s="170"/>
      <c r="E57" s="170"/>
      <c r="F57" s="170">
        <v>65893</v>
      </c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>
        <v>423441</v>
      </c>
    </row>
    <row customHeight="1" ht="15.60000000000000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</row>
    <row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取值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cp:lastPrinted>2022-01-13T02:32:05Z</cp:lastPrinted>
  <dcterms:created xsi:type="dcterms:W3CDTF">2022-03-03T01:14:37Z</dcterms:created>
  <dcterms:modified xsi:type="dcterms:W3CDTF">2024-02-01T03:09:17Z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{64EDEF5D-8D87-442C-B2B9-3A76EDCEEBE1}</vt:lpwstr>
  </property>
</Properties>
</file>