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2.xml" ContentType="application/vnd.openxmlformats-officedocument.spreadsheetml.comments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5.xml" ContentType="application/vnd.openxmlformats-officedocument.spreadsheetml.comments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生产日报1" sheetId="1" r:id="rId2"/>
    <sheet name="生产日报1取值" sheetId="2" state="hidden" r:id="rId3"/>
    <sheet name="生产日报2" sheetId="3" r:id="rId4"/>
    <sheet name="生产日报2取值" sheetId="4" state="hidden" r:id="rId5"/>
    <sheet name="生产日报3" sheetId="5" r:id="rId6"/>
    <sheet name="生产日报3取值" sheetId="6" state="hidden" r:id="rId7"/>
    <sheet name="生产日报4" sheetId="7" r:id="rId8"/>
    <sheet name="生产日报4取值" sheetId="8" state="hidden" r:id="rId9"/>
    <sheet name="生产日报5" sheetId="9" r:id="rId10"/>
    <sheet name="生产日报5取值" sheetId="10" state="hidden" r:id="rId11"/>
    <sheet name="生产日报6" sheetId="11" r:id="rId12"/>
    <sheet name="生产日报6取值" sheetId="12" state="hidden" r:id="rId13"/>
    <sheet name="生产日报8" sheetId="13" r:id="rId14"/>
    <sheet name="生产日报8取值" sheetId="14" state="hidden" r:id="rId15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P24" authorId="0">
      <text>
        <r>
          <rPr>
            <b/>
            <sz val="9"/>
            <color indexed="81"/>
            <rFont val="宋体"/>
            <family val="2"/>
          </rPr>
          <t>#Input("炼化公司_调度部门_生产日报1(上报集团)_常压轻质油收率_日",":key{{dw}}",":read")</t>
        </r>
      </text>
    </comment>
    <comment ref="Q24" authorId="0">
      <text>
        <r>
          <rPr>
            <b/>
            <sz val="9"/>
            <color indexed="81"/>
            <rFont val="宋体"/>
            <family val="2"/>
          </rPr>
          <t>#Input("炼化公司_调度部门_生产日报1(上报集团)_常压轻质油收率_月",":key{{dw}}",":read")</t>
        </r>
      </text>
    </comment>
    <comment ref="P25" authorId="0">
      <text>
        <r>
          <rPr>
            <b/>
            <sz val="9"/>
            <color indexed="81"/>
            <rFont val="宋体"/>
            <family val="2"/>
          </rPr>
          <t>#Input("炼化公司_调度部门_生产日报1(上报集团)_催化轻质油收率_日",":key{{dw}}",":read")</t>
        </r>
      </text>
    </comment>
    <comment ref="Q25" authorId="0">
      <text>
        <r>
          <rPr>
            <b/>
            <sz val="9"/>
            <color indexed="81"/>
            <rFont val="宋体"/>
            <family val="2"/>
          </rPr>
          <t>#Input("炼化公司_调度部门_生产日报1(上报集团)_催化轻质油收率_月",":key{{dw}}",":read")</t>
        </r>
      </text>
    </comment>
    <comment ref="P27" authorId="0">
      <text>
        <r>
          <rPr>
            <b/>
            <sz val="9"/>
            <color indexed="81"/>
            <rFont val="宋体"/>
            <family val="2"/>
          </rPr>
          <t>#Input("炼化公司_调度部门_生产日报1(上报集团)_重整装置总收率_日",":key{{dw}}",":read")</t>
        </r>
      </text>
    </comment>
    <comment ref="Q27" authorId="0">
      <text>
        <r>
          <rPr>
            <b/>
            <sz val="9"/>
            <color indexed="81"/>
            <rFont val="宋体"/>
            <family val="2"/>
          </rPr>
          <t>#Input("炼化公司_调度部门_生产日报1(上报集团)_重整装置总收率_月",":key{{dw}}",":read")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20" authorId="0">
      <text>
        <r>
          <rPr>
            <sz val="9"/>
            <color indexed="81"/>
            <rFont val="宋体"/>
            <family val="2"/>
          </rPr>
          <t>分厂日报表中没找到对应指标，取值调和日报表。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N5" authorId="0">
      <text>
        <r>
          <rPr>
            <sz val="9"/>
            <color indexed="81"/>
            <rFont val="Arial"/>
            <family val="2"/>
          </rPr>
          <t>#Input("炼化公司_调度部门_生产日报5(上报集团)_备注",":key{{dw}}")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27" authorId="0">
      <text>
        <r>
          <rPr>
            <sz val="9"/>
            <color indexed="81"/>
            <rFont val="宋体"/>
            <family val="2"/>
          </rPr>
          <t>#Input("炼化_生产_生产计划部_炼化公司生产日报6_备注",":key{{dw}}")</t>
        </r>
      </text>
    </comment>
    <comment ref="O30" authorId="0">
      <text>
        <r>
          <rPr>
            <sz val="9"/>
            <color indexed="81"/>
            <rFont val="宋体"/>
            <family val="2"/>
          </rPr>
          <t xml:space="preserve">#Input("炼化_生产_生产计划部_炼化公司生产日报6_江苏中燃_备注",":key{{dw}}")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J5" authorId="0">
      <text>
        <r>
          <rPr>
            <b/>
            <sz val="9"/>
            <color indexed="81"/>
            <rFont val="宋体"/>
            <family val="2"/>
          </rPr>
          <t>#Input("炼化_生产_生产计划部_炼化公司生产日报8_备注",":key{{dw}}")</t>
        </r>
      </text>
    </comment>
  </commentList>
</comments>
</file>

<file path=xl/sharedStrings.xml><?xml version="1.0" encoding="utf-8"?>
<sst xmlns="http://schemas.openxmlformats.org/spreadsheetml/2006/main" count="1051" uniqueCount="366">
  <si>
    <t>炼化公司生产日报表</t>
  </si>
  <si>
    <t>填报单位：生产计划部</t>
  </si>
  <si>
    <t>统计日期：</t>
  </si>
  <si>
    <t>2026-01-06</t>
  </si>
  <si>
    <t>填报日期：</t>
  </si>
  <si>
    <t>2026-01-07</t>
  </si>
  <si>
    <t>陕油炼计统B900-1表</t>
  </si>
  <si>
    <t>指标名称</t>
  </si>
  <si>
    <t>月计划</t>
  </si>
  <si>
    <t>延安炼油厂</t>
  </si>
  <si>
    <t>永坪炼油厂</t>
  </si>
  <si>
    <t>榆林炼油厂</t>
  </si>
  <si>
    <t>延安石化厂</t>
  </si>
  <si>
    <t>公司合计</t>
  </si>
  <si>
    <t>本月累计</t>
  </si>
  <si>
    <t>月完成率</t>
  </si>
  <si>
    <t>日累</t>
  </si>
  <si>
    <t>月累</t>
  </si>
  <si>
    <t>一、生产加工量</t>
  </si>
  <si>
    <t xml:space="preserve"> 1.常压装置加工量</t>
  </si>
  <si>
    <t xml:space="preserve"> 2.催化装置加工量</t>
  </si>
  <si>
    <t>1#渣油加工量</t>
  </si>
  <si>
    <t xml:space="preserve"> 3.重整装置加工量</t>
  </si>
  <si>
    <t xml:space="preserve"> 4.加氢装置加工量</t>
  </si>
  <si>
    <t xml:space="preserve"> 5.液化气精制量</t>
  </si>
  <si>
    <t xml:space="preserve"> 6.气体分馏加工量</t>
  </si>
  <si>
    <t xml:space="preserve"> 7.聚丙烯加工量</t>
  </si>
  <si>
    <t xml:space="preserve"> 8.MTBE加工量</t>
  </si>
  <si>
    <t xml:space="preserve"> 9.苯抽提加工量</t>
  </si>
  <si>
    <t xml:space="preserve"> 10.干气精制加工量</t>
  </si>
  <si>
    <t xml:space="preserve"> 11.乙苯加工量</t>
  </si>
  <si>
    <t xml:space="preserve"> 12.苯乙烯加工量</t>
  </si>
  <si>
    <t xml:space="preserve"> 13.醋酸仲丁酯装置加工量</t>
  </si>
  <si>
    <t>其中：醋酸原料</t>
  </si>
  <si>
    <t xml:space="preserve"> 14.汽油精制加工量</t>
  </si>
  <si>
    <t xml:space="preserve"> 15.柴油精制加工量</t>
  </si>
  <si>
    <t>二、装置收率</t>
  </si>
  <si>
    <t xml:space="preserve"> 1.常压轻质油收率</t>
  </si>
  <si>
    <t xml:space="preserve"> 2.催化轻质油收率</t>
  </si>
  <si>
    <t>液化气收率</t>
  </si>
  <si>
    <t xml:space="preserve"> 3.重整装置总收率</t>
  </si>
  <si>
    <t xml:space="preserve"> 4.加氢装置总收率</t>
  </si>
  <si>
    <t xml:space="preserve"> 5.气分装置收率</t>
  </si>
  <si>
    <t xml:space="preserve">    丙烯收率</t>
  </si>
  <si>
    <t xml:space="preserve"> 6.聚丙烯装置收率</t>
  </si>
  <si>
    <t xml:space="preserve"> 7.MTBE收率</t>
  </si>
  <si>
    <t xml:space="preserve"> 8.MTBE转化率</t>
  </si>
  <si>
    <t xml:space="preserve"> 9.苯抽提装置收率</t>
  </si>
  <si>
    <t xml:space="preserve"> 10.乙苯收率</t>
  </si>
  <si>
    <t xml:space="preserve"> 11.苯乙烯收率</t>
  </si>
  <si>
    <t xml:space="preserve"> 12.醋酸仲丁酯收率</t>
  </si>
  <si>
    <t xml:space="preserve"> 13.汽油精制总收率</t>
  </si>
  <si>
    <t xml:space="preserve"> 14.柴油精制总收率</t>
  </si>
  <si>
    <t xml:space="preserve"> 15.汽柴液总收率</t>
  </si>
  <si>
    <t>三、原料调运</t>
  </si>
  <si>
    <t xml:space="preserve"> 1.渣油调出量</t>
  </si>
  <si>
    <t xml:space="preserve">    渣油调入量</t>
  </si>
  <si>
    <t xml:space="preserve"> 2.石脑油调出量(常)</t>
  </si>
  <si>
    <t xml:space="preserve">    石脑油调入量</t>
  </si>
  <si>
    <t>部门负责人:</t>
  </si>
  <si>
    <t>郝新宇</t>
  </si>
  <si>
    <t>第1页</t>
  </si>
  <si>
    <t>审核人:</t>
  </si>
  <si>
    <t>填表人:</t>
  </si>
  <si>
    <t>填报单位：</t>
  </si>
  <si>
    <t>生产计划部</t>
  </si>
  <si>
    <t>日期：</t>
  </si>
  <si>
    <r>
      <rPr>
        <b/>
        <charset val="134"/>
        <color rgb="FF000000"/>
        <rFont val="等线"/>
        <sz val="11"/>
      </rPr>
      <t>单位：</t>
    </r>
    <r>
      <rPr>
        <charset val="134"/>
        <color rgb="FF000000"/>
        <rFont val="等线"/>
        <sz val="11"/>
      </rPr>
      <t>吨</t>
    </r>
  </si>
  <si>
    <t>报表生成时间：</t>
  </si>
  <si>
    <t>1.常压装置加工量</t>
  </si>
  <si>
    <t>2.催化装置加工量</t>
  </si>
  <si>
    <t>3.重整装置加工量</t>
  </si>
  <si>
    <t>4.加氢装置加工量</t>
  </si>
  <si>
    <t>5.液化气精制量</t>
  </si>
  <si>
    <t>6.气体分馏加工量</t>
  </si>
  <si>
    <t>7.聚丙烯加工量</t>
  </si>
  <si>
    <t>8.MTBE加工量</t>
  </si>
  <si>
    <t>9.苯抽提加工量</t>
  </si>
  <si>
    <t>10.干气精制加工量</t>
  </si>
  <si>
    <t>11.乙苯加工量</t>
  </si>
  <si>
    <t>12.苯乙烯加工量</t>
  </si>
  <si>
    <t>13.醋酸仲丁酯装置加工量</t>
  </si>
  <si>
    <t>14.汽油精制加工量</t>
  </si>
  <si>
    <t>15.柴油精制加工量</t>
  </si>
  <si>
    <t>1.常压轻质油收率</t>
  </si>
  <si>
    <t>2.催化轻质油收率</t>
  </si>
  <si>
    <t>3.重整装置总收率</t>
  </si>
  <si>
    <t>4.加氢装置总收率</t>
  </si>
  <si>
    <t>5.气分装置收率</t>
  </si>
  <si>
    <t>丙烯收率</t>
  </si>
  <si>
    <t>6.聚丙烯装置收率</t>
  </si>
  <si>
    <t>7.MTBE收率</t>
  </si>
  <si>
    <t>8.MTBE转化率</t>
  </si>
  <si>
    <t>9.苯抽提装置收率</t>
  </si>
  <si>
    <t>10.乙苯收率</t>
  </si>
  <si>
    <t>11.苯乙烯收率</t>
  </si>
  <si>
    <t>12.醋酸仲丁酯收率</t>
  </si>
  <si>
    <t>13.汽油精制总收率</t>
  </si>
  <si>
    <t>14.柴油精制总收率</t>
  </si>
  <si>
    <t>15.汽柴液总收率</t>
  </si>
  <si>
    <t>1.渣油调出量</t>
  </si>
  <si>
    <t>渣油调入量</t>
  </si>
  <si>
    <t>2.石脑油调出量(常)</t>
  </si>
  <si>
    <t>石脑油调入量</t>
  </si>
  <si>
    <t>王震</t>
  </si>
  <si>
    <t>年计划</t>
  </si>
  <si>
    <t>本年合计</t>
  </si>
  <si>
    <t>年完成率</t>
  </si>
  <si>
    <t>年累</t>
  </si>
  <si>
    <t xml:space="preserve">     液化气收率</t>
  </si>
  <si>
    <t>审核人：</t>
  </si>
  <si>
    <t>填报人</t>
  </si>
  <si>
    <t xml:space="preserve"> 8:00:00</t>
  </si>
  <si>
    <t xml:space="preserve">年完成率% </t>
  </si>
  <si>
    <t xml:space="preserve">     1#渣油加工量</t>
  </si>
  <si>
    <t xml:space="preserve"> 13.醋酸装置加工量</t>
  </si>
  <si>
    <t xml:space="preserve">   其中：醋酸原料</t>
  </si>
  <si>
    <t xml:space="preserve">   液化气收率</t>
  </si>
  <si>
    <t xml:space="preserve">   丙烯收率</t>
  </si>
  <si>
    <t xml:space="preserve">   渣油调入量</t>
  </si>
  <si>
    <t xml:space="preserve">   石脑油调入量</t>
  </si>
  <si>
    <t>填报人：</t>
  </si>
  <si>
    <t>王好</t>
  </si>
  <si>
    <t xml:space="preserve">   炼化公司生产日报表</t>
  </si>
  <si>
    <t xml:space="preserve"> 填报单位：生产计划部 </t>
  </si>
  <si>
    <t>月完成率%</t>
  </si>
  <si>
    <t>当日</t>
  </si>
  <si>
    <t xml:space="preserve"> 3.催化柴油调出量</t>
  </si>
  <si>
    <t xml:space="preserve">    催化柴油调入量</t>
  </si>
  <si>
    <t xml:space="preserve"> 4.液化气调出量</t>
  </si>
  <si>
    <t xml:space="preserve">    液化气调入量</t>
  </si>
  <si>
    <t xml:space="preserve"> 5.丙烯转出量</t>
  </si>
  <si>
    <t xml:space="preserve">    丙烯转入量</t>
  </si>
  <si>
    <t xml:space="preserve"> 6.汽油精制原料转出</t>
  </si>
  <si>
    <t xml:space="preserve">    汽油精制原料转入</t>
  </si>
  <si>
    <t xml:space="preserve"> 7.柴油精制原料转出</t>
  </si>
  <si>
    <t xml:space="preserve">    柴油精制原料转入</t>
  </si>
  <si>
    <t>四、产品产量</t>
  </si>
  <si>
    <t xml:space="preserve"> 1.汽油产量</t>
  </si>
  <si>
    <t xml:space="preserve"> 2.柴油产量</t>
  </si>
  <si>
    <t xml:space="preserve"> 3.原料液化气产量</t>
  </si>
  <si>
    <t xml:space="preserve"> 4.民用液化气产量</t>
  </si>
  <si>
    <t xml:space="preserve"> 5.丙烷产量</t>
  </si>
  <si>
    <t xml:space="preserve"> 6.丁烷产量</t>
  </si>
  <si>
    <t xml:space="preserve"> 7.聚丙烯产量</t>
  </si>
  <si>
    <t xml:space="preserve"> 8.MTBE产量</t>
  </si>
  <si>
    <t xml:space="preserve"> 9.苯产量</t>
  </si>
  <si>
    <t xml:space="preserve"> 10.苯乙烯</t>
  </si>
  <si>
    <t xml:space="preserve"> 11.醋酸仲丁酯产量</t>
  </si>
  <si>
    <t xml:space="preserve"> 12.粗硫磺产量</t>
  </si>
  <si>
    <t xml:space="preserve"> 13.精制硫磺产量</t>
  </si>
  <si>
    <t>五、产品销售</t>
  </si>
  <si>
    <t xml:space="preserve"> 1.汽油</t>
  </si>
  <si>
    <t xml:space="preserve"> 乙醇汽油组分油</t>
  </si>
  <si>
    <t xml:space="preserve">    92#</t>
  </si>
  <si>
    <t xml:space="preserve">    93#</t>
  </si>
  <si>
    <t xml:space="preserve">    95#</t>
  </si>
  <si>
    <t xml:space="preserve"> 2.柴油</t>
  </si>
  <si>
    <t xml:space="preserve">    0#（国ⅤI）</t>
  </si>
  <si>
    <t xml:space="preserve">  -10#</t>
  </si>
  <si>
    <t xml:space="preserve">  -20#</t>
  </si>
  <si>
    <t xml:space="preserve"> 3.民用液化气</t>
  </si>
  <si>
    <t xml:space="preserve"> 4.丙烯</t>
  </si>
  <si>
    <t xml:space="preserve"> 5.醚后C4</t>
  </si>
  <si>
    <t xml:space="preserve"> 6.聚丙烯</t>
  </si>
  <si>
    <t xml:space="preserve"> 7.苯</t>
  </si>
  <si>
    <t xml:space="preserve"> 8.苯乙烯</t>
  </si>
  <si>
    <t xml:space="preserve"> 9.醋酸仲丁酯SBA</t>
  </si>
  <si>
    <t xml:space="preserve"> 10.石脑油</t>
  </si>
  <si>
    <t xml:space="preserve"> 12.油浆（含焦油）</t>
  </si>
  <si>
    <t xml:space="preserve"> 13.粗硫磺</t>
  </si>
  <si>
    <t>部门负责人：</t>
  </si>
  <si>
    <t>第3页</t>
  </si>
  <si>
    <t>3.催化柴油调出量</t>
  </si>
  <si>
    <t>催化柴油调入量</t>
  </si>
  <si>
    <t>4.液化气调出量</t>
  </si>
  <si>
    <t>液化气调入量</t>
  </si>
  <si>
    <t>5.丙烯转出量</t>
  </si>
  <si>
    <t>丙烯转入量</t>
  </si>
  <si>
    <t>6.汽油精制原料转出</t>
  </si>
  <si>
    <t>汽油精制原料转入</t>
  </si>
  <si>
    <t>7.柴油精制原料转出</t>
  </si>
  <si>
    <t>柴油精制原料转入</t>
  </si>
  <si>
    <t>1.汽油产量</t>
  </si>
  <si>
    <t>2.柴油产量</t>
  </si>
  <si>
    <t>3.原料液化气产量</t>
  </si>
  <si>
    <t>4.民用液化气产量</t>
  </si>
  <si>
    <t>5.丙烷产量</t>
  </si>
  <si>
    <t>6.丁烷产量</t>
  </si>
  <si>
    <t>7.聚丙烯产量</t>
  </si>
  <si>
    <t>8.MTBE产量</t>
  </si>
  <si>
    <t>9.苯产量</t>
  </si>
  <si>
    <t>10.苯乙烯</t>
  </si>
  <si>
    <t>11.醋酸仲丁酯产量</t>
  </si>
  <si>
    <t>12.粗硫磺产量</t>
  </si>
  <si>
    <t>13.精制硫磺产量</t>
  </si>
  <si>
    <t>1.汽油</t>
  </si>
  <si>
    <t>乙醇汽油组分油</t>
  </si>
  <si>
    <t>92#</t>
  </si>
  <si>
    <t>93#</t>
  </si>
  <si>
    <t>95#</t>
  </si>
  <si>
    <t>2.柴油</t>
  </si>
  <si>
    <t>0#（国ⅤI）</t>
  </si>
  <si>
    <t xml:space="preserve">    -10#</t>
  </si>
  <si>
    <r>
      <rPr>
        <charset val="134"/>
        <rFont val="等线"/>
        <sz val="11"/>
      </rPr>
      <t xml:space="preserve"> </t>
    </r>
    <r>
      <rPr>
        <charset val="134"/>
        <rFont val="等线"/>
        <sz val="11"/>
      </rPr>
      <t xml:space="preserve">   </t>
    </r>
    <r>
      <rPr>
        <charset val="134"/>
        <rFont val="等线"/>
        <sz val="11"/>
      </rPr>
      <t>-20#</t>
    </r>
  </si>
  <si>
    <t>3.民用液化气</t>
  </si>
  <si>
    <t>4.丙烷</t>
  </si>
  <si>
    <t>5.醚后C4</t>
  </si>
  <si>
    <t>6.聚丙烯</t>
  </si>
  <si>
    <t>7.苯</t>
  </si>
  <si>
    <t>8.苯乙烯</t>
  </si>
  <si>
    <t>9.醋酸仲丁酯SBA</t>
  </si>
  <si>
    <t>10.石脑油</t>
  </si>
  <si>
    <t>12.油浆（含焦油）</t>
  </si>
  <si>
    <t>13.粗硫磺</t>
  </si>
  <si>
    <t>液化气调出量</t>
  </si>
  <si>
    <t>汽油92</t>
  </si>
  <si>
    <t>汽油95</t>
  </si>
  <si>
    <t>柴油0</t>
  </si>
  <si>
    <t>柴油-10</t>
  </si>
  <si>
    <t>柴油-20</t>
  </si>
  <si>
    <t>苯</t>
  </si>
  <si>
    <t>原料液化气</t>
  </si>
  <si>
    <t>汽油精致原料转出</t>
  </si>
  <si>
    <t>柴油精致原料转出</t>
  </si>
  <si>
    <t>石脑油</t>
  </si>
  <si>
    <t xml:space="preserve"> 填报单位：生产计划部</t>
  </si>
  <si>
    <t>榆炼炼油厂</t>
  </si>
  <si>
    <t xml:space="preserve">   乙醇汽油组分油</t>
  </si>
  <si>
    <t xml:space="preserve">   92#</t>
  </si>
  <si>
    <t xml:space="preserve">   93#</t>
  </si>
  <si>
    <t xml:space="preserve">   95#</t>
  </si>
  <si>
    <t xml:space="preserve">   0#（国ⅤI）</t>
  </si>
  <si>
    <t>第4页</t>
  </si>
  <si>
    <t xml:space="preserve">  </t>
  </si>
  <si>
    <t xml:space="preserve">   催化柴油调入量</t>
  </si>
  <si>
    <t xml:space="preserve">   液化气调入量</t>
  </si>
  <si>
    <t xml:space="preserve">   丙烯转入量</t>
  </si>
  <si>
    <t xml:space="preserve">   汽油精制原料转入</t>
  </si>
  <si>
    <t xml:space="preserve">   柴油精制原料转入</t>
  </si>
  <si>
    <t xml:space="preserve"> 4.丙烷</t>
  </si>
  <si>
    <t>指标名称：</t>
  </si>
  <si>
    <t>备注</t>
  </si>
  <si>
    <t>六、原料库存</t>
  </si>
  <si>
    <t xml:space="preserve"> 1.原油库存</t>
  </si>
  <si>
    <t xml:space="preserve">      原油入库</t>
  </si>
  <si>
    <t xml:space="preserve"> 其中:长庆交油</t>
  </si>
  <si>
    <t xml:space="preserve">      管输交油</t>
  </si>
  <si>
    <t xml:space="preserve"> 2.渣油</t>
  </si>
  <si>
    <t xml:space="preserve"> 3.重整原料</t>
  </si>
  <si>
    <t xml:space="preserve"> 其中：外调石脑油</t>
  </si>
  <si>
    <t xml:space="preserve"> 4.加氢原料</t>
  </si>
  <si>
    <t xml:space="preserve"> 5.汽油加氢精制原料</t>
  </si>
  <si>
    <t xml:space="preserve"> 6.柴油加氢精制原料</t>
  </si>
  <si>
    <t xml:space="preserve"> 7.原料液化气</t>
  </si>
  <si>
    <t xml:space="preserve"> 8.丙烯原料</t>
  </si>
  <si>
    <t xml:space="preserve"> 9.MTBE原料(C4)</t>
  </si>
  <si>
    <t xml:space="preserve"> 10.甲醇原料</t>
  </si>
  <si>
    <t xml:space="preserve"> 11.醋酸原料</t>
  </si>
  <si>
    <t xml:space="preserve"> 12.醚后C4原料</t>
  </si>
  <si>
    <t>七、成品其他库存</t>
  </si>
  <si>
    <t xml:space="preserve"> 92#</t>
  </si>
  <si>
    <t xml:space="preserve"> 93#</t>
  </si>
  <si>
    <t xml:space="preserve"> 95#</t>
  </si>
  <si>
    <t xml:space="preserve">    0#（国VI）</t>
  </si>
  <si>
    <t xml:space="preserve"> 3.半成品汽油</t>
  </si>
  <si>
    <t xml:space="preserve"> 4.半成品柴油</t>
  </si>
  <si>
    <t xml:space="preserve"> 5.民用液化气</t>
  </si>
  <si>
    <t xml:space="preserve"> 6.丙烷</t>
  </si>
  <si>
    <t xml:space="preserve"> 7.醚后C4</t>
  </si>
  <si>
    <t xml:space="preserve"> 8.聚丙烯</t>
  </si>
  <si>
    <t xml:space="preserve"> 9.MTBE</t>
  </si>
  <si>
    <t xml:space="preserve"> 10.苯</t>
  </si>
  <si>
    <t xml:space="preserve"> 11.二甲苯</t>
  </si>
  <si>
    <t xml:space="preserve"> 12.乙苯</t>
  </si>
  <si>
    <t xml:space="preserve"> 13.苯乙烯</t>
  </si>
  <si>
    <t xml:space="preserve"> 14.醋酸仲丁酯SBA</t>
  </si>
  <si>
    <t xml:space="preserve"> 15.轻质精制油</t>
  </si>
  <si>
    <t xml:space="preserve"> 15.油浆</t>
  </si>
  <si>
    <t xml:space="preserve"> 16.粗硫磺</t>
  </si>
  <si>
    <t xml:space="preserve"> 17.精制硫磺</t>
  </si>
  <si>
    <t>第5页</t>
  </si>
  <si>
    <t>`</t>
  </si>
  <si>
    <t>进气量(万方)</t>
  </si>
  <si>
    <t>液化量</t>
  </si>
  <si>
    <t>液化率%</t>
  </si>
  <si>
    <t>天然气公司</t>
  </si>
  <si>
    <t>1.杨家湾液化站</t>
  </si>
  <si>
    <t>2.临镇液化站</t>
  </si>
  <si>
    <t>3.延川液化站</t>
  </si>
  <si>
    <t>4.志丹液化站</t>
  </si>
  <si>
    <t>5.安塞液化站</t>
  </si>
  <si>
    <t>进气量（万方）</t>
  </si>
  <si>
    <t>液化气量</t>
  </si>
  <si>
    <t>销售量</t>
  </si>
  <si>
    <t>库存</t>
  </si>
  <si>
    <t>年完成率%</t>
  </si>
  <si>
    <t>液化率</t>
  </si>
  <si>
    <t>备          注</t>
  </si>
  <si>
    <t>名称</t>
  </si>
  <si>
    <t>丙烷加工量</t>
  </si>
  <si>
    <t>丙烯产量</t>
  </si>
  <si>
    <t>丙烯销售量</t>
  </si>
  <si>
    <t>丙烯库存</t>
  </si>
  <si>
    <t>丙烷库存</t>
  </si>
  <si>
    <t>江苏延长中燃化学公司</t>
  </si>
  <si>
    <t>日加工量</t>
  </si>
  <si>
    <t>月加工量</t>
  </si>
  <si>
    <t>年加工量</t>
  </si>
  <si>
    <t>日产量</t>
  </si>
  <si>
    <t>月产量</t>
  </si>
  <si>
    <t>年产量</t>
  </si>
  <si>
    <t>日销售量</t>
  </si>
  <si>
    <t>月销售量</t>
  </si>
  <si>
    <t>年销售量</t>
  </si>
  <si>
    <t>计划</t>
  </si>
  <si>
    <t>完成率</t>
  </si>
  <si>
    <t>第6页</t>
  </si>
  <si>
    <t>胡连鹏</t>
  </si>
  <si>
    <t>李阿君</t>
  </si>
  <si>
    <t>单位：</t>
  </si>
  <si>
    <t>万方</t>
  </si>
  <si>
    <r>
      <rPr>
        <b/>
        <charset val="134"/>
        <rFont val="等线"/>
        <sz val="12"/>
      </rPr>
      <t>60万吨</t>
    </r>
    <r>
      <rPr>
        <b/>
        <charset val="136"/>
        <rFont val="等线"/>
        <sz val="12"/>
      </rPr>
      <t>/</t>
    </r>
    <r>
      <rPr>
        <b/>
        <charset val="134"/>
        <rFont val="等线"/>
        <sz val="12"/>
      </rPr>
      <t>年丙烷脱氢装置</t>
    </r>
  </si>
  <si>
    <t>当日量</t>
  </si>
  <si>
    <t>月累量</t>
  </si>
  <si>
    <t>年累量</t>
  </si>
  <si>
    <t>江苏延长中燃化学有限公司生产日报表</t>
  </si>
  <si>
    <t>1.丙烷加工量</t>
  </si>
  <si>
    <t>三、产品产量</t>
  </si>
  <si>
    <t>1.丙烯</t>
  </si>
  <si>
    <t>2.C4+</t>
  </si>
  <si>
    <t>3.氢气</t>
  </si>
  <si>
    <t>四、产品销售</t>
  </si>
  <si>
    <t>价  格</t>
  </si>
  <si>
    <t>五、外购原料</t>
  </si>
  <si>
    <t>1.丙烷</t>
  </si>
  <si>
    <t>六、库存情况</t>
  </si>
  <si>
    <t>3.丙烷</t>
  </si>
  <si>
    <t>炼化公司上报调度日报表</t>
  </si>
  <si>
    <t>项目</t>
  </si>
  <si>
    <t>炼化当日生产情况</t>
  </si>
  <si>
    <t>库存情况</t>
  </si>
  <si>
    <t>安全库存</t>
  </si>
  <si>
    <t>空量</t>
  </si>
  <si>
    <t>炼化公司</t>
  </si>
  <si>
    <t>常压加工量</t>
  </si>
  <si>
    <t>汽油产量</t>
  </si>
  <si>
    <t xml:space="preserve">汽油   </t>
  </si>
  <si>
    <t>合计</t>
  </si>
  <si>
    <t>成品</t>
  </si>
  <si>
    <t>半成品</t>
  </si>
  <si>
    <t>柴油</t>
  </si>
  <si>
    <t>催化加工量</t>
  </si>
  <si>
    <t>柴油产量</t>
  </si>
  <si>
    <t>原油合计</t>
  </si>
  <si>
    <t>渣油合计</t>
  </si>
  <si>
    <t>延炼</t>
  </si>
  <si>
    <t>汽油</t>
  </si>
  <si>
    <t>永炼</t>
  </si>
  <si>
    <t>榆炼</t>
  </si>
  <si>
    <t>填报单位:炼化公司</t>
  </si>
  <si>
    <t xml:space="preserve">单位：吨_x0009__x0009_ </t>
  </si>
  <si>
    <t>延炼公司</t>
  </si>
  <si>
    <t>永炼公司</t>
  </si>
  <si>
    <t>榆炼公司</t>
  </si>
  <si>
    <t>永练分厂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</si>
</sst>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71" formatCode="0_ "/>
    <numFmt numFmtId="172" formatCode="#,##0.00_ ;[Red]\-#,##0.00\ "/>
    <numFmt numFmtId="173" formatCode="#"/>
    <numFmt numFmtId="174" formatCode="0.00_ "/>
    <numFmt numFmtId="175" formatCode="0.00_);[Red]\(0.00\)"/>
    <numFmt numFmtId="176" formatCode="yyyy&quot;年&quot;m&quot;月&quot;d&quot;日&quot;;@"/>
    <numFmt numFmtId="177" formatCode="yyyy\-mm\-dd"/>
    <numFmt numFmtId="178" formatCode="#,##0.00_ "/>
    <numFmt numFmtId="179" formatCode="0.00;\-0.00"/>
    <numFmt numFmtId="180" formatCode="_(* #,##0.00_);_(* \(#,##0.00\);_(* &quot;-&quot;??_);_(@_)"/>
    <numFmt numFmtId="181" formatCode="_(* #,##0_);_(* \(#,##0\);_(* &quot;-&quot;_);_(@_)"/>
    <numFmt numFmtId="182" formatCode="_(&quot;$&quot;* #,##0.00_);_(&quot;$&quot;* \(#,##0.00\);_(&quot;$&quot;* &quot;-&quot;??_);_(@_)"/>
    <numFmt numFmtId="183" formatCode="_(&quot;$&quot;* #,##0_);_(&quot;$&quot;* \(#,##0\);_(&quot;$&quot;* &quot;-&quot;_);_(@_)"/>
  </numFmts>
  <fonts count="51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0"/>
      <color auto="1"/>
      <name val="Arial"/>
    </font>
    <font>
      <sz val="11"/>
      <color rgb="FF000000"/>
      <name val="Calibri"/>
      <scheme val="minor"/>
    </font>
    <font>
      <b/>
      <sz val="20"/>
      <color auto="1"/>
      <name val="SimSun"/>
    </font>
    <font>
      <sz val="9"/>
      <color auto="1"/>
      <name val="SimSun"/>
    </font>
    <font>
      <sz val="9"/>
      <color auto="1"/>
      <name val="微软雅黑"/>
    </font>
    <font>
      <sz val="9"/>
      <color rgb="FF000000"/>
      <name val="Microsoft YaHei"/>
    </font>
    <font>
      <sz val="9"/>
      <color rgb="FF000000"/>
      <name val="SimSun"/>
    </font>
    <font>
      <sz val="11"/>
      <color auto="1"/>
      <name val="宋体"/>
    </font>
    <font>
      <sz val="10"/>
      <color auto="1"/>
      <name val="微软雅黑"/>
    </font>
    <font>
      <b/>
      <sz val="18"/>
      <color auto="1"/>
      <name val="等线"/>
    </font>
    <font>
      <sz val="12"/>
      <color auto="1"/>
      <name val="等线"/>
    </font>
    <font>
      <sz val="12"/>
      <color theme="1"/>
      <name val="等线"/>
    </font>
    <font>
      <sz val="12"/>
      <color rgb="FF000000"/>
      <name val="等线"/>
    </font>
    <font>
      <sz val="11"/>
      <color auto="1"/>
      <name val="等线"/>
    </font>
    <font>
      <sz val="11"/>
      <color rgb="FF000000"/>
      <name val="等线"/>
    </font>
    <font>
      <b/>
      <sz val="20"/>
      <color auto="1"/>
      <name val="等线"/>
    </font>
    <font>
      <b/>
      <sz val="11"/>
      <color auto="1"/>
      <name val="等线"/>
    </font>
    <font>
      <b/>
      <sz val="12"/>
      <color auto="1"/>
      <name val="等线"/>
    </font>
    <font>
      <sz val="11"/>
      <color theme="1"/>
      <name val="等线"/>
    </font>
    <font>
      <b/>
      <sz val="15"/>
      <color auto="1"/>
      <name val="微软雅黑"/>
    </font>
    <font>
      <sz val="10"/>
      <color rgb="FF000000"/>
      <name val="宋体"/>
    </font>
    <font>
      <b/>
      <sz val="12"/>
      <color rgb="FF000000"/>
      <name val="等线"/>
    </font>
    <font>
      <sz val="11"/>
      <color rgb="FF000000"/>
      <name val="Calibri"/>
    </font>
    <font>
      <b/>
      <sz val="15"/>
      <color auto="1"/>
      <name val="等线"/>
    </font>
    <font>
      <sz val="9"/>
      <color auto="1"/>
      <name val="等线"/>
    </font>
    <font>
      <sz val="9"/>
      <color rgb="FF505050"/>
      <name val="Segoe UI"/>
    </font>
    <font>
      <sz val="11"/>
      <color rgb="FF354052"/>
      <name val="等线"/>
    </font>
    <font>
      <sz val="12"/>
      <color theme="1"/>
      <name val="Calibri"/>
      <scheme val="minor"/>
    </font>
    <font>
      <b/>
      <sz val="11"/>
      <color rgb="FF000000"/>
      <name val="等线"/>
    </font>
    <font>
      <b/>
      <sz val="11"/>
      <color theme="1"/>
      <name val="Calibri"/>
    </font>
    <font>
      <sz val="12"/>
      <color theme="1"/>
      <name val="Calibri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7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 style="thin">
        <color theme="1" tint="0.05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 style="thin">
        <color theme="1"/>
      </left>
      <right/>
      <top/>
      <bottom style="thin">
        <color theme="1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theme="1"/>
      </right>
      <top/>
      <bottom style="thin">
        <color theme="1"/>
      </bottom>
    </border>
    <border>
      <left/>
      <right/>
      <top style="thin">
        <color theme="1"/>
      </top>
      <bottom/>
    </border>
    <border>
      <left/>
      <right/>
      <top style="thin">
        <color theme="1"/>
      </top>
      <bottom style="thin">
        <color rgb="FF000000"/>
      </bottom>
    </border>
    <border>
      <left style="thin">
        <color theme="1" tint="0.05"/>
      </left>
      <right style="thin">
        <color rgb="FF000000"/>
      </right>
      <top style="thin">
        <color theme="1" tint="0.0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theme="1" tint="0.05"/>
      </top>
      <bottom style="thin">
        <color rgb="FF000000"/>
      </bottom>
    </border>
    <border>
      <left style="thin">
        <color rgb="FF000000"/>
      </left>
      <right/>
      <top style="thin">
        <color theme="1" tint="0.05"/>
      </top>
      <bottom style="thin">
        <color rgb="FF000000"/>
      </bottom>
    </border>
    <border>
      <left style="thin">
        <color theme="1" tint="0.05"/>
      </left>
      <right style="thin">
        <color rgb="FF000000"/>
      </right>
      <top style="thin">
        <color rgb="FF000000"/>
      </top>
      <bottom style="thin">
        <color theme="1" tint="0.0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 tint="0.05"/>
      </bottom>
    </border>
    <border>
      <left style="thin">
        <color rgb="FF000000"/>
      </left>
      <right/>
      <top style="thin">
        <color rgb="FF000000"/>
      </top>
      <bottom style="thin">
        <color theme="1" tint="0.05"/>
      </bottom>
    </border>
    <border>
      <left style="thin">
        <color theme="1" tint="0.05"/>
      </left>
      <right style="thin">
        <color theme="1" tint="0.05"/>
      </right>
      <top style="thin">
        <color theme="1" tint="0.05"/>
      </top>
      <bottom style="thin">
        <color theme="1" tint="0.05"/>
      </bottom>
    </border>
    <border>
      <left style="thin">
        <color rgb="FF000000"/>
      </left>
      <right style="thin">
        <color rgb="FF000000"/>
      </right>
      <top style="thin">
        <color theme="1"/>
      </top>
      <bottom/>
    </border>
    <border>
      <left style="thin">
        <color theme="1"/>
      </left>
      <right/>
      <top style="thin">
        <color theme="1"/>
      </top>
      <bottom/>
    </border>
    <border>
      <left style="thin">
        <color rgb="FF000000"/>
      </left>
      <right style="thin">
        <color theme="1" tint="0.05"/>
      </right>
      <top style="thin">
        <color theme="1" tint="0.05"/>
      </top>
      <bottom style="thin">
        <color theme="1" tint="0.05"/>
      </bottom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theme="1"/>
      </bottom>
    </border>
  </borders>
  <cellStyleXfs count="51">
    <xf numFmtId="0" fontId="0" fillId="0" borderId="0" applyFont="1" applyFill="0" applyBorder="0">
      <alignment vertical="center"/>
    </xf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180" fontId="5" fillId="0" borderId="0" applyFont="0" applyFill="0" applyBorder="0" applyNumberFormat="1">
      <alignment vertical="top"/>
    </xf>
    <xf numFmtId="181" fontId="5" fillId="0" borderId="0" applyFont="0" applyFill="0" applyBorder="0" applyNumberFormat="1">
      <alignment vertical="top"/>
    </xf>
    <xf numFmtId="182" fontId="5" fillId="0" borderId="0" applyFont="0" applyFill="0" applyBorder="0" applyNumberFormat="1">
      <alignment vertical="top"/>
    </xf>
    <xf numFmtId="183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  <xf numFmtId="0" fontId="20" fillId="0" borderId="0" applyFont="1" applyFill="0" applyBorder="0"/>
    <xf numFmtId="0" fontId="0" fillId="0" borderId="0" applyFont="1" applyFill="0" applyBorder="0">
      <alignment vertical="center"/>
    </xf>
  </cellStyleXfs>
  <cellXfs count="686">
    <xf numFmtId="0" fontId="0" fillId="0" borderId="0" xfId="0" applyFont="1">
      <alignment vertical="center"/>
    </xf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180" fontId="5" fillId="0" borderId="0" xfId="28" applyFont="0" applyNumberFormat="1">
      <alignment vertical="top"/>
    </xf>
    <xf numFmtId="181" fontId="5" fillId="0" borderId="0" xfId="29" applyFont="0" applyNumberFormat="1">
      <alignment vertical="top"/>
    </xf>
    <xf numFmtId="182" fontId="5" fillId="0" borderId="0" xfId="30" applyFont="0" applyNumberFormat="1">
      <alignment vertical="top"/>
    </xf>
    <xf numFmtId="183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0" fontId="20" fillId="0" borderId="0" xfId="49" applyFont="1"/>
    <xf numFmtId="0" fontId="0" fillId="0" borderId="0" xfId="5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horizontal="center" vertical="center" wrapText="1"/>
    </xf>
    <xf numFmtId="0" fontId="23" fillId="0" borderId="0" xfId="0" applyFont="1">
      <alignment vertical="center" wrapText="1"/>
    </xf>
    <xf numFmtId="0" fontId="21" fillId="0" borderId="0" xfId="0" applyFont="1"/>
    <xf numFmtId="0" fontId="23" fillId="0" borderId="0" xfId="0" applyFont="1">
      <alignment horizontal="center" vertical="center" wrapText="1"/>
    </xf>
    <xf numFmtId="0" fontId="24" fillId="0" borderId="10" xfId="0" applyFont="1" applyBorder="1">
      <alignment horizontal="center" vertical="center" wrapText="1"/>
    </xf>
    <xf numFmtId="171" fontId="24" fillId="0" borderId="10" xfId="0" applyFont="1" applyBorder="1" applyNumberFormat="1">
      <alignment horizontal="center" vertical="center" wrapText="1"/>
    </xf>
    <xf numFmtId="171" fontId="24" fillId="0" borderId="11" xfId="0" applyFont="1" applyBorder="1" applyNumberFormat="1">
      <alignment horizontal="center" vertical="center" wrapText="1"/>
    </xf>
    <xf numFmtId="0" fontId="24" fillId="0" borderId="12" xfId="0" applyFont="1" applyBorder="1">
      <alignment horizontal="center" vertical="center" wrapText="1"/>
    </xf>
    <xf numFmtId="171" fontId="24" fillId="0" borderId="13" xfId="0" applyFont="1" applyBorder="1" applyNumberFormat="1">
      <alignment horizontal="center" vertical="center" wrapText="1"/>
    </xf>
    <xf numFmtId="0" fontId="25" fillId="0" borderId="10" xfId="0" applyFont="1" applyBorder="1">
      <alignment horizontal="center" vertical="center" wrapText="1"/>
    </xf>
    <xf numFmtId="171" fontId="24" fillId="0" borderId="0" xfId="0" applyFont="1" applyNumberFormat="1">
      <alignment horizontal="center" vertical="center" wrapText="1"/>
    </xf>
    <xf numFmtId="171" fontId="24" fillId="0" borderId="14" xfId="0" applyFont="1" applyBorder="1" applyNumberFormat="1">
      <alignment horizontal="center" vertical="center" wrapText="1"/>
    </xf>
    <xf numFmtId="0" fontId="23" fillId="0" borderId="0" xfId="0" applyFont="1">
      <alignment horizontal="right" vertical="center" wrapText="1"/>
    </xf>
    <xf numFmtId="0" fontId="26" fillId="0" borderId="0" xfId="0" applyFont="1">
      <alignment vertical="center" wrapText="1"/>
    </xf>
    <xf numFmtId="0" fontId="27" fillId="0" borderId="0" xfId="0" applyFont="1">
      <alignment wrapText="1"/>
    </xf>
    <xf numFmtId="0" fontId="21" fillId="0" borderId="0" xfId="0" applyFont="1">
      <alignment vertical="center" wrapText="1"/>
    </xf>
    <xf numFmtId="20" fontId="21" fillId="0" borderId="0" xfId="0" applyFont="1" applyNumberFormat="1"/>
    <xf numFmtId="0" fontId="24" fillId="0" borderId="11" xfId="0" applyFont="1" applyBorder="1">
      <alignment horizontal="center" vertical="center" wrapText="1"/>
    </xf>
    <xf numFmtId="0" fontId="24" fillId="0" borderId="15" xfId="0" applyFont="1" applyBorder="1">
      <alignment horizontal="center" vertical="center" wrapText="1"/>
    </xf>
    <xf numFmtId="0" fontId="28" fillId="0" borderId="0" xfId="0" applyFont="1">
      <alignment vertical="center"/>
    </xf>
    <xf numFmtId="0" fontId="27" fillId="0" borderId="0" xfId="0" applyFont="1"/>
    <xf numFmtId="0" fontId="24" fillId="0" borderId="14" xfId="0" applyFont="1" applyBorder="1">
      <alignment horizontal="center" vertical="center" wrapText="1"/>
    </xf>
    <xf numFmtId="0" fontId="0" fillId="0" borderId="0" xfId="50" applyFont="1">
      <alignment vertical="center"/>
    </xf>
    <xf numFmtId="0" fontId="29" fillId="0" borderId="0" xfId="0" applyFont="1">
      <alignment horizontal="center" vertical="center" wrapText="1"/>
    </xf>
    <xf numFmtId="0" fontId="30" fillId="0" borderId="0" xfId="0" applyFont="1">
      <alignment horizontal="left" vertical="center" wrapText="1"/>
    </xf>
    <xf numFmtId="0" fontId="30" fillId="0" borderId="16" xfId="0" applyFont="1" applyBorder="1">
      <alignment horizontal="right" vertical="center" wrapText="1"/>
    </xf>
    <xf numFmtId="0" fontId="31" fillId="0" borderId="0" xfId="0" applyFont="1">
      <alignment horizontal="right" vertical="center"/>
    </xf>
    <xf numFmtId="0" fontId="32" fillId="0" borderId="0" xfId="0" applyFont="1">
      <alignment horizontal="left" vertical="center"/>
    </xf>
    <xf numFmtId="0" fontId="33" fillId="0" borderId="10" xfId="0" applyFont="1" applyBorder="1">
      <alignment horizontal="center" vertical="center" wrapText="1"/>
    </xf>
    <xf numFmtId="0" fontId="33" fillId="0" borderId="12" xfId="0" applyFont="1" applyBorder="1">
      <alignment horizontal="center" vertical="center" wrapText="1"/>
    </xf>
    <xf numFmtId="0" fontId="33" fillId="0" borderId="14" xfId="0" applyFont="1" applyBorder="1">
      <alignment horizontal="center" vertical="center" wrapText="1"/>
    </xf>
    <xf numFmtId="172" fontId="33" fillId="0" borderId="14" xfId="0" applyFont="1" applyBorder="1" applyNumberFormat="1">
      <alignment horizontal="center" vertical="center" wrapText="1"/>
    </xf>
    <xf numFmtId="171" fontId="33" fillId="0" borderId="10" xfId="0" applyFont="1" applyBorder="1" applyNumberFormat="1">
      <alignment horizontal="center" vertical="center" wrapText="1"/>
    </xf>
    <xf numFmtId="173" fontId="34" fillId="0" borderId="10" xfId="0" applyFont="1" applyBorder="1" applyNumberFormat="1">
      <alignment horizontal="center" vertical="center" wrapText="1" shrinkToFit="1"/>
    </xf>
    <xf numFmtId="0" fontId="34" fillId="0" borderId="10" xfId="0" applyFont="1" applyBorder="1">
      <alignment horizontal="center" vertical="center" wrapText="1"/>
    </xf>
    <xf numFmtId="171" fontId="33" fillId="0" borderId="11" xfId="0" applyFont="1" applyBorder="1" applyNumberFormat="1">
      <alignment horizontal="center" vertical="center" wrapText="1"/>
    </xf>
    <xf numFmtId="0" fontId="33" fillId="0" borderId="0" xfId="0" applyFont="1">
      <alignment horizontal="right" vertical="center" wrapText="1"/>
    </xf>
    <xf numFmtId="0" fontId="33" fillId="0" borderId="17" xfId="0" applyFont="1" applyBorder="1">
      <alignment horizontal="center" vertical="center" wrapText="1"/>
    </xf>
    <xf numFmtId="0" fontId="33" fillId="0" borderId="0" xfId="0" applyFont="1">
      <alignment horizontal="center" vertical="center" wrapText="1"/>
    </xf>
    <xf numFmtId="0" fontId="33" fillId="0" borderId="16" xfId="0" applyFont="1" applyBorder="1">
      <alignment horizontal="center" vertical="center"/>
    </xf>
    <xf numFmtId="172" fontId="33" fillId="0" borderId="0" xfId="0" applyFont="1" applyNumberFormat="1">
      <alignment horizontal="right" vertical="center" wrapText="1"/>
    </xf>
    <xf numFmtId="0" fontId="32" fillId="0" borderId="0" xfId="0" applyFont="1">
      <alignment horizontal="right" vertical="center"/>
    </xf>
    <xf numFmtId="0" fontId="33" fillId="0" borderId="13" xfId="0" applyFont="1" applyBorder="1">
      <alignment horizontal="center" vertical="center" wrapText="1"/>
    </xf>
    <xf numFmtId="0" fontId="33" fillId="0" borderId="11" xfId="0" applyFont="1" applyBorder="1">
      <alignment horizontal="center" vertical="center" wrapText="1"/>
    </xf>
    <xf numFmtId="0" fontId="33" fillId="0" borderId="15" xfId="0" applyFont="1" applyBorder="1">
      <alignment horizontal="center" vertical="center" wrapText="1"/>
    </xf>
    <xf numFmtId="172" fontId="33" fillId="0" borderId="16" xfId="0" applyFont="1" applyBorder="1" applyNumberFormat="1">
      <alignment horizontal="center" vertical="center"/>
    </xf>
    <xf numFmtId="0" fontId="35" fillId="0" borderId="0" xfId="0" applyFont="1">
      <alignment horizontal="center" vertical="center" wrapText="1"/>
    </xf>
    <xf numFmtId="2" fontId="34" fillId="0" borderId="0" xfId="0" applyFont="1" applyNumberFormat="1">
      <alignment horizontal="left" vertical="center"/>
    </xf>
    <xf numFmtId="0" fontId="36" fillId="0" borderId="10" xfId="0" applyFont="1" applyBorder="1">
      <alignment horizontal="center" vertical="center" wrapText="1"/>
    </xf>
    <xf numFmtId="171" fontId="33" fillId="0" borderId="10" xfId="0" applyFont="1" applyBorder="1" applyNumberFormat="1">
      <alignment horizontal="right" vertical="center" wrapText="1"/>
    </xf>
    <xf numFmtId="174" fontId="33" fillId="0" borderId="10" xfId="0" applyFont="1" applyBorder="1" applyNumberFormat="1">
      <alignment horizontal="center" vertical="center" wrapText="1"/>
    </xf>
    <xf numFmtId="0" fontId="21" fillId="0" borderId="10" xfId="0" applyFont="1" applyBorder="1">
      <alignment vertical="center" wrapText="1"/>
    </xf>
    <xf numFmtId="171" fontId="33" fillId="0" borderId="18" xfId="0" applyFont="1" applyBorder="1" applyNumberFormat="1">
      <alignment horizontal="center" vertical="center" wrapText="1"/>
    </xf>
    <xf numFmtId="171" fontId="33" fillId="0" borderId="11" xfId="0" applyFont="1" applyBorder="1" applyNumberFormat="1">
      <alignment horizontal="center" vertical="center"/>
      <protection locked="0"/>
    </xf>
    <xf numFmtId="171" fontId="36" fillId="0" borderId="10" xfId="0" applyFont="1" applyBorder="1" applyNumberFormat="1">
      <alignment horizontal="center" vertical="center" wrapText="1"/>
    </xf>
    <xf numFmtId="171" fontId="33" fillId="0" borderId="10" xfId="0" applyFont="1" applyBorder="1" applyNumberFormat="1">
      <alignment horizontal="center" vertical="center" wrapText="1"/>
      <protection locked="0"/>
    </xf>
    <xf numFmtId="0" fontId="34" fillId="0" borderId="10" xfId="0" applyFont="1" applyBorder="1">
      <alignment vertical="center"/>
    </xf>
    <xf numFmtId="171" fontId="36" fillId="0" borderId="0" xfId="0" applyFont="1" applyNumberFormat="1">
      <alignment horizontal="center" vertical="center" wrapText="1"/>
    </xf>
    <xf numFmtId="171" fontId="33" fillId="0" borderId="0" xfId="0" applyFont="1" applyNumberFormat="1">
      <alignment horizontal="center" vertical="center" wrapText="1"/>
    </xf>
    <xf numFmtId="171" fontId="33" fillId="0" borderId="0" xfId="0" applyFont="1" applyNumberFormat="1">
      <alignment horizontal="right" vertical="center" wrapText="1"/>
    </xf>
    <xf numFmtId="0" fontId="21" fillId="0" borderId="0" xfId="0" applyFont="1">
      <alignment horizontal="center" vertical="center"/>
    </xf>
    <xf numFmtId="0" fontId="37" fillId="0" borderId="10" xfId="0" applyFont="1" applyBorder="1">
      <alignment horizontal="center" vertical="center"/>
    </xf>
    <xf numFmtId="0" fontId="36" fillId="0" borderId="10" xfId="50" applyFont="1" applyBorder="1">
      <alignment horizontal="center" vertical="center" wrapText="1"/>
    </xf>
    <xf numFmtId="0" fontId="33" fillId="0" borderId="10" xfId="0" applyFont="1" applyBorder="1">
      <alignment horizontal="center" vertical="center"/>
    </xf>
    <xf numFmtId="0" fontId="33" fillId="0" borderId="10" xfId="50" applyFont="1" applyBorder="1">
      <alignment horizontal="center" vertical="center" wrapText="1"/>
    </xf>
    <xf numFmtId="0" fontId="36" fillId="0" borderId="10" xfId="0" applyFont="1" applyBorder="1">
      <alignment horizontal="left" vertical="center"/>
    </xf>
    <xf numFmtId="0" fontId="33" fillId="0" borderId="11" xfId="0" applyFont="1" applyBorder="1">
      <alignment horizontal="center" vertical="center"/>
    </xf>
    <xf numFmtId="0" fontId="36" fillId="0" borderId="12" xfId="0" applyFont="1" applyBorder="1">
      <alignment horizontal="left" vertical="center"/>
    </xf>
    <xf numFmtId="0" fontId="34" fillId="0" borderId="0" xfId="0" applyFont="1">
      <alignment vertical="center"/>
    </xf>
    <xf numFmtId="0" fontId="33" fillId="0" borderId="10" xfId="0" applyFont="1" applyBorder="1">
      <alignment horizontal="left" vertical="center"/>
    </xf>
    <xf numFmtId="0" fontId="33" fillId="0" borderId="12" xfId="0" applyFont="1" applyBorder="1">
      <alignment horizontal="left" vertical="center"/>
    </xf>
    <xf numFmtId="0" fontId="33" fillId="0" borderId="11" xfId="0" applyFont="1" applyBorder="1">
      <alignment horizontal="left" vertical="center"/>
    </xf>
    <xf numFmtId="0" fontId="33" fillId="0" borderId="18" xfId="0" applyFont="1" applyBorder="1">
      <alignment horizontal="left" vertical="center"/>
    </xf>
    <xf numFmtId="0" fontId="38" fillId="0" borderId="19" xfId="0" applyFont="1" applyBorder="1">
      <alignment horizontal="right" vertical="center"/>
    </xf>
    <xf numFmtId="2" fontId="34" fillId="0" borderId="16" xfId="0" applyFont="1" applyBorder="1" applyNumberFormat="1">
      <alignment horizontal="left" vertical="center"/>
    </xf>
    <xf numFmtId="0" fontId="33" fillId="0" borderId="0" xfId="0" applyFont="1">
      <alignment horizontal="left" vertical="center" wrapText="1"/>
    </xf>
    <xf numFmtId="175" fontId="33" fillId="0" borderId="10" xfId="0" applyFont="1" applyBorder="1" applyNumberFormat="1">
      <alignment horizontal="center" vertical="center" wrapText="1"/>
    </xf>
    <xf numFmtId="171" fontId="33" fillId="0" borderId="11" xfId="0" applyFont="1" applyBorder="1" applyNumberFormat="1">
      <alignment horizontal="center" vertical="center"/>
    </xf>
    <xf numFmtId="171" fontId="33" fillId="0" borderId="10" xfId="0" applyFont="1" applyBorder="1" applyNumberFormat="1">
      <alignment horizontal="center" vertical="center"/>
    </xf>
    <xf numFmtId="171" fontId="33" fillId="0" borderId="0" xfId="0" applyFont="1" applyNumberFormat="1">
      <alignment horizontal="center" vertical="top" wrapText="1"/>
    </xf>
    <xf numFmtId="0" fontId="34" fillId="0" borderId="10" xfId="0" applyFont="1" applyBorder="1">
      <alignment horizontal="center" vertical="center"/>
    </xf>
    <xf numFmtId="0" fontId="32" fillId="0" borderId="0" xfId="0" applyFont="1">
      <alignment vertical="center"/>
    </xf>
    <xf numFmtId="171" fontId="29" fillId="0" borderId="0" xfId="0" applyFont="1" applyNumberFormat="1">
      <alignment horizontal="center" vertical="center" wrapText="1"/>
    </xf>
    <xf numFmtId="49" fontId="32" fillId="33" borderId="0" xfId="0" applyFont="1" applyFill="1" applyNumberFormat="1">
      <alignment horizontal="left" vertical="center"/>
    </xf>
    <xf numFmtId="0" fontId="32" fillId="33" borderId="0" xfId="0" applyFont="1" applyFill="1">
      <alignment horizontal="right" vertical="center" wrapText="1" shrinkToFit="1"/>
    </xf>
    <xf numFmtId="0" fontId="32" fillId="33" borderId="0" xfId="0" applyFont="1" applyFill="1">
      <alignment horizontal="left" vertical="center"/>
    </xf>
    <xf numFmtId="171" fontId="33" fillId="0" borderId="10" xfId="0" applyFont="1" applyBorder="1" applyNumberFormat="1">
      <alignment horizontal="left" vertical="center" wrapText="1"/>
    </xf>
    <xf numFmtId="175" fontId="33" fillId="0" borderId="11" xfId="0" applyFont="1" applyBorder="1" applyNumberFormat="1">
      <alignment horizontal="center" vertical="center" wrapText="1"/>
    </xf>
    <xf numFmtId="171" fontId="33" fillId="0" borderId="12" xfId="0" applyFont="1" applyBorder="1" applyNumberFormat="1">
      <alignment horizontal="center" vertical="center" wrapText="1"/>
    </xf>
    <xf numFmtId="171" fontId="33" fillId="0" borderId="16" xfId="0" applyFont="1" applyBorder="1" applyNumberFormat="1">
      <alignment horizontal="center" vertical="center" wrapText="1"/>
    </xf>
    <xf numFmtId="176" fontId="32" fillId="33" borderId="0" xfId="0" applyFont="1" applyFill="1" applyNumberFormat="1">
      <alignment horizontal="right" vertical="center"/>
    </xf>
    <xf numFmtId="177" fontId="32" fillId="33" borderId="0" xfId="0" applyFont="1" applyFill="1" applyNumberFormat="1">
      <alignment horizontal="left" vertical="center"/>
    </xf>
    <xf numFmtId="49" fontId="32" fillId="33" borderId="0" xfId="0" applyFont="1" applyFill="1" applyNumberFormat="1">
      <alignment horizontal="right" vertical="center"/>
    </xf>
    <xf numFmtId="0" fontId="32" fillId="0" borderId="0" xfId="50" applyFont="1">
      <alignment vertical="center"/>
    </xf>
    <xf numFmtId="0" fontId="0" fillId="0" borderId="0" xfId="0" applyFont="1">
      <alignment vertical="center" wrapText="1"/>
    </xf>
    <xf numFmtId="174" fontId="33" fillId="0" borderId="11" xfId="0" applyFont="1" applyBorder="1" applyNumberFormat="1">
      <alignment horizontal="center" vertical="center" wrapText="1"/>
    </xf>
    <xf numFmtId="0" fontId="39" fillId="0" borderId="0" xfId="0" applyFont="1">
      <alignment horizontal="center" vertical="center" wrapText="1"/>
    </xf>
    <xf numFmtId="0" fontId="24" fillId="0" borderId="0" xfId="0" applyFont="1">
      <alignment horizontal="center" vertical="center" wrapText="1"/>
    </xf>
    <xf numFmtId="0" fontId="0" fillId="0" borderId="0" xfId="0" applyFont="1"/>
    <xf numFmtId="20" fontId="0" fillId="0" borderId="0" xfId="0" applyFont="1" applyNumberFormat="1"/>
    <xf numFmtId="49" fontId="40" fillId="0" borderId="10" xfId="0" applyFont="1" applyBorder="1" applyNumberFormat="1">
      <alignment horizontal="left" vertical="center"/>
    </xf>
    <xf numFmtId="0" fontId="24" fillId="0" borderId="10" xfId="0" applyFont="1" applyBorder="1">
      <alignment horizontal="left" vertical="top" wrapText="1"/>
    </xf>
    <xf numFmtId="171" fontId="34" fillId="0" borderId="10" xfId="0" applyFont="1" applyBorder="1" applyNumberFormat="1">
      <alignment horizontal="right" vertical="center" wrapText="1"/>
    </xf>
    <xf numFmtId="171" fontId="38" fillId="0" borderId="10" xfId="0" applyFont="1" applyBorder="1" applyNumberFormat="1">
      <alignment horizontal="right" vertical="center" wrapText="1"/>
    </xf>
    <xf numFmtId="171" fontId="21" fillId="0" borderId="10" xfId="0" applyFont="1" applyBorder="1" applyNumberFormat="1">
      <alignment vertical="center" wrapText="1"/>
    </xf>
    <xf numFmtId="0" fontId="24" fillId="0" borderId="0" xfId="0" applyFont="1">
      <alignment vertical="center" wrapText="1"/>
    </xf>
    <xf numFmtId="0" fontId="24" fillId="0" borderId="0" xfId="0" applyFont="1">
      <alignment horizontal="right" vertical="center" wrapText="1"/>
    </xf>
    <xf numFmtId="0" fontId="0" fillId="0" borderId="0" xfId="0" applyFont="1">
      <alignment wrapText="1"/>
    </xf>
    <xf numFmtId="0" fontId="24" fillId="0" borderId="10" xfId="0" applyFont="1" applyBorder="1">
      <alignment vertical="center" wrapText="1"/>
    </xf>
    <xf numFmtId="0" fontId="32" fillId="0" borderId="0" xfId="0" applyFont="1">
      <alignment horizontal="center" vertical="center"/>
    </xf>
    <xf numFmtId="0" fontId="34" fillId="0" borderId="0" xfId="0" applyFont="1">
      <alignment horizontal="center" vertical="center"/>
    </xf>
    <xf numFmtId="175" fontId="21" fillId="0" borderId="0" xfId="0" applyFont="1" applyNumberFormat="1">
      <alignment horizontal="center" vertical="center"/>
    </xf>
    <xf numFmtId="175" fontId="30" fillId="0" borderId="0" xfId="0" applyFont="1" applyNumberFormat="1">
      <alignment horizontal="left" vertical="center" wrapText="1"/>
    </xf>
    <xf numFmtId="175" fontId="30" fillId="0" borderId="0" xfId="0" applyFont="1" applyNumberFormat="1">
      <alignment horizontal="right" vertical="center" wrapText="1"/>
    </xf>
    <xf numFmtId="2" fontId="32" fillId="0" borderId="0" xfId="0" applyFont="1" applyNumberFormat="1">
      <alignment horizontal="left" vertical="center" wrapText="1"/>
    </xf>
    <xf numFmtId="175" fontId="30" fillId="0" borderId="18" xfId="0" applyFont="1" applyBorder="1" applyNumberFormat="1">
      <alignment horizontal="center" vertical="center" wrapText="1"/>
    </xf>
    <xf numFmtId="175" fontId="30" fillId="0" borderId="20" xfId="0" applyFont="1" applyBorder="1" applyNumberFormat="1">
      <alignment horizontal="center" vertical="center" wrapText="1"/>
    </xf>
    <xf numFmtId="175" fontId="30" fillId="0" borderId="21" xfId="0" applyFont="1" applyBorder="1" applyNumberFormat="1">
      <alignment horizontal="center" vertical="center" wrapText="1"/>
    </xf>
    <xf numFmtId="175" fontId="30" fillId="0" borderId="12" xfId="0" applyFont="1" applyBorder="1" applyNumberFormat="1">
      <alignment horizontal="center" vertical="center" wrapText="1"/>
    </xf>
    <xf numFmtId="175" fontId="30" fillId="0" borderId="10" xfId="0" applyFont="1" applyBorder="1" applyNumberFormat="1">
      <alignment horizontal="center" vertical="center" wrapText="1"/>
    </xf>
    <xf numFmtId="175" fontId="30" fillId="0" borderId="22" xfId="0" applyFont="1" applyBorder="1" applyNumberFormat="1">
      <alignment horizontal="center" vertical="center" wrapText="1"/>
    </xf>
    <xf numFmtId="175" fontId="30" fillId="0" borderId="16" xfId="0" applyFont="1" applyBorder="1" applyNumberFormat="1">
      <alignment horizontal="center" vertical="center" wrapText="1"/>
    </xf>
    <xf numFmtId="175" fontId="30" fillId="0" borderId="23" xfId="0" applyFont="1" applyBorder="1" applyNumberFormat="1">
      <alignment horizontal="center" vertical="center" wrapText="1"/>
    </xf>
    <xf numFmtId="49" fontId="41" fillId="33" borderId="10" xfId="0" applyFont="1" applyFill="1" applyBorder="1" applyNumberFormat="1">
      <alignment horizontal="left" vertical="center"/>
    </xf>
    <xf numFmtId="49" fontId="34" fillId="33" borderId="10" xfId="0" applyFont="1" applyFill="1" applyBorder="1" applyNumberFormat="1">
      <alignment horizontal="left" vertical="center"/>
    </xf>
    <xf numFmtId="171" fontId="33" fillId="0" borderId="22" xfId="0" applyFont="1" applyBorder="1" applyNumberFormat="1">
      <alignment horizontal="center" vertical="center" wrapText="1"/>
    </xf>
    <xf numFmtId="171" fontId="33" fillId="0" borderId="23" xfId="0" applyFont="1" applyBorder="1" applyNumberFormat="1">
      <alignment horizontal="center" vertical="center" wrapText="1"/>
    </xf>
    <xf numFmtId="171" fontId="33" fillId="0" borderId="13" xfId="0" applyFont="1" applyBorder="1" applyNumberFormat="1">
      <alignment horizontal="center" vertical="center" wrapText="1"/>
    </xf>
    <xf numFmtId="49" fontId="34" fillId="33" borderId="12" xfId="0" applyFont="1" applyFill="1" applyBorder="1" applyNumberFormat="1">
      <alignment horizontal="left" vertical="center"/>
    </xf>
    <xf numFmtId="49" fontId="34" fillId="33" borderId="17" xfId="0" applyFont="1" applyFill="1" applyBorder="1" applyNumberFormat="1">
      <alignment horizontal="left" vertical="center"/>
    </xf>
    <xf numFmtId="49" fontId="34" fillId="33" borderId="13" xfId="0" applyFont="1" applyFill="1" applyBorder="1" applyNumberFormat="1">
      <alignment horizontal="left" vertical="center"/>
    </xf>
    <xf numFmtId="171" fontId="33" fillId="0" borderId="21" xfId="0" applyFont="1" applyBorder="1" applyNumberFormat="1">
      <alignment horizontal="center" vertical="center" wrapText="1"/>
    </xf>
    <xf numFmtId="175" fontId="33" fillId="0" borderId="0" xfId="0" applyFont="1" applyNumberFormat="1">
      <alignment horizontal="right" vertical="center"/>
    </xf>
    <xf numFmtId="175" fontId="33" fillId="0" borderId="16" xfId="0" applyFont="1" applyBorder="1" applyNumberFormat="1">
      <alignment horizontal="center" vertical="center"/>
    </xf>
    <xf numFmtId="175" fontId="33" fillId="0" borderId="20" xfId="0" applyFont="1" applyBorder="1" applyNumberFormat="1">
      <alignment horizontal="right" vertical="center"/>
    </xf>
    <xf numFmtId="2" fontId="32" fillId="0" borderId="0" xfId="0" applyFont="1" applyNumberFormat="1">
      <alignment horizontal="right" vertical="center"/>
    </xf>
    <xf numFmtId="0" fontId="31" fillId="0" borderId="16" xfId="0" applyFont="1" applyBorder="1">
      <alignment vertical="center"/>
    </xf>
    <xf numFmtId="49" fontId="32" fillId="33" borderId="0" xfId="0" applyFont="1" applyFill="1" applyNumberFormat="1">
      <alignment horizontal="center" vertical="center" wrapText="1"/>
    </xf>
    <xf numFmtId="0" fontId="32" fillId="0" borderId="0" xfId="50" applyFont="1">
      <alignment horizontal="center" vertical="center"/>
    </xf>
    <xf numFmtId="0" fontId="30" fillId="0" borderId="10" xfId="0" applyFont="1" applyBorder="1">
      <alignment horizontal="center" vertical="center" wrapText="1"/>
    </xf>
    <xf numFmtId="175" fontId="30" fillId="0" borderId="24" xfId="0" applyFont="1" applyBorder="1" applyNumberFormat="1">
      <alignment horizontal="center" vertical="center" wrapText="1"/>
    </xf>
    <xf numFmtId="175" fontId="30" fillId="0" borderId="0" xfId="0" applyFont="1" applyNumberFormat="1">
      <alignment horizontal="center" vertical="center" wrapText="1"/>
    </xf>
    <xf numFmtId="0" fontId="30" fillId="0" borderId="11" xfId="0" applyFont="1" applyBorder="1">
      <alignment horizontal="center" vertical="center" wrapText="1"/>
    </xf>
    <xf numFmtId="171" fontId="33" fillId="0" borderId="17" xfId="0" applyFont="1" applyBorder="1" applyNumberFormat="1">
      <alignment horizontal="center" vertical="center" wrapText="1"/>
    </xf>
    <xf numFmtId="0" fontId="42" fillId="0" borderId="0" xfId="0" applyFont="1">
      <alignment horizontal="center" vertical="center"/>
    </xf>
    <xf numFmtId="175" fontId="33" fillId="0" borderId="0" xfId="0" applyFont="1" applyNumberFormat="1">
      <alignment horizontal="right" vertical="top"/>
    </xf>
    <xf numFmtId="0" fontId="34" fillId="0" borderId="0" xfId="0" applyFont="1">
      <alignment horizontal="right" vertical="center"/>
    </xf>
    <xf numFmtId="0" fontId="33" fillId="0" borderId="0" xfId="0" applyFont="1">
      <alignment vertical="center"/>
    </xf>
    <xf numFmtId="0" fontId="43" fillId="0" borderId="0" xfId="0" applyFont="1">
      <alignment horizontal="center" vertical="center" wrapText="1"/>
    </xf>
    <xf numFmtId="0" fontId="37" fillId="0" borderId="0" xfId="0" applyFont="1">
      <alignment horizontal="center" vertical="center" wrapText="1"/>
    </xf>
    <xf numFmtId="0" fontId="30" fillId="0" borderId="0" xfId="0" applyFont="1">
      <alignment horizontal="center" vertical="center" wrapText="1"/>
    </xf>
    <xf numFmtId="14" fontId="30" fillId="0" borderId="0" xfId="0" applyFont="1" applyNumberFormat="1">
      <alignment horizontal="center" vertical="center" wrapText="1"/>
    </xf>
    <xf numFmtId="0" fontId="37" fillId="0" borderId="25" xfId="0" applyFont="1" applyBorder="1">
      <alignment horizontal="center" vertical="center" wrapText="1"/>
    </xf>
    <xf numFmtId="0" fontId="30" fillId="0" borderId="25" xfId="0" applyFont="1" applyBorder="1">
      <alignment horizontal="center" vertical="center" wrapText="1"/>
    </xf>
    <xf numFmtId="0" fontId="33" fillId="0" borderId="25" xfId="0" applyFont="1" applyBorder="1">
      <alignment horizontal="center" vertical="center" wrapText="1"/>
    </xf>
    <xf numFmtId="0" fontId="33" fillId="0" borderId="26" xfId="0" applyFont="1" applyBorder="1">
      <alignment horizontal="center" vertical="center" wrapText="1"/>
    </xf>
    <xf numFmtId="49" fontId="40" fillId="0" borderId="27" xfId="0" applyFont="1" applyBorder="1" applyNumberFormat="1">
      <alignment horizontal="left" vertical="center"/>
    </xf>
    <xf numFmtId="171" fontId="33" fillId="0" borderId="28" xfId="0" applyFont="1" applyBorder="1" applyNumberFormat="1">
      <alignment horizontal="right" vertical="center" wrapText="1"/>
    </xf>
    <xf numFmtId="171" fontId="33" fillId="0" borderId="29" xfId="0" applyFont="1" applyBorder="1" applyNumberFormat="1">
      <alignment horizontal="right" vertical="center" wrapText="1"/>
    </xf>
    <xf numFmtId="49" fontId="40" fillId="0" borderId="30" xfId="0" applyFont="1" applyBorder="1" applyNumberFormat="1">
      <alignment horizontal="left" vertical="center"/>
    </xf>
    <xf numFmtId="171" fontId="33" fillId="0" borderId="25" xfId="0" applyFont="1" applyBorder="1" applyNumberFormat="1">
      <alignment horizontal="right" vertical="center" wrapText="1"/>
    </xf>
    <xf numFmtId="171" fontId="33" fillId="0" borderId="31" xfId="0" applyFont="1" applyBorder="1" applyNumberFormat="1">
      <alignment horizontal="right" vertical="center" wrapText="1"/>
    </xf>
    <xf numFmtId="171" fontId="44" fillId="0" borderId="25" xfId="0" applyFont="1" applyBorder="1" applyNumberFormat="1">
      <alignment horizontal="right" vertical="center" wrapText="1"/>
    </xf>
    <xf numFmtId="171" fontId="24" fillId="0" borderId="25" xfId="0" applyFont="1" applyBorder="1" applyNumberFormat="1">
      <alignment horizontal="right" vertical="center" wrapText="1"/>
    </xf>
    <xf numFmtId="49" fontId="40" fillId="0" borderId="32" xfId="0" applyFont="1" applyBorder="1" applyNumberFormat="1">
      <alignment horizontal="left" vertical="center"/>
    </xf>
    <xf numFmtId="0" fontId="33" fillId="0" borderId="25" xfId="0" applyFont="1" applyBorder="1">
      <alignment vertical="center" wrapText="1"/>
    </xf>
    <xf numFmtId="0" fontId="21" fillId="0" borderId="25" xfId="0" applyFont="1" applyBorder="1">
      <alignment vertical="center" wrapText="1"/>
    </xf>
    <xf numFmtId="0" fontId="21" fillId="0" borderId="25" xfId="0" applyFont="1" applyBorder="1">
      <alignment horizontal="center" vertical="center" wrapText="1"/>
    </xf>
    <xf numFmtId="0" fontId="21" fillId="0" borderId="0" xfId="0" applyFont="1">
      <alignment horizontal="center" vertical="center" wrapText="1"/>
    </xf>
    <xf numFmtId="0" fontId="44" fillId="0" borderId="0" xfId="0" applyFont="1">
      <alignment horizontal="center" vertical="center" wrapText="1"/>
    </xf>
    <xf numFmtId="0" fontId="33" fillId="0" borderId="0" xfId="0" applyFont="1">
      <alignment vertical="center" wrapText="1"/>
    </xf>
    <xf numFmtId="0" fontId="0" fillId="0" borderId="0" xfId="0" applyFont="1">
      <alignment horizontal="center" vertical="center" wrapText="1"/>
    </xf>
    <xf numFmtId="0" fontId="0" fillId="0" borderId="0" xfId="0" applyFont="1">
      <alignment horizontal="right" vertical="center" wrapText="1"/>
    </xf>
    <xf numFmtId="171" fontId="33" fillId="0" borderId="33" xfId="0" applyFont="1" applyBorder="1" applyNumberFormat="1">
      <alignment horizontal="right" vertical="center" wrapText="1"/>
    </xf>
    <xf numFmtId="0" fontId="21" fillId="0" borderId="28" xfId="0" applyFont="1" applyBorder="1">
      <alignment vertical="center" wrapText="1"/>
    </xf>
    <xf numFmtId="0" fontId="44" fillId="0" borderId="0" xfId="0" applyFont="1">
      <alignment vertical="center" wrapText="1"/>
    </xf>
    <xf numFmtId="0" fontId="0" fillId="0" borderId="0" xfId="0" applyFont="1">
      <alignment horizontal="center" vertical="center"/>
    </xf>
    <xf numFmtId="0" fontId="30" fillId="0" borderId="0" xfId="0" applyFont="1">
      <alignment horizontal="right" vertical="center" wrapText="1"/>
    </xf>
    <xf numFmtId="49" fontId="32" fillId="33" borderId="10" xfId="0" applyFont="1" applyFill="1" applyBorder="1" applyNumberFormat="1">
      <alignment horizontal="center" vertical="center"/>
    </xf>
    <xf numFmtId="0" fontId="30" fillId="0" borderId="12" xfId="0" applyFont="1" applyBorder="1">
      <alignment horizontal="center" vertical="center" wrapText="1"/>
    </xf>
    <xf numFmtId="0" fontId="33" fillId="0" borderId="34" xfId="0" applyFont="1" applyBorder="1">
      <alignment horizontal="right" vertical="center" wrapText="1"/>
    </xf>
    <xf numFmtId="0" fontId="33" fillId="0" borderId="35" xfId="0" applyFont="1" applyBorder="1">
      <alignment horizontal="center" vertical="center" wrapText="1"/>
    </xf>
    <xf numFmtId="0" fontId="33" fillId="0" borderId="0" xfId="0" applyFont="1">
      <alignment horizontal="right" vertical="center"/>
    </xf>
    <xf numFmtId="177" fontId="32" fillId="0" borderId="0" xfId="0" applyFont="1" applyNumberFormat="1">
      <alignment horizontal="left" vertical="center"/>
    </xf>
    <xf numFmtId="0" fontId="30" fillId="0" borderId="19" xfId="0" applyFont="1" applyBorder="1">
      <alignment horizontal="center" vertical="center" wrapText="1"/>
    </xf>
    <xf numFmtId="0" fontId="34" fillId="0" borderId="16" xfId="0" applyFont="1" applyBorder="1">
      <alignment horizontal="center" vertical="center"/>
    </xf>
    <xf numFmtId="0" fontId="33" fillId="0" borderId="16" xfId="0" applyFont="1" applyBorder="1">
      <alignment horizontal="center" vertical="center" wrapText="1"/>
    </xf>
    <xf numFmtId="0" fontId="45" fillId="0" borderId="0" xfId="0" applyFont="1">
      <alignment vertical="center"/>
    </xf>
    <xf numFmtId="0" fontId="37" fillId="0" borderId="16" xfId="0" applyFont="1" applyBorder="1">
      <alignment horizontal="center" vertical="center" wrapText="1"/>
    </xf>
    <xf numFmtId="0" fontId="44" fillId="0" borderId="16" xfId="0" applyFont="1" applyBorder="1">
      <alignment vertical="center" wrapText="1"/>
    </xf>
    <xf numFmtId="0" fontId="37" fillId="0" borderId="10" xfId="0" applyFont="1" applyBorder="1">
      <alignment horizontal="center" vertical="center" wrapText="1"/>
    </xf>
    <xf numFmtId="0" fontId="37" fillId="0" borderId="14" xfId="0" applyFont="1" applyBorder="1">
      <alignment horizontal="center" vertical="center" wrapText="1"/>
    </xf>
    <xf numFmtId="0" fontId="37" fillId="0" borderId="12" xfId="0" applyFont="1" applyBorder="1">
      <alignment horizontal="center" vertical="center" wrapText="1"/>
    </xf>
    <xf numFmtId="0" fontId="37" fillId="0" borderId="17" xfId="0" applyFont="1" applyBorder="1">
      <alignment horizontal="center" vertical="center" wrapText="1"/>
    </xf>
    <xf numFmtId="0" fontId="33" fillId="0" borderId="11" xfId="0" applyFont="1" applyBorder="1">
      <alignment vertical="center" wrapText="1"/>
    </xf>
    <xf numFmtId="0" fontId="33" fillId="0" borderId="10" xfId="0" applyFont="1" applyBorder="1">
      <alignment horizontal="left" vertical="center" wrapText="1"/>
    </xf>
    <xf numFmtId="0" fontId="33" fillId="0" borderId="12" xfId="0" applyFont="1" applyBorder="1">
      <alignment horizontal="left" vertical="center" wrapText="1"/>
    </xf>
    <xf numFmtId="171" fontId="33" fillId="0" borderId="10" xfId="0" applyFont="1" applyBorder="1" applyNumberFormat="1">
      <alignment horizontal="right" vertical="center" wrapText="1" indent="1"/>
    </xf>
    <xf numFmtId="0" fontId="33" fillId="0" borderId="10" xfId="0" applyFont="1" applyBorder="1">
      <alignment horizontal="left" vertical="center" wrapText="1" indent="1"/>
    </xf>
    <xf numFmtId="0" fontId="33" fillId="0" borderId="12" xfId="0" applyFont="1" applyBorder="1">
      <alignment horizontal="left" vertical="center" wrapText="1" indent="1"/>
    </xf>
    <xf numFmtId="0" fontId="33" fillId="0" borderId="10" xfId="0" applyFont="1" applyBorder="1">
      <alignment vertical="center" wrapText="1"/>
    </xf>
    <xf numFmtId="0" fontId="33" fillId="0" borderId="12" xfId="0" applyFont="1" applyBorder="1">
      <alignment vertical="center" wrapText="1"/>
    </xf>
    <xf numFmtId="0" fontId="37" fillId="0" borderId="10" xfId="0" applyFont="1" applyBorder="1">
      <alignment vertical="center" wrapText="1"/>
    </xf>
    <xf numFmtId="171" fontId="44" fillId="0" borderId="14" xfId="0" applyFont="1" applyBorder="1" applyNumberFormat="1">
      <alignment horizontal="right" vertical="center" wrapText="1" indent="1"/>
    </xf>
    <xf numFmtId="0" fontId="33" fillId="0" borderId="13" xfId="0" applyFont="1" applyBorder="1">
      <alignment vertical="center" wrapText="1"/>
    </xf>
    <xf numFmtId="0" fontId="33" fillId="0" borderId="14" xfId="0" applyFont="1" applyBorder="1">
      <alignment horizontal="center" vertical="center"/>
    </xf>
    <xf numFmtId="171" fontId="24" fillId="0" borderId="10" xfId="0" applyFont="1" applyBorder="1" applyNumberFormat="1">
      <alignment horizontal="right" vertical="center" wrapText="1" indent="1"/>
    </xf>
    <xf numFmtId="171" fontId="44" fillId="0" borderId="10" xfId="0" applyFont="1" applyBorder="1" applyNumberFormat="1">
      <alignment horizontal="right" vertical="center" wrapText="1" indent="1"/>
    </xf>
    <xf numFmtId="171" fontId="33" fillId="0" borderId="14" xfId="0" applyFont="1" applyBorder="1" applyNumberFormat="1">
      <alignment horizontal="center" vertical="center" wrapText="1"/>
    </xf>
    <xf numFmtId="0" fontId="46" fillId="0" borderId="10" xfId="0" applyFont="1" applyBorder="1">
      <alignment horizontal="center" vertical="center"/>
    </xf>
    <xf numFmtId="0" fontId="33" fillId="0" borderId="10" xfId="0" applyFont="1" applyBorder="1">
      <alignment vertical="center"/>
    </xf>
    <xf numFmtId="0" fontId="37" fillId="0" borderId="22" xfId="0" applyFont="1" applyBorder="1">
      <alignment horizontal="center" vertical="center" wrapText="1"/>
    </xf>
    <xf numFmtId="0" fontId="0" fillId="0" borderId="24" xfId="0" applyFont="1" applyBorder="1">
      <alignment horizontal="center" vertical="center"/>
    </xf>
    <xf numFmtId="171" fontId="33" fillId="0" borderId="11" xfId="0" applyFont="1" applyBorder="1" applyNumberFormat="1">
      <alignment horizontal="right" vertical="center" wrapText="1" indent="1"/>
    </xf>
    <xf numFmtId="171" fontId="33" fillId="0" borderId="12" xfId="0" applyFont="1" applyBorder="1" applyNumberFormat="1">
      <alignment horizontal="right" vertical="center" wrapText="1" indent="1"/>
    </xf>
    <xf numFmtId="171" fontId="33" fillId="0" borderId="25" xfId="0" applyFont="1" applyBorder="1" applyNumberFormat="1">
      <alignment horizontal="right" vertical="center" wrapText="1" indent="1"/>
    </xf>
    <xf numFmtId="178" fontId="33" fillId="0" borderId="34" xfId="0" applyFont="1" applyBorder="1" applyNumberFormat="1">
      <alignment horizontal="right" vertical="center" wrapText="1"/>
    </xf>
    <xf numFmtId="0" fontId="42" fillId="0" borderId="0" xfId="0" applyFont="1"/>
    <xf numFmtId="0" fontId="47" fillId="0" borderId="0" xfId="0" applyFont="1">
      <alignment vertical="center"/>
    </xf>
    <xf numFmtId="2" fontId="32" fillId="0" borderId="0" xfId="0" applyFont="1" applyNumberFormat="1">
      <alignment horizontal="right" vertical="center" wrapText="1"/>
    </xf>
    <xf numFmtId="0" fontId="30" fillId="0" borderId="36" xfId="0" applyFont="1" applyBorder="1">
      <alignment horizontal="center" vertical="center" wrapText="1"/>
    </xf>
    <xf numFmtId="0" fontId="30" fillId="0" borderId="37" xfId="0" applyFont="1" applyBorder="1">
      <alignment horizontal="center" vertical="center" wrapText="1"/>
    </xf>
    <xf numFmtId="0" fontId="30" fillId="0" borderId="38" xfId="0" applyFont="1" applyBorder="1">
      <alignment horizontal="center" vertical="center" wrapText="1"/>
    </xf>
    <xf numFmtId="0" fontId="30" fillId="0" borderId="39" xfId="0" applyFont="1" applyBorder="1">
      <alignment horizontal="center" vertical="center" wrapText="1"/>
    </xf>
    <xf numFmtId="0" fontId="30" fillId="0" borderId="40" xfId="0" applyFont="1" applyBorder="1">
      <alignment horizontal="center" vertical="center" wrapText="1"/>
    </xf>
    <xf numFmtId="0" fontId="30" fillId="0" borderId="41" xfId="0" applyFont="1" applyBorder="1">
      <alignment horizontal="center" vertical="center" wrapText="1"/>
    </xf>
    <xf numFmtId="0" fontId="33" fillId="0" borderId="14" xfId="0" applyFont="1" applyBorder="1">
      <alignment horizontal="left" vertical="center" wrapText="1"/>
    </xf>
    <xf numFmtId="0" fontId="37" fillId="0" borderId="10" xfId="0" applyFont="1" applyBorder="1">
      <alignment horizontal="left" vertical="center" wrapText="1"/>
    </xf>
    <xf numFmtId="177" fontId="32" fillId="0" borderId="0" xfId="0" applyFont="1" applyNumberFormat="1">
      <alignment horizontal="left" vertical="center" wrapText="1"/>
    </xf>
    <xf numFmtId="0" fontId="47" fillId="0" borderId="0" xfId="50" applyFont="1">
      <alignment vertical="center"/>
    </xf>
    <xf numFmtId="174" fontId="33" fillId="0" borderId="14" xfId="0" applyFont="1" applyBorder="1" applyNumberFormat="1">
      <alignment horizontal="center" vertical="center" wrapText="1"/>
    </xf>
    <xf numFmtId="20" fontId="0" fillId="0" borderId="0" xfId="0" applyFont="1" applyNumberFormat="1">
      <alignment vertical="center"/>
    </xf>
    <xf numFmtId="0" fontId="37" fillId="0" borderId="0" xfId="0" applyFont="1">
      <alignment horizontal="left" vertical="center" wrapText="1"/>
    </xf>
    <xf numFmtId="171" fontId="33" fillId="0" borderId="12" xfId="0" applyFont="1" applyBorder="1" applyNumberFormat="1">
      <alignment horizontal="right" vertical="center"/>
    </xf>
    <xf numFmtId="174" fontId="33" fillId="0" borderId="0" xfId="0" applyFont="1" applyNumberFormat="1">
      <alignment horizontal="center" vertical="center" wrapText="1"/>
    </xf>
    <xf numFmtId="0" fontId="46" fillId="0" borderId="12" xfId="0" applyFont="1" applyBorder="1">
      <alignment horizontal="center" vertical="center"/>
    </xf>
    <xf numFmtId="171" fontId="33" fillId="0" borderId="10" xfId="0" applyFont="1" applyBorder="1" applyNumberFormat="1">
      <alignment horizontal="right" vertical="center"/>
    </xf>
    <xf numFmtId="174" fontId="21" fillId="0" borderId="0" xfId="0" applyFont="1" applyNumberFormat="1">
      <alignment horizontal="center" vertical="center" wrapText="1"/>
    </xf>
    <xf numFmtId="174" fontId="34" fillId="0" borderId="0" xfId="0" applyFont="1" applyNumberFormat="1">
      <alignment horizontal="center" vertical="center" wrapText="1"/>
    </xf>
    <xf numFmtId="174" fontId="44" fillId="0" borderId="0" xfId="0" applyFont="1" applyNumberFormat="1">
      <alignment horizontal="center" vertical="center" wrapText="1"/>
    </xf>
    <xf numFmtId="0" fontId="33" fillId="0" borderId="12" xfId="0" applyFont="1" applyBorder="1">
      <alignment horizontal="right" vertical="center"/>
    </xf>
    <xf numFmtId="0" fontId="34" fillId="0" borderId="10" xfId="0" applyFont="1" applyBorder="1">
      <alignment horizontal="right" vertical="center" wrapText="1"/>
    </xf>
    <xf numFmtId="178" fontId="33" fillId="0" borderId="0" xfId="0" applyFont="1" applyNumberFormat="1">
      <alignment horizontal="center" vertical="center" wrapText="1"/>
    </xf>
    <xf numFmtId="178" fontId="34" fillId="0" borderId="0" xfId="0" applyFont="1" applyNumberFormat="1">
      <alignment horizontal="center" vertical="center" wrapText="1"/>
    </xf>
    <xf numFmtId="179" fontId="33" fillId="0" borderId="0" xfId="0" applyFont="1" applyNumberFormat="1">
      <alignment horizontal="center" vertical="center" wrapText="1"/>
    </xf>
    <xf numFmtId="0" fontId="0" fillId="0" borderId="0" xfId="50" applyFont="1">
      <alignment vertical="center" wrapText="1"/>
    </xf>
    <xf numFmtId="2" fontId="32" fillId="0" borderId="0" xfId="0" applyFont="1" applyNumberFormat="1">
      <alignment horizontal="left" vertical="center"/>
    </xf>
    <xf numFmtId="0" fontId="30" fillId="0" borderId="42" xfId="0" applyFont="1" applyBorder="1">
      <alignment horizontal="center" vertical="center" wrapText="1"/>
    </xf>
    <xf numFmtId="171" fontId="32" fillId="0" borderId="10" xfId="0" applyFont="1" applyBorder="1" applyNumberFormat="1">
      <alignment horizontal="center" vertical="center" wrapText="1"/>
    </xf>
    <xf numFmtId="0" fontId="33" fillId="0" borderId="42" xfId="0" applyFont="1" applyBorder="1">
      <alignment horizontal="center" vertical="center" wrapText="1"/>
    </xf>
    <xf numFmtId="171" fontId="34" fillId="0" borderId="10" xfId="0" applyFont="1" applyBorder="1" applyNumberFormat="1">
      <alignment horizontal="center" vertical="center" wrapText="1"/>
    </xf>
    <xf numFmtId="0" fontId="37" fillId="0" borderId="14" xfId="0" applyFont="1" applyBorder="1">
      <alignment vertical="center" wrapText="1"/>
    </xf>
    <xf numFmtId="0" fontId="38" fillId="0" borderId="10" xfId="0" applyFont="1" applyBorder="1">
      <alignment horizontal="center" vertical="center"/>
    </xf>
    <xf numFmtId="171" fontId="34" fillId="0" borderId="13" xfId="0" applyFont="1" applyBorder="1" applyNumberFormat="1">
      <alignment horizontal="center" vertical="center" wrapText="1"/>
    </xf>
    <xf numFmtId="171" fontId="34" fillId="0" borderId="13" xfId="0" applyFont="1" applyBorder="1" applyNumberFormat="1">
      <alignment horizontal="left" vertical="center" wrapText="1"/>
    </xf>
    <xf numFmtId="171" fontId="34" fillId="0" borderId="10" xfId="0" applyFont="1" applyBorder="1" applyNumberFormat="1">
      <alignment horizontal="left" vertical="center" wrapText="1"/>
    </xf>
    <xf numFmtId="174" fontId="38" fillId="0" borderId="10" xfId="0" applyFont="1" applyBorder="1" applyNumberFormat="1">
      <alignment horizontal="center" vertical="center"/>
    </xf>
    <xf numFmtId="174" fontId="34" fillId="0" borderId="10" xfId="0" applyFont="1" applyBorder="1" applyNumberFormat="1">
      <alignment horizontal="center" vertical="center" wrapText="1"/>
    </xf>
    <xf numFmtId="0" fontId="38" fillId="0" borderId="10" xfId="0" applyFont="1" applyBorder="1">
      <alignment vertical="center"/>
    </xf>
    <xf numFmtId="0" fontId="33" fillId="0" borderId="11" xfId="0" applyFont="1" applyBorder="1">
      <alignment horizontal="left" vertical="center" wrapText="1" indent="1"/>
    </xf>
    <xf numFmtId="0" fontId="33" fillId="0" borderId="18" xfId="0" applyFont="1" applyBorder="1">
      <alignment horizontal="left" vertical="center" wrapText="1" indent="1"/>
    </xf>
    <xf numFmtId="0" fontId="33" fillId="0" borderId="43" xfId="0" applyFont="1" applyBorder="1">
      <alignment vertical="center" wrapText="1"/>
    </xf>
    <xf numFmtId="0" fontId="38" fillId="0" borderId="11" xfId="0" applyFont="1" applyBorder="1">
      <alignment horizontal="center" vertical="center"/>
    </xf>
    <xf numFmtId="171" fontId="34" fillId="0" borderId="11" xfId="0" applyFont="1" applyBorder="1" applyNumberFormat="1">
      <alignment horizontal="center" vertical="center" wrapText="1"/>
    </xf>
    <xf numFmtId="0" fontId="29" fillId="0" borderId="0" xfId="50" applyFont="1">
      <alignment horizontal="center" vertical="center" wrapText="1"/>
    </xf>
    <xf numFmtId="0" fontId="30" fillId="0" borderId="0" xfId="0" applyFont="1">
      <alignment vertical="center" wrapText="1"/>
    </xf>
    <xf numFmtId="0" fontId="30" fillId="0" borderId="0" xfId="50" applyFont="1">
      <alignment horizontal="center" vertical="center" wrapText="1"/>
    </xf>
    <xf numFmtId="0" fontId="33" fillId="0" borderId="42" xfId="50" applyFont="1" applyBorder="1">
      <alignment horizontal="center" vertical="center" wrapText="1"/>
    </xf>
    <xf numFmtId="0" fontId="37" fillId="0" borderId="23" xfId="50" applyFont="1" applyBorder="1">
      <alignment horizontal="center" vertical="center" wrapText="1"/>
    </xf>
    <xf numFmtId="174" fontId="34" fillId="0" borderId="10" xfId="50" applyFont="1" applyBorder="1" applyNumberFormat="1">
      <alignment horizontal="center" vertical="center" wrapText="1"/>
    </xf>
    <xf numFmtId="0" fontId="37" fillId="0" borderId="20" xfId="0" applyFont="1" applyBorder="1">
      <alignment vertical="center" wrapText="1"/>
    </xf>
    <xf numFmtId="0" fontId="37" fillId="0" borderId="21" xfId="50" applyFont="1" applyBorder="1">
      <alignment vertical="center" wrapText="1"/>
    </xf>
    <xf numFmtId="171" fontId="33" fillId="0" borderId="31" xfId="0" applyFont="1" applyBorder="1" applyNumberFormat="1">
      <alignment horizontal="center" vertical="center" wrapText="1"/>
    </xf>
    <xf numFmtId="10" fontId="34" fillId="0" borderId="10" xfId="50" applyFont="1" applyBorder="1" applyNumberFormat="1">
      <alignment horizontal="center" vertical="center" wrapText="1"/>
    </xf>
    <xf numFmtId="171" fontId="33" fillId="0" borderId="44" xfId="0" applyFont="1" applyBorder="1" applyNumberFormat="1">
      <alignment horizontal="center" vertical="center" wrapText="1"/>
    </xf>
    <xf numFmtId="10" fontId="34" fillId="0" borderId="11" xfId="50" applyFont="1" applyBorder="1" applyNumberFormat="1">
      <alignment horizontal="center" vertical="center" wrapText="1"/>
    </xf>
    <xf numFmtId="0" fontId="38" fillId="0" borderId="16" xfId="50" applyFont="1" applyBorder="1">
      <alignment horizontal="center" vertical="center"/>
    </xf>
    <xf numFmtId="0" fontId="36" fillId="0" borderId="0" xfId="0" applyFont="1">
      <alignment horizontal="center" vertical="center" wrapText="1"/>
    </xf>
    <xf numFmtId="2" fontId="48" fillId="0" borderId="0" xfId="0" applyFont="1" applyNumberFormat="1">
      <alignment horizontal="center" vertical="center"/>
    </xf>
    <xf numFmtId="0" fontId="37" fillId="0" borderId="45" xfId="0" applyFont="1" applyBorder="1">
      <alignment horizontal="center" vertical="center" wrapText="1"/>
    </xf>
    <xf numFmtId="0" fontId="37" fillId="0" borderId="42" xfId="0" applyFont="1" applyBorder="1">
      <alignment horizontal="center" vertical="center" wrapText="1"/>
    </xf>
    <xf numFmtId="171" fontId="37" fillId="0" borderId="22" xfId="0" applyFont="1" applyBorder="1" applyNumberFormat="1">
      <alignment horizontal="center" vertical="center" wrapText="1"/>
    </xf>
    <xf numFmtId="171" fontId="37" fillId="0" borderId="16" xfId="0" applyFont="1" applyBorder="1" applyNumberFormat="1">
      <alignment horizontal="center" vertical="center" wrapText="1"/>
    </xf>
    <xf numFmtId="0" fontId="21" fillId="0" borderId="10" xfId="0" applyFont="1" applyBorder="1">
      <alignment horizontal="center" vertical="center" wrapText="1"/>
    </xf>
    <xf numFmtId="174" fontId="21" fillId="0" borderId="10" xfId="0" applyFont="1" applyBorder="1" applyNumberFormat="1">
      <alignment horizontal="center" vertical="center"/>
    </xf>
    <xf numFmtId="174" fontId="34" fillId="0" borderId="10" xfId="0" applyFont="1" applyBorder="1" applyNumberFormat="1">
      <alignment horizontal="center" vertical="center"/>
    </xf>
    <xf numFmtId="0" fontId="37" fillId="0" borderId="18" xfId="0" applyFont="1" applyBorder="1">
      <alignment horizontal="center" vertical="center" wrapText="1"/>
    </xf>
    <xf numFmtId="0" fontId="37" fillId="0" borderId="20" xfId="0" applyFont="1" applyBorder="1">
      <alignment horizontal="center" vertical="center" wrapText="1"/>
    </xf>
    <xf numFmtId="0" fontId="33" fillId="0" borderId="18" xfId="0" applyFont="1" applyBorder="1">
      <alignment horizontal="center" vertical="center" wrapText="1"/>
    </xf>
    <xf numFmtId="0" fontId="33" fillId="33" borderId="11" xfId="0" applyFont="1" applyFill="1" applyBorder="1">
      <alignment horizontal="center" vertical="center" wrapText="1"/>
    </xf>
    <xf numFmtId="0" fontId="33" fillId="33" borderId="18" xfId="0" applyFont="1" applyFill="1" applyBorder="1">
      <alignment horizontal="center" vertical="center" wrapText="1"/>
    </xf>
    <xf numFmtId="171" fontId="33" fillId="0" borderId="46" xfId="0" applyFont="1" applyBorder="1" applyNumberFormat="1">
      <alignment horizontal="center" vertical="center" wrapText="1"/>
    </xf>
    <xf numFmtId="0" fontId="33" fillId="33" borderId="43" xfId="0" applyFont="1" applyFill="1" applyBorder="1">
      <alignment horizontal="center" vertical="center" wrapText="1"/>
    </xf>
    <xf numFmtId="0" fontId="33" fillId="0" borderId="34" xfId="0" applyFont="1" applyBorder="1">
      <alignment horizontal="center" vertical="center" wrapText="1"/>
    </xf>
    <xf numFmtId="0" fontId="33" fillId="33" borderId="10" xfId="0" applyFont="1" applyFill="1" applyBorder="1">
      <alignment horizontal="center" vertical="center" wrapText="1"/>
    </xf>
    <xf numFmtId="0" fontId="49" fillId="0" borderId="19" xfId="0" applyFont="1" applyBorder="1">
      <alignment horizontal="center" vertical="center"/>
    </xf>
    <xf numFmtId="0" fontId="33" fillId="0" borderId="19" xfId="0" applyFont="1" applyBorder="1">
      <alignment horizontal="center" vertical="center"/>
    </xf>
    <xf numFmtId="0" fontId="33" fillId="0" borderId="19" xfId="0" applyFont="1" applyBorder="1">
      <alignment horizontal="center" vertical="center" wrapText="1"/>
    </xf>
    <xf numFmtId="0" fontId="37" fillId="0" borderId="13" xfId="0" applyFont="1" applyBorder="1">
      <alignment horizontal="center" vertical="center" wrapText="1"/>
    </xf>
    <xf numFmtId="171" fontId="33" fillId="0" borderId="25" xfId="0" applyFont="1" applyBorder="1" applyNumberFormat="1">
      <alignment horizontal="center" vertical="center" wrapText="1"/>
    </xf>
    <xf numFmtId="171" fontId="33" fillId="0" borderId="43" xfId="0" applyFont="1" applyBorder="1" applyNumberFormat="1">
      <alignment horizontal="center" vertical="center" wrapText="1"/>
    </xf>
    <xf numFmtId="171" fontId="33" fillId="0" borderId="26" xfId="0" applyFont="1" applyBorder="1" applyNumberFormat="1">
      <alignment horizontal="center" vertical="center" wrapText="1"/>
    </xf>
    <xf numFmtId="0" fontId="33" fillId="0" borderId="16" xfId="0" applyFont="1" applyBorder="1">
      <alignment horizontal="center" vertical="top" wrapText="1"/>
    </xf>
    <xf numFmtId="171" fontId="37" fillId="0" borderId="10" xfId="0" applyFont="1" applyBorder="1" applyNumberFormat="1">
      <alignment horizontal="center" vertical="center" wrapText="1"/>
    </xf>
    <xf numFmtId="171" fontId="34" fillId="0" borderId="10" xfId="0" applyFont="1" applyBorder="1" applyNumberFormat="1">
      <alignment horizontal="center" vertical="center"/>
    </xf>
    <xf numFmtId="0" fontId="33" fillId="33" borderId="10" xfId="0" applyFont="1" applyFill="1" applyBorder="1">
      <alignment horizontal="left" vertical="center" wrapText="1"/>
    </xf>
    <xf numFmtId="0" fontId="32" fillId="0" borderId="0" xfId="0" applyFont="1">
      <alignment horizontal="left" vertical="center" wrapText="1"/>
    </xf>
    <xf numFmtId="0" fontId="50" fillId="0" borderId="0" xfId="0" applyFont="1">
      <alignment vertical="center"/>
    </xf>
    <xf numFmtId="0" fontId="0" fillId="0" borderId="0" xfId="50" applyFont="1"/>
    <xf numFmtId="174" fontId="0" fillId="0" borderId="0" xfId="50" applyFont="1" applyNumberFormat="1">
      <alignment vertical="center"/>
    </xf>
    <xf numFmtId="174" fontId="0" fillId="0" borderId="0" xfId="0" applyFont="1" applyNumberFormat="1">
      <alignment vertical="center"/>
    </xf>
    <xf numFmtId="0" fontId="29" fillId="0" borderId="0" xfId="0" applyFont="1">
      <alignment horizontal="center" vertical="center" wrapText="1"/>
    </xf>
    <xf numFmtId="0" fontId="30" fillId="0" borderId="0" xfId="0" applyFont="1">
      <alignment horizontal="left" vertical="center" wrapText="1"/>
    </xf>
    <xf numFmtId="0" fontId="30" fillId="0" borderId="0" xfId="0" applyFont="1">
      <alignment horizontal="right" vertical="center" wrapText="1"/>
    </xf>
    <xf numFmtId="2" fontId="32" fillId="0" borderId="0" xfId="0" applyFont="1" applyNumberFormat="1">
      <alignment horizontal="left" vertical="center" wrapText="1"/>
    </xf>
    <xf numFmtId="2" fontId="32" fillId="0" borderId="0" xfId="0" applyFont="1" applyNumberFormat="1">
      <alignment horizontal="right" vertical="center" wrapText="1"/>
    </xf>
    <xf numFmtId="0" fontId="32" fillId="0" borderId="0" xfId="0" applyFont="1">
      <alignment horizontal="left" vertical="center" wrapText="1"/>
    </xf>
    <xf numFmtId="0" fontId="50" fillId="0" borderId="0" xfId="0" applyFont="1">
      <alignment vertical="center" wrapText="1"/>
    </xf>
    <xf numFmtId="0" fontId="30" fillId="0" borderId="0" xfId="0" applyFont="1">
      <alignment horizontal="center" vertical="center" wrapText="1"/>
    </xf>
    <xf numFmtId="0" fontId="30" fillId="0" borderId="10" xfId="0" applyFont="1" applyBorder="1">
      <alignment horizontal="center" vertical="center" wrapText="1"/>
    </xf>
    <xf numFmtId="0" fontId="33" fillId="0" borderId="10" xfId="0" applyFont="1" applyBorder="1">
      <alignment horizontal="center" vertical="center" wrapText="1"/>
    </xf>
    <xf numFmtId="0" fontId="37" fillId="0" borderId="10" xfId="0" applyFont="1" applyBorder="1">
      <alignment horizontal="left" vertical="center" wrapText="1"/>
    </xf>
    <xf numFmtId="171" fontId="37" fillId="0" borderId="10" xfId="0" applyFont="1" applyBorder="1" applyNumberFormat="1">
      <alignment horizontal="center" vertical="center" wrapText="1"/>
    </xf>
    <xf numFmtId="0" fontId="33" fillId="0" borderId="10" xfId="0" applyFont="1" applyBorder="1">
      <alignment horizontal="left" vertical="center" wrapText="1"/>
    </xf>
    <xf numFmtId="171" fontId="34" fillId="0" borderId="10" xfId="0" applyFont="1" applyBorder="1" applyNumberFormat="1">
      <alignment horizontal="center" vertical="center" wrapText="1"/>
    </xf>
    <xf numFmtId="174" fontId="34" fillId="0" borderId="10" xfId="0" applyFont="1" applyBorder="1" applyNumberFormat="1">
      <alignment horizontal="center" vertical="center" wrapText="1"/>
    </xf>
    <xf numFmtId="0" fontId="33" fillId="0" borderId="10" xfId="0" applyFont="1" applyBorder="1">
      <alignment horizontal="left" vertical="center" wrapText="1" indent="1"/>
    </xf>
    <xf numFmtId="171" fontId="34" fillId="0" borderId="10" xfId="0" applyFont="1" applyBorder="1" applyNumberFormat="1">
      <alignment horizontal="center" vertical="center" wrapText="1"/>
    </xf>
    <xf numFmtId="0" fontId="0" fillId="0" borderId="0" xfId="0" applyFont="1">
      <alignment wrapText="1"/>
    </xf>
    <xf numFmtId="174" fontId="34" fillId="0" borderId="10" xfId="0" applyFont="1" applyBorder="1" applyNumberFormat="1">
      <alignment horizontal="center" vertical="center" wrapText="1"/>
    </xf>
    <xf numFmtId="0" fontId="34" fillId="0" borderId="10" xfId="0" applyFont="1" applyBorder="1">
      <alignment horizontal="center" vertical="center" wrapText="1"/>
    </xf>
    <xf numFmtId="174" fontId="0" fillId="0" borderId="0" xfId="0" applyFont="1" applyNumberFormat="1">
      <alignment vertical="center" wrapText="1"/>
    </xf>
    <xf numFmtId="174" fontId="0" fillId="0" borderId="0" xfId="0" applyFont="1" applyNumberFormat="1">
      <alignment vertical="center" wrapText="1"/>
    </xf>
    <xf numFmtId="0" fontId="33" fillId="33" borderId="10" xfId="0" applyFont="1" applyFill="1" applyBorder="1">
      <alignment horizontal="left" vertical="center" wrapText="1"/>
    </xf>
    <xf numFmtId="0" fontId="33" fillId="0" borderId="0" xfId="0" applyFont="1">
      <alignment horizontal="right" vertical="center" wrapText="1"/>
    </xf>
    <xf numFmtId="0" fontId="33" fillId="0" borderId="16" xfId="0" applyFont="1" applyBorder="1">
      <alignment horizontal="center" vertical="center" wrapText="1"/>
    </xf>
    <xf numFmtId="0" fontId="33" fillId="0" borderId="0" xfId="0" applyFont="1">
      <alignment horizontal="center" vertical="center" wrapText="1"/>
    </xf>
    <xf numFmtId="0" fontId="34" fillId="0" borderId="16" xfId="0" applyFont="1" applyBorder="1">
      <alignment horizontal="center" vertical="center" wrapText="1"/>
    </xf>
    <xf numFmtId="0" fontId="33" fillId="0" borderId="16" xfId="0" applyFont="1" applyBorder="1">
      <alignment horizontal="center" vertical="center" wrapText="1"/>
    </xf>
    <xf numFmtId="0" fontId="43" fillId="0" borderId="0" xfId="0" applyFont="1">
      <alignment horizontal="center" vertical="center" wrapText="1"/>
    </xf>
    <xf numFmtId="0" fontId="0" fillId="0" borderId="0" xfId="0" applyFont="1">
      <alignment vertical="center" wrapText="1"/>
    </xf>
    <xf numFmtId="0" fontId="36" fillId="0" borderId="0" xfId="0" applyFont="1">
      <alignment horizontal="center" vertical="center" wrapText="1"/>
    </xf>
    <xf numFmtId="2" fontId="48" fillId="0" borderId="0" xfId="0" applyFont="1" applyNumberFormat="1">
      <alignment horizontal="center" vertical="center" wrapText="1"/>
    </xf>
    <xf numFmtId="2" fontId="34" fillId="0" borderId="0" xfId="0" applyFont="1" applyNumberFormat="1">
      <alignment horizontal="left" vertical="center" wrapText="1"/>
    </xf>
    <xf numFmtId="0" fontId="21" fillId="0" borderId="0" xfId="0" applyFont="1">
      <alignment horizontal="center" vertical="center" wrapText="1"/>
    </xf>
    <xf numFmtId="0" fontId="49" fillId="0" borderId="19" xfId="0" applyFont="1" applyBorder="1">
      <alignment horizontal="center" vertical="center" wrapText="1"/>
    </xf>
    <xf numFmtId="0" fontId="33" fillId="0" borderId="19" xfId="0" applyFont="1" applyBorder="1">
      <alignment horizontal="center" vertical="center" wrapText="1"/>
    </xf>
    <xf numFmtId="0" fontId="33" fillId="0" borderId="19" xfId="0" applyFont="1" applyBorder="1">
      <alignment horizontal="center" vertical="center" wrapText="1"/>
    </xf>
    <xf numFmtId="0" fontId="37" fillId="0" borderId="45" xfId="0" applyFont="1" applyBorder="1">
      <alignment horizontal="center" vertical="center" wrapText="1"/>
    </xf>
    <xf numFmtId="0" fontId="37" fillId="0" borderId="42" xfId="0" applyFont="1" applyBorder="1">
      <alignment horizontal="center" vertical="center" wrapText="1"/>
    </xf>
    <xf numFmtId="0" fontId="30" fillId="0" borderId="42" xfId="0" applyFont="1" applyBorder="1">
      <alignment horizontal="center" vertical="center" wrapText="1"/>
    </xf>
    <xf numFmtId="0" fontId="33" fillId="0" borderId="42" xfId="0" applyFont="1" applyBorder="1">
      <alignment horizontal="center" vertical="center" wrapText="1"/>
    </xf>
    <xf numFmtId="0" fontId="37" fillId="0" borderId="14" xfId="0" applyFont="1" applyBorder="1">
      <alignment horizontal="center" vertical="center" wrapText="1"/>
    </xf>
    <xf numFmtId="171" fontId="37" fillId="0" borderId="22" xfId="0" applyFont="1" applyBorder="1" applyNumberFormat="1">
      <alignment horizontal="center" vertical="center" wrapText="1"/>
    </xf>
    <xf numFmtId="171" fontId="37" fillId="0" borderId="16" xfId="0" applyFont="1" applyBorder="1" applyNumberFormat="1">
      <alignment horizontal="center" vertical="center" wrapText="1"/>
    </xf>
    <xf numFmtId="0" fontId="21" fillId="0" borderId="10" xfId="0" applyFont="1" applyBorder="1">
      <alignment horizontal="center" vertical="center" wrapText="1"/>
    </xf>
    <xf numFmtId="0" fontId="0" fillId="0" borderId="0" xfId="0" applyFont="1">
      <alignment wrapText="1"/>
    </xf>
    <xf numFmtId="0" fontId="37" fillId="0" borderId="10" xfId="0" applyFont="1" applyBorder="1">
      <alignment horizontal="center" vertical="center" wrapText="1"/>
    </xf>
    <xf numFmtId="0" fontId="37" fillId="0" borderId="12" xfId="0" applyFont="1" applyBorder="1">
      <alignment horizontal="center" vertical="center" wrapText="1"/>
    </xf>
    <xf numFmtId="0" fontId="37" fillId="0" borderId="17" xfId="0" applyFont="1" applyBorder="1">
      <alignment horizontal="center" vertical="center" wrapText="1"/>
    </xf>
    <xf numFmtId="0" fontId="37" fillId="0" borderId="13" xfId="0" applyFont="1" applyBorder="1">
      <alignment horizontal="center" vertical="center" wrapText="1"/>
    </xf>
    <xf numFmtId="174" fontId="33" fillId="0" borderId="10" xfId="0" applyFont="1" applyBorder="1" applyNumberFormat="1">
      <alignment horizontal="center" vertical="center" wrapText="1"/>
    </xf>
    <xf numFmtId="174" fontId="21" fillId="0" borderId="10" xfId="0" applyFont="1" applyBorder="1" applyNumberFormat="1">
      <alignment horizontal="center" vertical="center" wrapText="1"/>
    </xf>
    <xf numFmtId="0" fontId="37" fillId="0" borderId="18" xfId="0" applyFont="1" applyBorder="1">
      <alignment horizontal="center" vertical="center" wrapText="1"/>
    </xf>
    <xf numFmtId="0" fontId="37" fillId="0" borderId="20" xfId="0" applyFont="1" applyBorder="1">
      <alignment horizontal="center" vertical="center" wrapText="1"/>
    </xf>
    <xf numFmtId="0" fontId="33" fillId="0" borderId="18" xfId="0" applyFont="1" applyBorder="1">
      <alignment horizontal="center" vertical="center" wrapText="1"/>
    </xf>
    <xf numFmtId="171" fontId="33" fillId="0" borderId="11" xfId="0" applyFont="1" applyBorder="1" applyNumberFormat="1">
      <alignment horizontal="center" vertical="center" wrapText="1"/>
    </xf>
    <xf numFmtId="171" fontId="33" fillId="0" borderId="10" xfId="0" applyFont="1" applyBorder="1" applyNumberFormat="1">
      <alignment horizontal="center" vertical="center" wrapText="1"/>
    </xf>
    <xf numFmtId="171" fontId="33" fillId="0" borderId="31" xfId="0" applyFont="1" applyBorder="1" applyNumberFormat="1">
      <alignment horizontal="center" vertical="center" wrapText="1"/>
    </xf>
    <xf numFmtId="171" fontId="33" fillId="0" borderId="25" xfId="0" applyFont="1" applyBorder="1" applyNumberFormat="1">
      <alignment horizontal="center" vertical="center" wrapText="1"/>
    </xf>
    <xf numFmtId="0" fontId="33" fillId="33" borderId="11" xfId="0" applyFont="1" applyFill="1" applyBorder="1">
      <alignment horizontal="center" vertical="center" wrapText="1"/>
    </xf>
    <xf numFmtId="0" fontId="33" fillId="33" borderId="18" xfId="0" applyFont="1" applyFill="1" applyBorder="1">
      <alignment horizontal="center" vertical="center" wrapText="1"/>
    </xf>
    <xf numFmtId="0" fontId="33" fillId="0" borderId="25" xfId="0" applyFont="1" applyBorder="1">
      <alignment horizontal="center" vertical="center" wrapText="1"/>
    </xf>
    <xf numFmtId="171" fontId="33" fillId="0" borderId="46" xfId="0" applyFont="1" applyBorder="1" applyNumberFormat="1">
      <alignment horizontal="center" vertical="center" wrapText="1"/>
    </xf>
    <xf numFmtId="171" fontId="33" fillId="0" borderId="43" xfId="0" applyFont="1" applyBorder="1" applyNumberFormat="1">
      <alignment horizontal="center" vertical="center" wrapText="1"/>
    </xf>
    <xf numFmtId="0" fontId="33" fillId="33" borderId="43" xfId="0" applyFont="1" applyFill="1" applyBorder="1">
      <alignment horizontal="center" vertical="center" wrapText="1"/>
    </xf>
    <xf numFmtId="0" fontId="33" fillId="0" borderId="34" xfId="0" applyFont="1" applyBorder="1">
      <alignment horizontal="center" vertical="center" wrapText="1"/>
    </xf>
    <xf numFmtId="171" fontId="33" fillId="0" borderId="44" xfId="0" applyFont="1" applyBorder="1" applyNumberFormat="1">
      <alignment horizontal="center" vertical="center" wrapText="1"/>
    </xf>
    <xf numFmtId="171" fontId="33" fillId="0" borderId="26" xfId="0" applyFont="1" applyBorder="1" applyNumberFormat="1">
      <alignment horizontal="center" vertical="center" wrapText="1"/>
    </xf>
    <xf numFmtId="0" fontId="33" fillId="33" borderId="10" xfId="0" applyFont="1" applyFill="1" applyBorder="1">
      <alignment horizontal="center" vertical="center" wrapText="1"/>
    </xf>
    <xf numFmtId="0" fontId="33" fillId="0" borderId="16" xfId="0" applyFont="1" applyBorder="1">
      <alignment horizontal="center" vertical="top" wrapText="1"/>
    </xf>
    <xf numFmtId="0" fontId="21" fillId="0" borderId="0" xfId="0" applyFont="1">
      <alignment vertical="center" wrapText="1"/>
    </xf>
    <xf numFmtId="0" fontId="21" fillId="0" borderId="0" xfId="0" applyFont="1">
      <alignment horizontal="center" vertical="center" wrapText="1"/>
    </xf>
    <xf numFmtId="0" fontId="29" fillId="0" borderId="0" xfId="0" applyFont="1">
      <alignment horizontal="center" vertical="center" wrapText="1"/>
    </xf>
    <xf numFmtId="0" fontId="32" fillId="0" borderId="0" xfId="0" applyFont="1">
      <alignment horizontal="right" vertical="center" wrapText="1"/>
    </xf>
    <xf numFmtId="0" fontId="30" fillId="0" borderId="0" xfId="0" applyFont="1">
      <alignment vertical="center" wrapText="1"/>
    </xf>
    <xf numFmtId="0" fontId="30" fillId="0" borderId="0" xfId="0" applyFont="1">
      <alignment horizontal="center" vertical="center" wrapText="1"/>
    </xf>
    <xf numFmtId="0" fontId="0" fillId="0" borderId="0" xfId="0" applyFont="1">
      <alignment vertical="center" wrapText="1"/>
    </xf>
    <xf numFmtId="171" fontId="32" fillId="0" borderId="10" xfId="0" applyFont="1" applyBorder="1" applyNumberFormat="1">
      <alignment horizontal="center" vertical="center" wrapText="1"/>
    </xf>
    <xf numFmtId="0" fontId="33" fillId="0" borderId="42" xfId="0" applyFont="1" applyBorder="1">
      <alignment horizontal="center" vertical="center" wrapText="1"/>
    </xf>
    <xf numFmtId="0" fontId="37" fillId="0" borderId="14" xfId="0" applyFont="1" applyBorder="1">
      <alignment vertical="center" wrapText="1"/>
    </xf>
    <xf numFmtId="0" fontId="37" fillId="0" borderId="0" xfId="0" applyFont="1">
      <alignment horizontal="center" vertical="center" wrapText="1"/>
    </xf>
    <xf numFmtId="0" fontId="37" fillId="0" borderId="16" xfId="0" applyFont="1" applyBorder="1">
      <alignment horizontal="center" vertical="center" wrapText="1"/>
    </xf>
    <xf numFmtId="0" fontId="37" fillId="0" borderId="23" xfId="0" applyFont="1" applyBorder="1">
      <alignment horizontal="center" vertical="center" wrapText="1"/>
    </xf>
    <xf numFmtId="0" fontId="33" fillId="0" borderId="10" xfId="0" applyFont="1" applyBorder="1">
      <alignment vertical="center" wrapText="1"/>
    </xf>
    <xf numFmtId="0" fontId="33" fillId="0" borderId="12" xfId="0" applyFont="1" applyBorder="1">
      <alignment vertical="center" wrapText="1"/>
    </xf>
    <xf numFmtId="0" fontId="38" fillId="0" borderId="10" xfId="0" applyFont="1" applyBorder="1">
      <alignment horizontal="center" vertical="center" wrapText="1"/>
    </xf>
    <xf numFmtId="171" fontId="34" fillId="0" borderId="13" xfId="0" applyFont="1" applyBorder="1" applyNumberFormat="1">
      <alignment horizontal="center" vertical="center" wrapText="1"/>
    </xf>
    <xf numFmtId="174" fontId="34" fillId="0" borderId="10" xfId="0" applyFont="1" applyBorder="1" applyNumberFormat="1">
      <alignment horizontal="center" vertical="center" wrapText="1"/>
    </xf>
    <xf numFmtId="0" fontId="33" fillId="0" borderId="12" xfId="0" applyFont="1" applyBorder="1">
      <alignment horizontal="left" vertical="center" wrapText="1" indent="1"/>
    </xf>
    <xf numFmtId="0" fontId="33" fillId="0" borderId="12" xfId="0" applyFont="1" applyBorder="1">
      <alignment horizontal="left" vertical="center" wrapText="1"/>
    </xf>
    <xf numFmtId="171" fontId="34" fillId="0" borderId="13" xfId="0" applyFont="1" applyBorder="1" applyNumberFormat="1">
      <alignment horizontal="left" vertical="center" wrapText="1"/>
    </xf>
    <xf numFmtId="171" fontId="34" fillId="0" borderId="10" xfId="0" applyFont="1" applyBorder="1" applyNumberFormat="1">
      <alignment horizontal="left" vertical="center" wrapText="1"/>
    </xf>
    <xf numFmtId="0" fontId="37" fillId="0" borderId="10" xfId="0" applyFont="1" applyBorder="1">
      <alignment vertical="center" wrapText="1"/>
    </xf>
    <xf numFmtId="174" fontId="38" fillId="0" borderId="10" xfId="0" applyFont="1" applyBorder="1" applyNumberFormat="1">
      <alignment horizontal="center" vertical="center" wrapText="1"/>
    </xf>
    <xf numFmtId="0" fontId="38" fillId="0" borderId="10" xfId="0" applyFont="1" applyBorder="1">
      <alignment vertical="center" wrapText="1"/>
    </xf>
    <xf numFmtId="0" fontId="37" fillId="0" borderId="20" xfId="0" applyFont="1" applyBorder="1">
      <alignment vertical="center" wrapText="1"/>
    </xf>
    <xf numFmtId="0" fontId="37" fillId="0" borderId="21" xfId="0" applyFont="1" applyBorder="1">
      <alignment vertical="center" wrapText="1"/>
    </xf>
    <xf numFmtId="10" fontId="34" fillId="0" borderId="10" xfId="0" applyFont="1" applyBorder="1" applyNumberFormat="1">
      <alignment horizontal="center" vertical="center" wrapText="1"/>
    </xf>
    <xf numFmtId="0" fontId="33" fillId="0" borderId="11" xfId="0" applyFont="1" applyBorder="1">
      <alignment horizontal="left" vertical="center" wrapText="1" indent="1"/>
    </xf>
    <xf numFmtId="0" fontId="33" fillId="0" borderId="18" xfId="0" applyFont="1" applyBorder="1">
      <alignment horizontal="left" vertical="center" wrapText="1" indent="1"/>
    </xf>
    <xf numFmtId="0" fontId="33" fillId="0" borderId="43" xfId="0" applyFont="1" applyBorder="1">
      <alignment vertical="center" wrapText="1"/>
    </xf>
    <xf numFmtId="0" fontId="38" fillId="0" borderId="11" xfId="0" applyFont="1" applyBorder="1">
      <alignment horizontal="center" vertical="center" wrapText="1"/>
    </xf>
    <xf numFmtId="171" fontId="34" fillId="0" borderId="11" xfId="0" applyFont="1" applyBorder="1" applyNumberFormat="1">
      <alignment horizontal="center" vertical="center" wrapText="1"/>
    </xf>
    <xf numFmtId="10" fontId="34" fillId="0" borderId="11" xfId="0" applyFont="1" applyBorder="1" applyNumberFormat="1">
      <alignment horizontal="center" vertical="center" wrapText="1"/>
    </xf>
    <xf numFmtId="0" fontId="33" fillId="0" borderId="0" xfId="0" applyFont="1">
      <alignment vertical="center" wrapText="1"/>
    </xf>
    <xf numFmtId="0" fontId="34" fillId="0" borderId="0" xfId="0" applyFont="1">
      <alignment vertical="center" wrapText="1"/>
    </xf>
    <xf numFmtId="0" fontId="38" fillId="0" borderId="16" xfId="0" applyFont="1" applyBorder="1">
      <alignment horizontal="center" vertical="center" wrapText="1"/>
    </xf>
    <xf numFmtId="14" fontId="30" fillId="0" borderId="0" xfId="0" applyFont="1" applyNumberFormat="1">
      <alignment horizontal="center" vertical="center" wrapText="1"/>
    </xf>
    <xf numFmtId="20" fontId="0" fillId="0" borderId="0" xfId="0" applyFont="1" applyNumberFormat="1">
      <alignment vertical="center" wrapText="1"/>
    </xf>
    <xf numFmtId="0" fontId="0" fillId="0" borderId="0" xfId="0" applyFont="1">
      <alignment horizontal="center" vertical="center" wrapText="1"/>
    </xf>
    <xf numFmtId="0" fontId="37" fillId="0" borderId="0" xfId="0" applyFont="1">
      <alignment horizontal="left" vertical="center" wrapText="1"/>
    </xf>
    <xf numFmtId="0" fontId="33" fillId="0" borderId="0" xfId="0" applyFont="1">
      <alignment horizontal="left" vertical="center" wrapText="1"/>
    </xf>
    <xf numFmtId="171" fontId="33" fillId="0" borderId="12" xfId="0" applyFont="1" applyBorder="1" applyNumberFormat="1">
      <alignment horizontal="right" vertical="center" wrapText="1"/>
    </xf>
    <xf numFmtId="174" fontId="33" fillId="0" borderId="0" xfId="0" applyFont="1" applyNumberFormat="1">
      <alignment horizontal="center" vertical="center" wrapText="1"/>
    </xf>
    <xf numFmtId="171" fontId="33" fillId="0" borderId="0" xfId="0" applyFont="1" applyNumberFormat="1">
      <alignment horizontal="center" vertical="center" wrapText="1"/>
    </xf>
    <xf numFmtId="0" fontId="46" fillId="0" borderId="12" xfId="0" applyFont="1" applyBorder="1">
      <alignment horizontal="center" vertical="center" wrapText="1"/>
    </xf>
    <xf numFmtId="171" fontId="33" fillId="0" borderId="10" xfId="0" applyFont="1" applyBorder="1" applyNumberFormat="1">
      <alignment horizontal="right" vertical="center" wrapText="1"/>
    </xf>
    <xf numFmtId="174" fontId="21" fillId="0" borderId="0" xfId="0" applyFont="1" applyNumberFormat="1">
      <alignment horizontal="center" vertical="center" wrapText="1"/>
    </xf>
    <xf numFmtId="174" fontId="34" fillId="0" borderId="0" xfId="0" applyFont="1" applyNumberFormat="1">
      <alignment horizontal="center" vertical="center" wrapText="1"/>
    </xf>
    <xf numFmtId="174" fontId="44" fillId="0" borderId="0" xfId="0" applyFont="1" applyNumberFormat="1">
      <alignment horizontal="center" vertical="center" wrapText="1"/>
    </xf>
    <xf numFmtId="0" fontId="33" fillId="0" borderId="12" xfId="0" applyFont="1" applyBorder="1">
      <alignment horizontal="right" vertical="center" wrapText="1"/>
    </xf>
    <xf numFmtId="0" fontId="34" fillId="0" borderId="10" xfId="0" applyFont="1" applyBorder="1">
      <alignment horizontal="right" vertical="center" wrapText="1"/>
    </xf>
    <xf numFmtId="178" fontId="33" fillId="0" borderId="0" xfId="0" applyFont="1" applyNumberFormat="1">
      <alignment horizontal="center" vertical="center" wrapText="1"/>
    </xf>
    <xf numFmtId="178" fontId="34" fillId="0" borderId="0" xfId="0" applyFont="1" applyNumberFormat="1">
      <alignment horizontal="center" vertical="center" wrapText="1"/>
    </xf>
    <xf numFmtId="179" fontId="33" fillId="0" borderId="0" xfId="0" applyFont="1" applyNumberFormat="1">
      <alignment horizontal="center" vertical="center" wrapText="1"/>
    </xf>
    <xf numFmtId="0" fontId="44" fillId="0" borderId="0" xfId="0" applyFont="1">
      <alignment vertical="center" wrapText="1"/>
    </xf>
    <xf numFmtId="0" fontId="0" fillId="0" borderId="0" xfId="0" applyFont="1">
      <alignment vertical="center" wrapText="1"/>
    </xf>
    <xf numFmtId="0" fontId="44" fillId="0" borderId="0" xfId="0" applyFont="1">
      <alignment horizontal="center" vertical="center" wrapText="1"/>
    </xf>
    <xf numFmtId="0" fontId="21" fillId="0" borderId="0" xfId="0" applyFont="1">
      <alignment vertical="center" wrapText="1"/>
    </xf>
    <xf numFmtId="0" fontId="0" fillId="0" borderId="0" xfId="0" applyFont="1">
      <alignment vertical="center" wrapText="1"/>
    </xf>
    <xf numFmtId="0" fontId="47" fillId="0" borderId="0" xfId="50" applyFont="1">
      <alignment vertical="center" wrapText="1"/>
    </xf>
    <xf numFmtId="2" fontId="32" fillId="0" borderId="0" xfId="0" applyFont="1" applyNumberFormat="1">
      <alignment horizontal="left" vertical="center" wrapText="1"/>
    </xf>
    <xf numFmtId="2" fontId="32" fillId="0" borderId="0" xfId="0" applyFont="1" applyNumberFormat="1">
      <alignment horizontal="right" vertical="center" wrapText="1"/>
    </xf>
    <xf numFmtId="177" fontId="32" fillId="0" borderId="0" xfId="0" applyFont="1" applyNumberFormat="1">
      <alignment horizontal="left" vertical="center" wrapText="1"/>
    </xf>
    <xf numFmtId="0" fontId="47" fillId="0" borderId="0" xfId="0" applyFont="1">
      <alignment vertical="center" wrapText="1"/>
    </xf>
    <xf numFmtId="0" fontId="47" fillId="0" borderId="0" xfId="0" applyFont="1">
      <alignment vertical="center" wrapText="1"/>
    </xf>
    <xf numFmtId="0" fontId="30" fillId="0" borderId="36" xfId="0" applyFont="1" applyBorder="1">
      <alignment horizontal="center" vertical="center" wrapText="1"/>
    </xf>
    <xf numFmtId="0" fontId="30" fillId="0" borderId="37" xfId="0" applyFont="1" applyBorder="1">
      <alignment horizontal="center" vertical="center" wrapText="1"/>
    </xf>
    <xf numFmtId="0" fontId="30" fillId="0" borderId="38" xfId="0" applyFont="1" applyBorder="1">
      <alignment horizontal="center" vertical="center" wrapText="1"/>
    </xf>
    <xf numFmtId="0" fontId="30" fillId="0" borderId="39" xfId="0" applyFont="1" applyBorder="1">
      <alignment horizontal="center" vertical="center" wrapText="1"/>
    </xf>
    <xf numFmtId="0" fontId="30" fillId="0" borderId="40" xfId="0" applyFont="1" applyBorder="1">
      <alignment horizontal="center" vertical="center" wrapText="1"/>
    </xf>
    <xf numFmtId="0" fontId="30" fillId="0" borderId="41" xfId="0" applyFont="1" applyBorder="1">
      <alignment horizontal="center" vertical="center" wrapText="1"/>
    </xf>
    <xf numFmtId="0" fontId="33" fillId="0" borderId="14" xfId="0" applyFont="1" applyBorder="1">
      <alignment horizontal="left" vertical="center" wrapText="1"/>
    </xf>
    <xf numFmtId="171" fontId="33" fillId="0" borderId="14" xfId="0" applyFont="1" applyBorder="1" applyNumberFormat="1">
      <alignment horizontal="center" vertical="center" wrapText="1"/>
    </xf>
    <xf numFmtId="171" fontId="24" fillId="0" borderId="10" xfId="0" applyFont="1" applyBorder="1" applyNumberFormat="1">
      <alignment horizontal="center" vertical="center" wrapText="1"/>
    </xf>
    <xf numFmtId="174" fontId="33" fillId="0" borderId="14" xfId="0" applyFont="1" applyBorder="1" applyNumberFormat="1">
      <alignment horizontal="center" vertical="center" wrapText="1"/>
    </xf>
    <xf numFmtId="0" fontId="34" fillId="0" borderId="0" xfId="0" applyFont="1">
      <alignment horizontal="right" vertical="center" wrapText="1"/>
    </xf>
    <xf numFmtId="0" fontId="34" fillId="0" borderId="0" xfId="0" applyFont="1">
      <alignment horizontal="center" vertical="center" wrapText="1"/>
    </xf>
    <xf numFmtId="0" fontId="44" fillId="0" borderId="16" xfId="0" applyFont="1" applyBorder="1">
      <alignment vertical="center" wrapText="1"/>
    </xf>
    <xf numFmtId="0" fontId="33" fillId="0" borderId="14" xfId="0" applyFont="1" applyBorder="1">
      <alignment horizontal="center" vertical="center" wrapText="1"/>
    </xf>
    <xf numFmtId="0" fontId="37" fillId="0" borderId="22" xfId="0" applyFont="1" applyBorder="1">
      <alignment horizontal="center" vertical="center" wrapText="1"/>
    </xf>
    <xf numFmtId="0" fontId="33" fillId="0" borderId="11" xfId="0" applyFont="1" applyBorder="1">
      <alignment horizontal="center" vertical="center" wrapText="1"/>
    </xf>
    <xf numFmtId="0" fontId="33" fillId="0" borderId="11" xfId="0" applyFont="1" applyBorder="1">
      <alignment vertical="center" wrapText="1"/>
    </xf>
    <xf numFmtId="171" fontId="33" fillId="0" borderId="10" xfId="0" applyFont="1" applyBorder="1" applyNumberFormat="1">
      <alignment horizontal="right" vertical="center" wrapText="1" indent="1"/>
    </xf>
    <xf numFmtId="171" fontId="44" fillId="0" borderId="14" xfId="0" applyFont="1" applyBorder="1" applyNumberFormat="1">
      <alignment horizontal="right" vertical="center" wrapText="1" indent="1"/>
    </xf>
    <xf numFmtId="0" fontId="34" fillId="0" borderId="10" xfId="0" applyFont="1" applyBorder="1">
      <alignment horizontal="center" vertical="center" wrapText="1"/>
    </xf>
    <xf numFmtId="0" fontId="33" fillId="0" borderId="13" xfId="0" applyFont="1" applyBorder="1">
      <alignment vertical="center" wrapText="1"/>
    </xf>
    <xf numFmtId="0" fontId="0" fillId="0" borderId="24" xfId="0" applyFont="1" applyBorder="1">
      <alignment horizontal="center" vertical="center" wrapText="1"/>
    </xf>
    <xf numFmtId="0" fontId="0" fillId="0" borderId="0" xfId="0" applyFont="1">
      <alignment horizontal="center" vertical="center" wrapText="1"/>
    </xf>
    <xf numFmtId="0" fontId="33" fillId="0" borderId="14" xfId="0" applyFont="1" applyBorder="1">
      <alignment horizontal="center" vertical="center" wrapText="1"/>
    </xf>
    <xf numFmtId="171" fontId="24" fillId="0" borderId="10" xfId="0" applyFont="1" applyBorder="1" applyNumberFormat="1">
      <alignment horizontal="right" vertical="center" wrapText="1" indent="1"/>
    </xf>
    <xf numFmtId="171" fontId="44" fillId="0" borderId="10" xfId="0" applyFont="1" applyBorder="1" applyNumberFormat="1">
      <alignment horizontal="right" vertical="center" wrapText="1" indent="1"/>
    </xf>
    <xf numFmtId="0" fontId="46" fillId="0" borderId="10" xfId="0" applyFont="1" applyBorder="1">
      <alignment horizontal="center" vertical="center" wrapText="1"/>
    </xf>
    <xf numFmtId="171" fontId="33" fillId="0" borderId="11" xfId="0" applyFont="1" applyBorder="1" applyNumberFormat="1">
      <alignment horizontal="right" vertical="center" wrapText="1" indent="1"/>
    </xf>
    <xf numFmtId="171" fontId="33" fillId="0" borderId="12" xfId="0" applyFont="1" applyBorder="1" applyNumberFormat="1">
      <alignment horizontal="right" vertical="center" wrapText="1" indent="1"/>
    </xf>
    <xf numFmtId="171" fontId="33" fillId="0" borderId="25" xfId="0" applyFont="1" applyBorder="1" applyNumberFormat="1">
      <alignment horizontal="right" vertical="center" wrapText="1" indent="1"/>
    </xf>
    <xf numFmtId="178" fontId="33" fillId="0" borderId="34" xfId="0" applyFont="1" applyBorder="1" applyNumberFormat="1">
      <alignment horizontal="right" vertical="center" wrapText="1"/>
    </xf>
    <xf numFmtId="0" fontId="0" fillId="0" borderId="0" xfId="0" applyFont="1">
      <alignment wrapText="1"/>
    </xf>
    <xf numFmtId="0" fontId="33" fillId="0" borderId="10" xfId="0" applyFont="1" applyBorder="1">
      <alignment vertical="center" wrapText="1"/>
    </xf>
    <xf numFmtId="0" fontId="23" fillId="0" borderId="0" xfId="0" applyFont="1">
      <alignment vertical="center" wrapText="1"/>
    </xf>
    <xf numFmtId="0" fontId="42" fillId="0" borderId="0" xfId="0" applyFont="1">
      <alignment wrapText="1"/>
    </xf>
    <xf numFmtId="0" fontId="32" fillId="0" borderId="0" xfId="0" applyFont="1">
      <alignment horizontal="left" vertical="center" wrapText="1"/>
    </xf>
    <xf numFmtId="177" fontId="32" fillId="0" borderId="0" xfId="0" applyFont="1" applyNumberFormat="1">
      <alignment horizontal="left" vertical="center" wrapText="1"/>
    </xf>
    <xf numFmtId="0" fontId="30" fillId="0" borderId="19" xfId="0" applyFont="1" applyBorder="1">
      <alignment horizontal="center" vertical="center" wrapText="1"/>
    </xf>
    <xf numFmtId="49" fontId="32" fillId="33" borderId="10" xfId="0" applyFont="1" applyFill="1" applyBorder="1" applyNumberFormat="1">
      <alignment horizontal="center" vertical="center" wrapText="1"/>
    </xf>
    <xf numFmtId="0" fontId="30" fillId="0" borderId="12" xfId="0" applyFont="1" applyBorder="1">
      <alignment horizontal="center" vertical="center" wrapText="1"/>
    </xf>
    <xf numFmtId="0" fontId="33" fillId="0" borderId="13" xfId="0" applyFont="1" applyBorder="1">
      <alignment horizontal="center" vertical="center" wrapText="1"/>
    </xf>
    <xf numFmtId="49" fontId="34" fillId="33" borderId="10" xfId="0" applyFont="1" applyFill="1" applyBorder="1" applyNumberFormat="1">
      <alignment horizontal="left" vertical="center" wrapText="1"/>
    </xf>
    <xf numFmtId="171" fontId="36" fillId="0" borderId="10" xfId="0" applyFont="1" applyBorder="1" applyNumberFormat="1">
      <alignment horizontal="center" vertical="center" wrapText="1"/>
    </xf>
    <xf numFmtId="49" fontId="41" fillId="33" borderId="10" xfId="0" applyFont="1" applyFill="1" applyBorder="1" applyNumberFormat="1">
      <alignment horizontal="left" vertical="center" wrapText="1"/>
    </xf>
    <xf numFmtId="0" fontId="45" fillId="0" borderId="0" xfId="0" applyFont="1">
      <alignment vertical="center" wrapText="1"/>
    </xf>
    <xf numFmtId="171" fontId="33" fillId="0" borderId="12" xfId="0" applyFont="1" applyBorder="1" applyNumberFormat="1">
      <alignment horizontal="center" vertical="center" wrapText="1"/>
    </xf>
    <xf numFmtId="171" fontId="33" fillId="0" borderId="13" xfId="0" applyFont="1" applyBorder="1" applyNumberFormat="1">
      <alignment horizontal="center" vertical="center" wrapText="1"/>
    </xf>
    <xf numFmtId="0" fontId="33" fillId="0" borderId="34" xfId="0" applyFont="1" applyBorder="1">
      <alignment horizontal="right" vertical="center" wrapText="1"/>
    </xf>
    <xf numFmtId="0" fontId="33" fillId="0" borderId="35" xfId="0" applyFont="1" applyBorder="1">
      <alignment horizontal="center" vertical="center" wrapText="1"/>
    </xf>
    <xf numFmtId="0" fontId="33" fillId="0" borderId="0" xfId="0" applyFont="1">
      <alignment horizontal="right" vertical="center" wrapText="1"/>
    </xf>
    <xf numFmtId="0" fontId="33" fillId="0" borderId="0" xfId="0" applyFont="1">
      <alignment vertical="center" wrapText="1"/>
    </xf>
    <xf numFmtId="0" fontId="37" fillId="0" borderId="25" xfId="0" applyFont="1" applyBorder="1">
      <alignment horizontal="center" vertical="center" wrapText="1"/>
    </xf>
    <xf numFmtId="0" fontId="30" fillId="0" borderId="25" xfId="0" applyFont="1" applyBorder="1">
      <alignment horizontal="center" vertical="center" wrapText="1"/>
    </xf>
    <xf numFmtId="0" fontId="33" fillId="0" borderId="26" xfId="0" applyFont="1" applyBorder="1">
      <alignment horizontal="center" vertical="center" wrapText="1"/>
    </xf>
    <xf numFmtId="49" fontId="40" fillId="0" borderId="27" xfId="0" applyFont="1" applyBorder="1" applyNumberFormat="1">
      <alignment horizontal="left" vertical="center" wrapText="1"/>
    </xf>
    <xf numFmtId="171" fontId="33" fillId="0" borderId="28" xfId="0" applyFont="1" applyBorder="1" applyNumberFormat="1">
      <alignment horizontal="right" vertical="center" wrapText="1"/>
    </xf>
    <xf numFmtId="171" fontId="33" fillId="0" borderId="29" xfId="0" applyFont="1" applyBorder="1" applyNumberFormat="1">
      <alignment horizontal="right" vertical="center" wrapText="1"/>
    </xf>
    <xf numFmtId="0" fontId="21" fillId="0" borderId="10" xfId="0" applyFont="1" applyBorder="1">
      <alignment vertical="center" wrapText="1"/>
    </xf>
    <xf numFmtId="171" fontId="33" fillId="0" borderId="33" xfId="0" applyFont="1" applyBorder="1" applyNumberFormat="1">
      <alignment horizontal="right" vertical="center" wrapText="1"/>
    </xf>
    <xf numFmtId="0" fontId="21" fillId="0" borderId="28" xfId="0" applyFont="1" applyBorder="1">
      <alignment vertical="center" wrapText="1"/>
    </xf>
    <xf numFmtId="49" fontId="40" fillId="0" borderId="30" xfId="0" applyFont="1" applyBorder="1" applyNumberFormat="1">
      <alignment horizontal="left" vertical="center" wrapText="1"/>
    </xf>
    <xf numFmtId="171" fontId="33" fillId="0" borderId="25" xfId="0" applyFont="1" applyBorder="1" applyNumberFormat="1">
      <alignment horizontal="right" vertical="center" wrapText="1"/>
    </xf>
    <xf numFmtId="171" fontId="33" fillId="0" borderId="31" xfId="0" applyFont="1" applyBorder="1" applyNumberFormat="1">
      <alignment horizontal="right" vertical="center" wrapText="1"/>
    </xf>
    <xf numFmtId="171" fontId="33" fillId="0" borderId="10" xfId="0" applyFont="1" applyBorder="1" applyNumberFormat="1">
      <alignment horizontal="right" vertical="center" wrapText="1"/>
    </xf>
    <xf numFmtId="0" fontId="21" fillId="0" borderId="25" xfId="0" applyFont="1" applyBorder="1">
      <alignment vertical="center" wrapText="1"/>
    </xf>
    <xf numFmtId="171" fontId="44" fillId="0" borderId="25" xfId="0" applyFont="1" applyBorder="1" applyNumberFormat="1">
      <alignment horizontal="right" vertical="center" wrapText="1"/>
    </xf>
    <xf numFmtId="171" fontId="24" fillId="0" borderId="25" xfId="0" applyFont="1" applyBorder="1" applyNumberFormat="1">
      <alignment horizontal="right" vertical="center" wrapText="1"/>
    </xf>
    <xf numFmtId="49" fontId="40" fillId="0" borderId="32" xfId="0" applyFont="1" applyBorder="1" applyNumberFormat="1">
      <alignment horizontal="left" vertical="center" wrapText="1"/>
    </xf>
    <xf numFmtId="0" fontId="33" fillId="0" borderId="25" xfId="0" applyFont="1" applyBorder="1">
      <alignment vertical="center" wrapText="1"/>
    </xf>
    <xf numFmtId="0" fontId="21" fillId="0" borderId="25" xfId="0" applyFont="1" applyBorder="1">
      <alignment horizontal="center" vertical="center" wrapText="1"/>
    </xf>
    <xf numFmtId="0" fontId="0" fillId="0" borderId="0" xfId="0" applyFont="1">
      <alignment horizontal="right" vertical="center" wrapText="1"/>
    </xf>
    <xf numFmtId="0" fontId="32" fillId="0" borderId="0" xfId="50" applyFont="1">
      <alignment horizontal="center" vertical="center" wrapText="1"/>
    </xf>
    <xf numFmtId="175" fontId="30" fillId="0" borderId="0" xfId="0" applyFont="1" applyNumberFormat="1">
      <alignment horizontal="left" vertical="center" wrapText="1"/>
    </xf>
    <xf numFmtId="175" fontId="30" fillId="0" borderId="0" xfId="0" applyFont="1" applyNumberFormat="1">
      <alignment horizontal="right" vertical="center" wrapText="1"/>
    </xf>
    <xf numFmtId="0" fontId="31" fillId="0" borderId="0" xfId="0" applyFont="1">
      <alignment horizontal="right" vertical="center" wrapText="1"/>
    </xf>
    <xf numFmtId="0" fontId="31" fillId="0" borderId="16" xfId="0" applyFont="1" applyBorder="1">
      <alignment vertical="center" wrapText="1"/>
    </xf>
    <xf numFmtId="49" fontId="32" fillId="33" borderId="0" xfId="0" applyFont="1" applyFill="1" applyNumberFormat="1">
      <alignment horizontal="center" vertical="center" wrapText="1"/>
    </xf>
    <xf numFmtId="0" fontId="32" fillId="0" borderId="0" xfId="0" applyFont="1">
      <alignment horizontal="center" vertical="center" wrapText="1"/>
    </xf>
    <xf numFmtId="0" fontId="32" fillId="0" borderId="0" xfId="0" applyFont="1">
      <alignment horizontal="center" vertical="center" wrapText="1"/>
    </xf>
    <xf numFmtId="0" fontId="34" fillId="0" borderId="0" xfId="50" applyFont="1">
      <alignment horizontal="center" vertical="center" wrapText="1"/>
    </xf>
    <xf numFmtId="175" fontId="30" fillId="0" borderId="18" xfId="0" applyFont="1" applyBorder="1" applyNumberFormat="1">
      <alignment horizontal="center" vertical="center" wrapText="1"/>
    </xf>
    <xf numFmtId="175" fontId="30" fillId="0" borderId="20" xfId="0" applyFont="1" applyBorder="1" applyNumberFormat="1">
      <alignment horizontal="center" vertical="center" wrapText="1"/>
    </xf>
    <xf numFmtId="175" fontId="30" fillId="0" borderId="21" xfId="0" applyFont="1" applyBorder="1" applyNumberFormat="1">
      <alignment horizontal="center" vertical="center" wrapText="1"/>
    </xf>
    <xf numFmtId="175" fontId="30" fillId="0" borderId="12" xfId="0" applyFont="1" applyBorder="1" applyNumberFormat="1">
      <alignment horizontal="center" vertical="center" wrapText="1"/>
    </xf>
    <xf numFmtId="175" fontId="30" fillId="0" borderId="10" xfId="0" applyFont="1" applyBorder="1" applyNumberFormat="1">
      <alignment horizontal="center" vertical="center" wrapText="1"/>
    </xf>
    <xf numFmtId="175" fontId="30" fillId="0" borderId="22" xfId="0" applyFont="1" applyBorder="1" applyNumberFormat="1">
      <alignment horizontal="center" vertical="center" wrapText="1"/>
    </xf>
    <xf numFmtId="175" fontId="30" fillId="0" borderId="16" xfId="0" applyFont="1" applyBorder="1" applyNumberFormat="1">
      <alignment horizontal="center" vertical="center" wrapText="1"/>
    </xf>
    <xf numFmtId="175" fontId="30" fillId="0" borderId="23" xfId="0" applyFont="1" applyBorder="1" applyNumberFormat="1">
      <alignment horizontal="center" vertical="center" wrapText="1"/>
    </xf>
    <xf numFmtId="175" fontId="30" fillId="0" borderId="24" xfId="0" applyFont="1" applyBorder="1" applyNumberFormat="1">
      <alignment horizontal="center" vertical="center" wrapText="1"/>
    </xf>
    <xf numFmtId="175" fontId="30" fillId="0" borderId="0" xfId="0" applyFont="1" applyNumberFormat="1">
      <alignment horizontal="center" vertical="center" wrapText="1"/>
    </xf>
    <xf numFmtId="0" fontId="30" fillId="0" borderId="11" xfId="0" applyFont="1" applyBorder="1">
      <alignment horizontal="center" vertical="center" wrapText="1"/>
    </xf>
    <xf numFmtId="171" fontId="33" fillId="0" borderId="22" xfId="0" applyFont="1" applyBorder="1" applyNumberFormat="1">
      <alignment horizontal="center" vertical="center" wrapText="1"/>
    </xf>
    <xf numFmtId="171" fontId="33" fillId="0" borderId="23" xfId="0" applyFont="1" applyBorder="1" applyNumberFormat="1">
      <alignment horizontal="center" vertical="center" wrapText="1"/>
    </xf>
    <xf numFmtId="171" fontId="33" fillId="0" borderId="17" xfId="0" applyFont="1" applyBorder="1" applyNumberFormat="1">
      <alignment horizontal="center" vertical="center" wrapText="1"/>
    </xf>
    <xf numFmtId="0" fontId="33" fillId="0" borderId="10" xfId="0" applyFont="1" applyBorder="1">
      <alignment horizontal="center" vertical="center" wrapText="1"/>
      <protection locked="0"/>
    </xf>
    <xf numFmtId="49" fontId="34" fillId="33" borderId="12" xfId="0" applyFont="1" applyFill="1" applyBorder="1" applyNumberFormat="1">
      <alignment horizontal="left" vertical="center" wrapText="1"/>
    </xf>
    <xf numFmtId="49" fontId="34" fillId="33" borderId="17" xfId="0" applyFont="1" applyFill="1" applyBorder="1" applyNumberFormat="1">
      <alignment horizontal="left" vertical="center" wrapText="1"/>
    </xf>
    <xf numFmtId="49" fontId="34" fillId="33" borderId="13" xfId="0" applyFont="1" applyFill="1" applyBorder="1" applyNumberFormat="1">
      <alignment horizontal="left" vertical="center" wrapText="1"/>
    </xf>
    <xf numFmtId="0" fontId="42" fillId="0" borderId="0" xfId="0" applyFont="1">
      <alignment horizontal="center" vertical="center" wrapText="1"/>
    </xf>
    <xf numFmtId="171" fontId="33" fillId="0" borderId="18" xfId="0" applyFont="1" applyBorder="1" applyNumberFormat="1">
      <alignment horizontal="center" vertical="center" wrapText="1"/>
    </xf>
    <xf numFmtId="171" fontId="33" fillId="0" borderId="21" xfId="0" applyFont="1" applyBorder="1" applyNumberFormat="1">
      <alignment horizontal="center" vertical="center" wrapText="1"/>
    </xf>
    <xf numFmtId="175" fontId="33" fillId="0" borderId="0" xfId="0" applyFont="1" applyNumberFormat="1">
      <alignment horizontal="right" vertical="center" wrapText="1"/>
    </xf>
    <xf numFmtId="175" fontId="33" fillId="0" borderId="16" xfId="0" applyFont="1" applyBorder="1" applyNumberFormat="1">
      <alignment horizontal="center" vertical="center" wrapText="1"/>
    </xf>
    <xf numFmtId="175" fontId="33" fillId="0" borderId="20" xfId="0" applyFont="1" applyBorder="1" applyNumberFormat="1">
      <alignment horizontal="right" vertical="center" wrapText="1"/>
    </xf>
    <xf numFmtId="175" fontId="33" fillId="0" borderId="0" xfId="0" applyFont="1" applyNumberFormat="1">
      <alignment horizontal="right" vertical="top" wrapText="1"/>
    </xf>
    <xf numFmtId="175" fontId="21" fillId="0" borderId="0" xfId="0" applyFont="1" applyNumberFormat="1">
      <alignment horizontal="center" vertical="center" wrapText="1"/>
    </xf>
    <xf numFmtId="0" fontId="39" fillId="0" borderId="0" xfId="0" applyFont="1">
      <alignment horizontal="center" vertical="center" wrapText="1"/>
    </xf>
    <xf numFmtId="0" fontId="24" fillId="0" borderId="0" xfId="0" applyFont="1">
      <alignment horizontal="center" vertical="center" wrapText="1"/>
    </xf>
    <xf numFmtId="20" fontId="0" fillId="0" borderId="0" xfId="0" applyFont="1" applyNumberFormat="1">
      <alignment wrapText="1"/>
    </xf>
    <xf numFmtId="0" fontId="24" fillId="0" borderId="10" xfId="0" applyFont="1" applyBorder="1">
      <alignment horizontal="center" vertical="center" wrapText="1"/>
    </xf>
    <xf numFmtId="49" fontId="40" fillId="0" borderId="10" xfId="0" applyFont="1" applyBorder="1" applyNumberFormat="1">
      <alignment horizontal="left" vertical="center" wrapText="1"/>
    </xf>
    <xf numFmtId="0" fontId="24" fillId="0" borderId="10" xfId="0" applyFont="1" applyBorder="1">
      <alignment horizontal="left" vertical="top" wrapText="1"/>
    </xf>
    <xf numFmtId="0" fontId="24" fillId="0" borderId="10" xfId="0" applyFont="1" applyBorder="1">
      <alignment vertical="center" wrapText="1"/>
    </xf>
    <xf numFmtId="171" fontId="34" fillId="0" borderId="10" xfId="0" applyFont="1" applyBorder="1" applyNumberFormat="1">
      <alignment horizontal="right" vertical="center" wrapText="1"/>
    </xf>
    <xf numFmtId="171" fontId="38" fillId="0" borderId="10" xfId="0" applyFont="1" applyBorder="1" applyNumberFormat="1">
      <alignment horizontal="right" vertical="center" wrapText="1"/>
    </xf>
    <xf numFmtId="171" fontId="21" fillId="0" borderId="10" xfId="0" applyFont="1" applyBorder="1" applyNumberFormat="1">
      <alignment vertical="center" wrapText="1"/>
    </xf>
    <xf numFmtId="0" fontId="24" fillId="0" borderId="0" xfId="0" applyFont="1">
      <alignment vertical="center" wrapText="1"/>
    </xf>
    <xf numFmtId="0" fontId="24" fillId="0" borderId="0" xfId="0" applyFont="1">
      <alignment horizontal="right" vertical="center" wrapText="1"/>
    </xf>
    <xf numFmtId="0" fontId="28" fillId="0" borderId="0" xfId="0" applyFont="1">
      <alignment vertical="center" wrapText="1"/>
    </xf>
    <xf numFmtId="171" fontId="29" fillId="0" borderId="0" xfId="0" applyFont="1" applyNumberFormat="1">
      <alignment horizontal="center" vertical="center" wrapText="1"/>
    </xf>
    <xf numFmtId="0" fontId="32" fillId="0" borderId="0" xfId="0" applyFont="1">
      <alignment vertical="center" wrapText="1"/>
    </xf>
    <xf numFmtId="49" fontId="32" fillId="33" borderId="0" xfId="0" applyFont="1" applyFill="1" applyNumberFormat="1">
      <alignment horizontal="left" vertical="center" wrapText="1"/>
    </xf>
    <xf numFmtId="0" fontId="32" fillId="33" borderId="0" xfId="0" applyFont="1" applyFill="1">
      <alignment horizontal="right" vertical="center" wrapText="1" shrinkToFit="1"/>
    </xf>
    <xf numFmtId="0" fontId="32" fillId="33" borderId="0" xfId="0" applyFont="1" applyFill="1">
      <alignment horizontal="left" vertical="center" wrapText="1"/>
    </xf>
    <xf numFmtId="176" fontId="32" fillId="33" borderId="0" xfId="0" applyFont="1" applyFill="1" applyNumberFormat="1">
      <alignment horizontal="right" vertical="center" wrapText="1"/>
    </xf>
    <xf numFmtId="177" fontId="32" fillId="33" borderId="0" xfId="0" applyFont="1" applyFill="1" applyNumberFormat="1">
      <alignment horizontal="left" vertical="center" wrapText="1"/>
    </xf>
    <xf numFmtId="49" fontId="32" fillId="33" borderId="0" xfId="0" applyFont="1" applyFill="1" applyNumberFormat="1">
      <alignment horizontal="right" vertical="center" wrapText="1"/>
    </xf>
    <xf numFmtId="0" fontId="32" fillId="0" borderId="0" xfId="0" applyFont="1">
      <alignment vertical="center" wrapText="1"/>
    </xf>
    <xf numFmtId="0" fontId="32" fillId="0" borderId="0" xfId="0" applyFont="1">
      <alignment vertical="center" wrapText="1"/>
    </xf>
    <xf numFmtId="171" fontId="33" fillId="0" borderId="10" xfId="0" applyFont="1" applyBorder="1" applyNumberFormat="1">
      <alignment horizontal="left" vertical="center" wrapText="1"/>
    </xf>
    <xf numFmtId="175" fontId="33" fillId="0" borderId="10" xfId="0" applyFont="1" applyBorder="1" applyNumberFormat="1">
      <alignment horizontal="center" vertical="center" wrapText="1"/>
    </xf>
    <xf numFmtId="175" fontId="33" fillId="0" borderId="11" xfId="0" applyFont="1" applyBorder="1" applyNumberFormat="1">
      <alignment horizontal="center" vertical="center" wrapText="1"/>
    </xf>
    <xf numFmtId="171" fontId="33" fillId="0" borderId="10" xfId="0" applyFont="1" applyBorder="1" applyNumberFormat="1">
      <alignment horizontal="center" vertical="center" wrapText="1"/>
      <protection locked="0"/>
    </xf>
    <xf numFmtId="171" fontId="33" fillId="0" borderId="11" xfId="0" applyFont="1" applyBorder="1" applyNumberFormat="1">
      <alignment horizontal="center" vertical="center" wrapText="1"/>
      <protection locked="0"/>
    </xf>
    <xf numFmtId="171" fontId="33" fillId="0" borderId="11" xfId="0" applyFont="1" applyBorder="1" applyNumberFormat="1">
      <alignment horizontal="center" vertical="center" wrapText="1"/>
    </xf>
    <xf numFmtId="171" fontId="33" fillId="0" borderId="10" xfId="0" applyFont="1" applyBorder="1" applyNumberFormat="1">
      <alignment horizontal="center" vertical="center" wrapText="1"/>
      <protection locked="0"/>
    </xf>
    <xf numFmtId="171" fontId="33" fillId="0" borderId="10" xfId="0" applyFont="1" applyBorder="1" applyNumberFormat="1">
      <alignment horizontal="center" vertical="center" wrapText="1"/>
    </xf>
    <xf numFmtId="174" fontId="33" fillId="0" borderId="11" xfId="0" applyFont="1" applyBorder="1" applyNumberFormat="1">
      <alignment horizontal="center" vertical="center" wrapText="1"/>
    </xf>
    <xf numFmtId="174" fontId="33" fillId="0" borderId="11" xfId="0" applyFont="1" applyBorder="1" applyNumberFormat="1">
      <alignment horizontal="center" vertical="center" wrapText="1"/>
      <protection locked="0"/>
    </xf>
    <xf numFmtId="171" fontId="33" fillId="0" borderId="16" xfId="0" applyFont="1" applyBorder="1" applyNumberFormat="1">
      <alignment horizontal="center" vertical="center" wrapText="1"/>
    </xf>
    <xf numFmtId="171" fontId="33" fillId="0" borderId="0" xfId="0" applyFont="1" applyNumberFormat="1">
      <alignment horizontal="right" vertical="center" wrapText="1"/>
    </xf>
    <xf numFmtId="171" fontId="33" fillId="0" borderId="0" xfId="0" applyFont="1" applyNumberFormat="1">
      <alignment horizontal="center" vertical="top" wrapText="1"/>
    </xf>
    <xf numFmtId="0" fontId="34" fillId="0" borderId="0" xfId="0" applyFont="1">
      <alignment vertical="center" wrapText="1"/>
    </xf>
    <xf numFmtId="0" fontId="35" fillId="0" borderId="0" xfId="0" applyFont="1">
      <alignment horizontal="center" vertical="center" wrapText="1"/>
    </xf>
    <xf numFmtId="0" fontId="38" fillId="0" borderId="19" xfId="0" applyFont="1" applyBorder="1">
      <alignment horizontal="right" vertical="center" wrapText="1"/>
    </xf>
    <xf numFmtId="2" fontId="34" fillId="0" borderId="16" xfId="0" applyFont="1" applyBorder="1" applyNumberFormat="1">
      <alignment horizontal="left" vertical="center" wrapText="1"/>
    </xf>
    <xf numFmtId="0" fontId="36" fillId="0" borderId="10" xfId="0" applyFont="1" applyBorder="1">
      <alignment horizontal="center" vertical="center" wrapText="1"/>
    </xf>
    <xf numFmtId="0" fontId="34" fillId="0" borderId="10" xfId="0" applyFont="1" applyBorder="1">
      <alignment vertical="center" wrapText="1"/>
    </xf>
    <xf numFmtId="171" fontId="36" fillId="0" borderId="0" xfId="0" applyFont="1" applyNumberFormat="1">
      <alignment horizontal="center" vertical="center" wrapText="1"/>
    </xf>
    <xf numFmtId="0" fontId="37" fillId="0" borderId="10" xfId="0" applyFont="1" applyBorder="1">
      <alignment horizontal="center" vertical="center" wrapText="1"/>
    </xf>
    <xf numFmtId="0" fontId="36" fillId="0" borderId="10" xfId="0" applyFont="1" applyBorder="1">
      <alignment horizontal="center" vertical="center" wrapText="1"/>
    </xf>
    <xf numFmtId="0" fontId="33" fillId="0" borderId="10" xfId="0" applyFont="1" applyBorder="1">
      <alignment horizontal="center" vertical="center" wrapText="1"/>
    </xf>
    <xf numFmtId="0" fontId="33" fillId="0" borderId="10" xfId="0" applyFont="1" applyBorder="1">
      <alignment horizontal="center" vertical="center" wrapText="1"/>
    </xf>
    <xf numFmtId="0" fontId="36" fillId="0" borderId="10" xfId="0" applyFont="1" applyBorder="1">
      <alignment horizontal="left" vertical="center" wrapText="1"/>
    </xf>
    <xf numFmtId="0" fontId="33" fillId="0" borderId="11" xfId="0" applyFont="1" applyBorder="1">
      <alignment horizontal="center" vertical="center" wrapText="1"/>
    </xf>
    <xf numFmtId="0" fontId="36" fillId="0" borderId="12" xfId="0" applyFont="1" applyBorder="1">
      <alignment horizontal="left" vertical="center" wrapText="1"/>
    </xf>
    <xf numFmtId="0" fontId="33" fillId="0" borderId="10" xfId="0" applyFont="1" applyBorder="1">
      <alignment horizontal="left" vertical="center" wrapText="1"/>
    </xf>
    <xf numFmtId="0" fontId="33" fillId="0" borderId="12" xfId="0" applyFont="1" applyBorder="1">
      <alignment horizontal="left" vertical="center" wrapText="1"/>
    </xf>
    <xf numFmtId="0" fontId="33" fillId="0" borderId="11" xfId="0" applyFont="1" applyBorder="1">
      <alignment horizontal="left" vertical="center" wrapText="1"/>
    </xf>
    <xf numFmtId="0" fontId="33" fillId="0" borderId="18" xfId="0" applyFont="1" applyBorder="1">
      <alignment horizontal="left" vertical="center" wrapText="1"/>
    </xf>
    <xf numFmtId="171" fontId="33" fillId="0" borderId="10" xfId="0" applyFont="1" applyBorder="1" applyNumberFormat="1">
      <alignment horizontal="center" vertical="center" wrapText="1"/>
    </xf>
    <xf numFmtId="0" fontId="30" fillId="0" borderId="16" xfId="0" applyFont="1" applyBorder="1">
      <alignment horizontal="right" vertical="center" wrapText="1"/>
    </xf>
    <xf numFmtId="0" fontId="33" fillId="0" borderId="12" xfId="0" applyFont="1" applyBorder="1">
      <alignment horizontal="center" vertical="center" wrapText="1"/>
    </xf>
    <xf numFmtId="172" fontId="33" fillId="0" borderId="14" xfId="0" applyFont="1" applyBorder="1" applyNumberFormat="1">
      <alignment horizontal="center" vertical="center" wrapText="1"/>
    </xf>
    <xf numFmtId="173" fontId="34" fillId="0" borderId="10" xfId="0" applyFont="1" applyBorder="1" applyNumberFormat="1">
      <alignment horizontal="center" vertical="center" wrapText="1" shrinkToFit="1"/>
    </xf>
    <xf numFmtId="0" fontId="33" fillId="0" borderId="11" xfId="0" applyFont="1" applyBorder="1">
      <alignment horizontal="center" vertical="center" wrapText="1"/>
      <protection locked="0"/>
    </xf>
    <xf numFmtId="0" fontId="33" fillId="0" borderId="15" xfId="0" applyFont="1" applyBorder="1">
      <alignment horizontal="center" vertical="center" wrapText="1"/>
    </xf>
    <xf numFmtId="0" fontId="33" fillId="0" borderId="17" xfId="0" applyFont="1" applyBorder="1">
      <alignment horizontal="center" vertical="center" wrapText="1"/>
    </xf>
    <xf numFmtId="172" fontId="33" fillId="0" borderId="0" xfId="0" applyFont="1" applyNumberFormat="1">
      <alignment horizontal="right" vertical="center" wrapText="1"/>
    </xf>
    <xf numFmtId="172" fontId="33" fillId="0" borderId="16" xfId="0" applyFont="1" applyBorder="1" applyNumberFormat="1">
      <alignment horizontal="center" vertical="center" wrapText="1"/>
    </xf>
    <xf numFmtId="0" fontId="22" fillId="0" borderId="0" xfId="0" applyFont="1">
      <alignment horizontal="center" vertical="center" wrapText="1"/>
    </xf>
    <xf numFmtId="0" fontId="21" fillId="0" borderId="0" xfId="0" applyFont="1">
      <alignment wrapText="1"/>
    </xf>
    <xf numFmtId="0" fontId="23" fillId="0" borderId="0" xfId="0" applyFont="1">
      <alignment horizontal="center" vertical="center" wrapText="1"/>
    </xf>
    <xf numFmtId="20" fontId="21" fillId="0" borderId="0" xfId="0" applyFont="1" applyNumberFormat="1">
      <alignment wrapText="1"/>
    </xf>
    <xf numFmtId="0" fontId="24" fillId="0" borderId="11" xfId="0" applyFont="1" applyBorder="1">
      <alignment horizontal="center" vertical="center" wrapText="1"/>
    </xf>
    <xf numFmtId="171" fontId="24" fillId="0" borderId="11" xfId="0" applyFont="1" applyBorder="1" applyNumberFormat="1">
      <alignment horizontal="center" vertical="center" wrapText="1"/>
    </xf>
    <xf numFmtId="0" fontId="24" fillId="0" borderId="15" xfId="0" applyFont="1" applyBorder="1">
      <alignment horizontal="center" vertical="center" wrapText="1"/>
    </xf>
    <xf numFmtId="0" fontId="24" fillId="0" borderId="12" xfId="0" applyFont="1" applyBorder="1">
      <alignment horizontal="center" vertical="center" wrapText="1"/>
    </xf>
    <xf numFmtId="171" fontId="24" fillId="0" borderId="13" xfId="0" applyFont="1" applyBorder="1" applyNumberFormat="1">
      <alignment horizontal="center" vertical="center" wrapText="1"/>
    </xf>
    <xf numFmtId="0" fontId="25" fillId="0" borderId="10" xfId="0" applyFont="1" applyBorder="1">
      <alignment horizontal="center" vertical="center" wrapText="1"/>
    </xf>
    <xf numFmtId="171" fontId="24" fillId="0" borderId="0" xfId="0" applyFont="1" applyNumberFormat="1">
      <alignment horizontal="center" vertical="center" wrapText="1"/>
    </xf>
    <xf numFmtId="171" fontId="24" fillId="0" borderId="14" xfId="0" applyFont="1" applyBorder="1" applyNumberFormat="1">
      <alignment horizontal="center" vertical="center" wrapText="1"/>
    </xf>
    <xf numFmtId="0" fontId="27" fillId="0" borderId="0" xfId="0" applyFont="1">
      <alignment wrapText="1"/>
    </xf>
    <xf numFmtId="0" fontId="24" fillId="0" borderId="14" xfId="0" applyFont="1" applyBorder="1">
      <alignment horizontal="center" vertical="center" wrapText="1"/>
    </xf>
    <xf numFmtId="0" fontId="23" fillId="0" borderId="0" xfId="0" applyFont="1">
      <alignment horizontal="right" vertical="center" wrapText="1"/>
    </xf>
    <xf numFmtId="0" fontId="26" fillId="0" borderId="0" xfId="0" applyFont="1">
      <alignment vertical="center" wrapText="1"/>
    </xf>
    <xf numFmtId="0" fontId="27" fillId="0" borderId="0" xfId="0" applyFont="1">
      <alignment wrapText="1"/>
    </xf>
  </cellXfs>
  <cellStyles count="5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  <cellStyle name="常规 2 3" xfId="49"/>
    <cellStyle name="常规 2" xfId="49"/>
    <cellStyle name="常规 4" xfId="5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<Relationship Id="rId1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F0D323D-B378-3F68-4CE8-405BC4287278}" mc:Ignorable="x14ac xr xr2 xr3">
  <dimension ref="A1:Q46"/>
  <sheetViews>
    <sheetView defaultGridColor="0" colorId="31" showGridLines="0" workbookViewId="0" tabSelected="1">
      <pane xSplit="3" ySplit="4" topLeftCell="D5" activePane="bottomRight" state="frozen"/>
      <selection pane="bottomLeft" activeCell="A5" sqref="A5"/>
      <selection pane="topRight" activeCell="D1" sqref="D1"/>
      <selection pane="bottomRight" activeCell="A1" sqref="A1"/>
    </sheetView>
  </sheetViews>
  <sheetFormatPr defaultColWidth="10.00390625" customHeight="1" defaultRowHeight="13.5"/>
  <cols>
    <col min="1" max="1" style="74" width="2.7109375" customWidth="1"/>
    <col min="2" max="3" style="112" width="14.7109375" customWidth="1"/>
    <col min="4" max="15" style="112" width="11.7109375" customWidth="1"/>
    <col min="16" max="17" style="74" width="10.00390625" hidden="1"/>
  </cols>
  <sheetData>
    <row customHeight="1" ht="27">
      <c r="A1" s="297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297"/>
      <c r="Q1" s="297"/>
    </row>
    <row customHeight="1" ht="18.75">
      <c r="A2" s="297"/>
      <c r="B2" s="76" t="s">
        <v>1</v>
      </c>
      <c r="C2" s="76"/>
      <c r="D2" s="229" t="s">
        <v>2</v>
      </c>
      <c r="E2" s="229"/>
      <c r="F2" s="366" t="s">
        <v>3</v>
      </c>
      <c r="G2" s="366"/>
      <c r="H2" s="367" t="s">
        <v>4</v>
      </c>
      <c r="I2" s="367"/>
      <c r="J2" s="358" t="s">
        <v>5</v>
      </c>
      <c r="K2" s="358"/>
      <c r="L2" s="358"/>
      <c r="M2" s="369"/>
      <c r="N2" s="202" t="s">
        <v>6</v>
      </c>
      <c r="O2" s="202"/>
      <c r="P2" s="297"/>
      <c r="Q2" s="297"/>
    </row>
    <row customHeight="1" ht="15.75">
      <c r="A3" s="297"/>
      <c r="B3" s="191" t="s">
        <v>7</v>
      </c>
      <c r="C3" s="191"/>
      <c r="D3" s="191" t="s">
        <v>8</v>
      </c>
      <c r="E3" s="191" t="s">
        <v>9</v>
      </c>
      <c r="F3" s="191"/>
      <c r="G3" s="191" t="s">
        <v>10</v>
      </c>
      <c r="H3" s="191"/>
      <c r="I3" s="191" t="s">
        <v>11</v>
      </c>
      <c r="J3" s="191"/>
      <c r="K3" s="191" t="s">
        <v>12</v>
      </c>
      <c r="L3" s="191"/>
      <c r="M3" s="80" t="s">
        <v>13</v>
      </c>
      <c r="N3" s="80" t="s">
        <v>14</v>
      </c>
      <c r="O3" s="80" t="s">
        <v>15</v>
      </c>
      <c r="P3" s="297"/>
      <c r="Q3" s="297"/>
    </row>
    <row customHeight="1" ht="15.75">
      <c r="A4" s="297"/>
      <c r="B4" s="191"/>
      <c r="C4" s="191"/>
      <c r="D4" s="191"/>
      <c r="E4" s="80" t="s">
        <v>16</v>
      </c>
      <c r="F4" s="80" t="s">
        <v>17</v>
      </c>
      <c r="G4" s="80" t="s">
        <v>16</v>
      </c>
      <c r="H4" s="80" t="s">
        <v>17</v>
      </c>
      <c r="I4" s="80" t="s">
        <v>16</v>
      </c>
      <c r="J4" s="80" t="s">
        <v>17</v>
      </c>
      <c r="K4" s="80" t="s">
        <v>16</v>
      </c>
      <c r="L4" s="80" t="s">
        <v>17</v>
      </c>
      <c r="M4" s="80"/>
      <c r="N4" s="80"/>
      <c r="O4" s="80"/>
      <c r="P4" s="297"/>
      <c r="Q4" s="297"/>
    </row>
    <row customHeight="1" ht="15.75">
      <c r="A5" s="297"/>
      <c r="B5" s="279" t="s">
        <v>18</v>
      </c>
      <c r="C5" s="279"/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297"/>
      <c r="Q5" s="297"/>
    </row>
    <row customHeight="1" ht="15.75">
      <c r="A6" s="297"/>
      <c r="B6" s="247" t="s">
        <v>19</v>
      </c>
      <c r="C6" s="247"/>
      <c r="D6" s="302">
        <f>IF(生产日报1取值!D6=0,"",生产日报1取值!D6)</f>
        <v>1180000</v>
      </c>
      <c r="E6" s="302">
        <f>IF(生产日报1取值!E6=0,"",生产日报1取值!E6)</f>
        <v>16826</v>
      </c>
      <c r="F6" s="302">
        <f>IF(生产日报1取值!F6=0,"",生产日报1取值!F6)</f>
        <v>117720</v>
      </c>
      <c r="G6" s="302">
        <f>IF(生产日报1取值!G6=0,"",生产日报1取值!G6)</f>
        <v>9194</v>
      </c>
      <c r="H6" s="302">
        <f>IF(生产日报1取值!H6=0,"",生产日报1取值!H6)</f>
        <v>62067</v>
      </c>
      <c r="I6" s="302">
        <f>IF(生产日报1取值!I6=0,"",生产日报1取值!I6)</f>
        <v>13001</v>
      </c>
      <c r="J6" s="302">
        <f>IF(生产日报1取值!J6=0,"",生产日报1取值!J6)</f>
        <v>94349</v>
      </c>
      <c r="K6" s="302" t="str">
        <f>IF(生产日报1取值!K6=0,"",生产日报1取值!K6)</f>
        <v/>
      </c>
      <c r="L6" s="302" t="str">
        <f>IF(生产日报1取值!L6=0,"",生产日报1取值!L6)</f>
        <v/>
      </c>
      <c r="M6" s="302">
        <f>IF(生产日报1取值!M6=0,"",生产日报1取值!M6)</f>
        <v>39021</v>
      </c>
      <c r="N6" s="302">
        <f>IF(生产日报1取值!N6=0,"",生产日报1取值!N6)</f>
        <v>274136</v>
      </c>
      <c r="O6" s="309">
        <f>IF(生产日报1取值!O6=0,"",生产日报1取值!O6)</f>
        <v>23.2318644067797</v>
      </c>
      <c r="P6" s="297"/>
      <c r="Q6" s="297"/>
    </row>
    <row customHeight="1" ht="15.75">
      <c r="A7" s="297"/>
      <c r="B7" s="247" t="s">
        <v>20</v>
      </c>
      <c r="C7" s="247"/>
      <c r="D7" s="302">
        <f>IF(生产日报1取值!D7=0,"",生产日报1取值!D7)</f>
        <v>486000</v>
      </c>
      <c r="E7" s="302">
        <f>IF(生产日报1取值!E7=0,"",生产日报1取值!E7)</f>
        <v>8867</v>
      </c>
      <c r="F7" s="302">
        <f>IF(生产日报1取值!F7=0,"",生产日报1取值!F7)</f>
        <v>62050</v>
      </c>
      <c r="G7" s="302">
        <f>IF(生产日报1取值!G7=0,"",生产日报1取值!G7)</f>
        <v>3733</v>
      </c>
      <c r="H7" s="302">
        <f>IF(生产日报1取值!H7=0,"",生产日报1取值!H7)</f>
        <v>26723</v>
      </c>
      <c r="I7" s="302">
        <f>IF(生产日报1取值!I7=0,"",生产日报1取值!I7)</f>
        <v>4763</v>
      </c>
      <c r="J7" s="302">
        <f>IF(生产日报1取值!J7=0,"",生产日报1取值!J7)</f>
        <v>30986</v>
      </c>
      <c r="K7" s="302" t="str">
        <f>IF(生产日报1取值!K7=0,"",生产日报1取值!K7)</f>
        <v/>
      </c>
      <c r="L7" s="302" t="str">
        <f>IF(生产日报1取值!L7=0,"",生产日报1取值!L7)</f>
        <v/>
      </c>
      <c r="M7" s="302">
        <f>IF(生产日报1取值!M7=0,"",生产日报1取值!M7)</f>
        <v>17363</v>
      </c>
      <c r="N7" s="302">
        <f>IF(生产日报1取值!N7=0,"",生产日报1取值!N7)</f>
        <v>119759</v>
      </c>
      <c r="O7" s="309">
        <f>IF(生产日报1取值!O7=0,"",生产日报1取值!O7)</f>
        <v>24.6417695473251</v>
      </c>
      <c r="P7" s="297"/>
      <c r="Q7" s="297"/>
    </row>
    <row customHeight="1" ht="15.75">
      <c r="A8" s="297"/>
      <c r="B8" s="250" t="s">
        <v>21</v>
      </c>
      <c r="C8" s="250"/>
      <c r="D8" s="379">
        <f>IF(生产日报1取值!D8=0,"",生产日报1取值!D8)</f>
        <v>486000</v>
      </c>
      <c r="E8" s="379">
        <f>IF(生产日报1取值!E8=0,"",生产日报1取值!E8)</f>
        <v>8809</v>
      </c>
      <c r="F8" s="379">
        <f>IF(生产日报1取值!F8=0,"",生产日报1取值!F8)</f>
        <v>61644</v>
      </c>
      <c r="G8" s="379">
        <f>IF(生产日报1取值!G8=0,"",生产日报1取值!G8)</f>
        <v>3431</v>
      </c>
      <c r="H8" s="379">
        <f>IF(生产日报1取值!H8=0,"",生产日报1取值!H8)</f>
        <v>24621</v>
      </c>
      <c r="I8" s="379">
        <f>IF(生产日报1取值!I8=0,"",生产日报1取值!I8)</f>
        <v>4647</v>
      </c>
      <c r="J8" s="379">
        <f>IF(生产日报1取值!J8=0,"",生产日报1取值!J8)</f>
        <v>30175</v>
      </c>
      <c r="K8" s="302" t="str">
        <f>IF(生产日报1取值!K8=0,"",生产日报1取值!K8)</f>
        <v/>
      </c>
      <c r="L8" s="302" t="str">
        <f>IF(生产日报1取值!L8=0,"",生产日报1取值!L8)</f>
        <v/>
      </c>
      <c r="M8" s="302">
        <f>IF(生产日报1取值!M8=0,"",生产日报1取值!M8)</f>
        <v>16887</v>
      </c>
      <c r="N8" s="302">
        <f>IF(生产日报1取值!N8=0,"",生产日报1取值!N8)</f>
        <v>116440</v>
      </c>
      <c r="O8" s="309">
        <f>IF(生产日报1取值!O8=0,"",生产日报1取值!O8)</f>
        <v>23.9588477366255</v>
      </c>
      <c r="P8" s="297"/>
      <c r="Q8" s="297"/>
    </row>
    <row customHeight="1" ht="15.75">
      <c r="A9" s="297"/>
      <c r="B9" s="247" t="s">
        <v>22</v>
      </c>
      <c r="C9" s="247"/>
      <c r="D9" s="302">
        <f>IF(生产日报1取值!D9=0,"",生产日报1取值!D9)</f>
        <v>223000</v>
      </c>
      <c r="E9" s="302" t="str">
        <f>IF(生产日报1取值!E9=0,"",生产日报1取值!E9)</f>
        <v/>
      </c>
      <c r="F9" s="302" t="str">
        <f>IF(生产日报1取值!F9=0,"",生产日报1取值!F9)</f>
        <v/>
      </c>
      <c r="G9" s="302">
        <f>IF(生产日报1取值!G9=0,"",生产日报1取值!G9)</f>
        <v>617</v>
      </c>
      <c r="H9" s="302">
        <f>IF(生产日报1取值!H9=0,"",生产日报1取值!H9)</f>
        <v>4266</v>
      </c>
      <c r="I9" s="302">
        <f>IF(生产日报1取值!I9=0,"",生产日报1取值!I9)</f>
        <v>3340</v>
      </c>
      <c r="J9" s="302">
        <f>IF(生产日报1取值!J9=0,"",生产日报1取值!J9)</f>
        <v>23339</v>
      </c>
      <c r="K9" s="302">
        <f>IF(生产日报1取值!K9=0,"",生产日报1取值!K9)</f>
        <v>4280</v>
      </c>
      <c r="L9" s="302">
        <f>IF(生产日报1取值!L9=0,"",生产日报1取值!L9)</f>
        <v>29955</v>
      </c>
      <c r="M9" s="302">
        <f>IF(生产日报1取值!M9=0,"",生产日报1取值!M9)</f>
        <v>8237</v>
      </c>
      <c r="N9" s="302">
        <f>IF(生产日报1取值!N9=0,"",生产日报1取值!N9)</f>
        <v>57560</v>
      </c>
      <c r="O9" s="309">
        <f>IF(生产日报1取值!O9=0,"",生产日报1取值!O9)</f>
        <v>25.8116591928251</v>
      </c>
      <c r="P9" s="297"/>
      <c r="Q9" s="297"/>
    </row>
    <row customHeight="1" ht="15.75">
      <c r="A10" s="297"/>
      <c r="B10" s="247" t="s">
        <v>23</v>
      </c>
      <c r="C10" s="247"/>
      <c r="D10" s="302" t="str">
        <f>IF(生产日报1取值!D10=0,"",生产日报1取值!D10)</f>
        <v/>
      </c>
      <c r="E10" s="302" t="str">
        <f>IF(生产日报1取值!E10=0,"",生产日报1取值!E10)</f>
        <v/>
      </c>
      <c r="F10" s="302" t="str">
        <f>IF(生产日报1取值!F10=0,"",生产日报1取值!F10)</f>
        <v/>
      </c>
      <c r="G10" s="302" t="str">
        <f>IF(生产日报1取值!G10=0,"",生产日报1取值!G10)</f>
        <v/>
      </c>
      <c r="H10" s="302" t="str">
        <f>IF(生产日报1取值!H10=0,"",生产日报1取值!H10)</f>
        <v/>
      </c>
      <c r="I10" s="302" t="str">
        <f>IF(生产日报1取值!I10=0,"",生产日报1取值!I10)</f>
        <v/>
      </c>
      <c r="J10" s="302" t="str">
        <f>IF(生产日报1取值!J10=0,"",生产日报1取值!J10)</f>
        <v/>
      </c>
      <c r="K10" s="302">
        <f>IF(生产日报1取值!K10=0,"",生产日报1取值!K10)</f>
        <v>2295</v>
      </c>
      <c r="L10" s="302">
        <f>IF(生产日报1取值!L10=0,"",生产日报1取值!L10)</f>
        <v>16921</v>
      </c>
      <c r="M10" s="302">
        <f>IF(生产日报1取值!M10=0,"",生产日报1取值!M10)</f>
        <v>2295</v>
      </c>
      <c r="N10" s="302">
        <f>IF(生产日报1取值!N10=0,"",生产日报1取值!N10)</f>
        <v>16921</v>
      </c>
      <c r="O10" s="309" t="str">
        <f>IF(生产日报1取值!O10=0,"",生产日报1取值!O10)</f>
        <v/>
      </c>
      <c r="P10" s="297"/>
      <c r="Q10" s="297"/>
    </row>
    <row customHeight="1" ht="15.75">
      <c r="A11" s="297"/>
      <c r="B11" s="247" t="s">
        <v>24</v>
      </c>
      <c r="C11" s="247"/>
      <c r="D11" s="302" t="str">
        <f>IF(生产日报1取值!D11=0,"",生产日报1取值!D11)</f>
        <v/>
      </c>
      <c r="E11" s="302">
        <f>IF(生产日报1取值!E11=0,"",生产日报1取值!E11)</f>
        <v>949</v>
      </c>
      <c r="F11" s="302">
        <f>IF(生产日报1取值!F11=0,"",生产日报1取值!F11)</f>
        <v>6156</v>
      </c>
      <c r="G11" s="302" t="str">
        <f>IF(生产日报1取值!G11=0,"",生产日报1取值!G11)</f>
        <v/>
      </c>
      <c r="H11" s="302" t="str">
        <f>IF(生产日报1取值!H11=0,"",生产日报1取值!H11)</f>
        <v/>
      </c>
      <c r="I11" s="302" t="str">
        <f>IF(生产日报1取值!I11=0,"",生产日报1取值!I11)</f>
        <v/>
      </c>
      <c r="J11" s="302" t="str">
        <f>IF(生产日报1取值!J11=0,"",生产日报1取值!J11)</f>
        <v/>
      </c>
      <c r="K11" s="302">
        <f>IF(生产日报1取值!K11=0,"",生产日报1取值!K11)</f>
        <v>1757</v>
      </c>
      <c r="L11" s="302">
        <f>IF(生产日报1取值!L11=0,"",生产日报1取值!L11)</f>
        <v>11752</v>
      </c>
      <c r="M11" s="302">
        <f>IF(生产日报1取值!M11=0,"",生产日报1取值!M11)</f>
        <v>2706</v>
      </c>
      <c r="N11" s="302">
        <f>IF(生产日报1取值!N11=0,"",生产日报1取值!N11)</f>
        <v>17908</v>
      </c>
      <c r="O11" s="309" t="str">
        <f>IF(生产日报1取值!O11=0,"",生产日报1取值!O11)</f>
        <v/>
      </c>
      <c r="P11" s="297"/>
      <c r="Q11" s="297"/>
    </row>
    <row customHeight="1" ht="15.75">
      <c r="A12" s="297"/>
      <c r="B12" s="247" t="s">
        <v>25</v>
      </c>
      <c r="C12" s="247"/>
      <c r="D12" s="302">
        <f>IF(生产日报1取值!D12=0,"",生产日报1取值!D12)</f>
        <v>83600</v>
      </c>
      <c r="E12" s="302">
        <f>IF(生产日报1取值!E12=0,"",生产日报1取值!E12)</f>
        <v>946</v>
      </c>
      <c r="F12" s="302">
        <f>IF(生产日报1取值!F12=0,"",生产日报1取值!F12)</f>
        <v>6135</v>
      </c>
      <c r="G12" s="302" t="str">
        <f>IF(生产日报1取值!G12=0,"",生产日报1取值!G12)</f>
        <v/>
      </c>
      <c r="H12" s="302" t="str">
        <f>IF(生产日报1取值!H12=0,"",生产日报1取值!H12)</f>
        <v/>
      </c>
      <c r="I12" s="302" t="str">
        <f>IF(生产日报1取值!I12=0,"",生产日报1取值!I12)</f>
        <v/>
      </c>
      <c r="J12" s="302" t="str">
        <f>IF(生产日报1取值!J12=0,"",生产日报1取值!J12)</f>
        <v/>
      </c>
      <c r="K12" s="302">
        <f>IF(生产日报1取值!K12=0,"",生产日报1取值!K12)</f>
        <v>1730</v>
      </c>
      <c r="L12" s="302">
        <f>IF(生产日报1取值!L12=0,"",生产日报1取值!L12)</f>
        <v>12354</v>
      </c>
      <c r="M12" s="302">
        <f>IF(生产日报1取值!M12=0,"",生产日报1取值!M12)</f>
        <v>2676</v>
      </c>
      <c r="N12" s="302">
        <f>IF(生产日报1取值!N12=0,"",生产日报1取值!N12)</f>
        <v>18489</v>
      </c>
      <c r="O12" s="309">
        <f>IF(生产日报1取值!O12=0,"",生产日报1取值!O12)</f>
        <v>22.116028708134</v>
      </c>
      <c r="P12" s="297"/>
      <c r="Q12" s="297"/>
    </row>
    <row customHeight="1" ht="15.75">
      <c r="A13" s="297"/>
      <c r="B13" s="247" t="s">
        <v>26</v>
      </c>
      <c r="C13" s="247"/>
      <c r="D13" s="302" t="str">
        <f>IF(生产日报1取值!D13=0,"",生产日报1取值!D13)</f>
        <v/>
      </c>
      <c r="E13" s="302">
        <f>IF(生产日报1取值!E13=0,"",生产日报1取值!E13)</f>
        <v>316</v>
      </c>
      <c r="F13" s="302">
        <f>IF(生产日报1取值!F13=0,"",生产日报1取值!F13)</f>
        <v>2187</v>
      </c>
      <c r="G13" s="302" t="str">
        <f>IF(生产日报1取值!G13=0,"",生产日报1取值!G13)</f>
        <v/>
      </c>
      <c r="H13" s="302" t="str">
        <f>IF(生产日报1取值!H13=0,"",生产日报1取值!H13)</f>
        <v/>
      </c>
      <c r="I13" s="302" t="str">
        <f>IF(生产日报1取值!I13=0,"",生产日报1取值!I13)</f>
        <v/>
      </c>
      <c r="J13" s="302" t="str">
        <f>IF(生产日报1取值!J13=0,"",生产日报1取值!J13)</f>
        <v/>
      </c>
      <c r="K13" s="302">
        <f>IF(生产日报1取值!K13=0,"",生产日报1取值!K13)</f>
        <v>627</v>
      </c>
      <c r="L13" s="302">
        <f>IF(生产日报1取值!L13=0,"",生产日报1取值!L13)</f>
        <v>4401</v>
      </c>
      <c r="M13" s="302">
        <f>IF(生产日报1取值!M13=0,"",生产日报1取值!M13)</f>
        <v>943</v>
      </c>
      <c r="N13" s="302">
        <f>IF(生产日报1取值!N13=0,"",生产日报1取值!N13)</f>
        <v>6588</v>
      </c>
      <c r="O13" s="309" t="str">
        <f>IF(生产日报1取值!O13=0,"",生产日报1取值!O13)</f>
        <v/>
      </c>
      <c r="P13" s="297"/>
      <c r="Q13" s="297"/>
    </row>
    <row customHeight="1" ht="15.75">
      <c r="A14" s="297"/>
      <c r="B14" s="247" t="s">
        <v>27</v>
      </c>
      <c r="C14" s="247"/>
      <c r="D14" s="302" t="str">
        <f>IF(生产日报1取值!D14=0,"",生产日报1取值!D14)</f>
        <v/>
      </c>
      <c r="E14" s="302">
        <f>IF(生产日报1取值!E14=0,"",生产日报1取值!E14)</f>
        <v>582</v>
      </c>
      <c r="F14" s="302">
        <f>IF(生产日报1取值!F14=0,"",生产日报1取值!F14)</f>
        <v>3756</v>
      </c>
      <c r="G14" s="302" t="str">
        <f>IF(生产日报1取值!G14=0,"",生产日报1取值!G14)</f>
        <v/>
      </c>
      <c r="H14" s="302" t="str">
        <f>IF(生产日报1取值!H14=0,"",生产日报1取值!H14)</f>
        <v/>
      </c>
      <c r="I14" s="302" t="str">
        <f>IF(生产日报1取值!I14=0,"",生产日报1取值!I14)</f>
        <v/>
      </c>
      <c r="J14" s="302" t="str">
        <f>IF(生产日报1取值!J14=0,"",生产日报1取值!J14)</f>
        <v/>
      </c>
      <c r="K14" s="302">
        <f>IF(生产日报1取值!K14=0,"",生产日报1取值!K14)</f>
        <v>1043</v>
      </c>
      <c r="L14" s="302">
        <f>IF(生产日报1取值!L14=0,"",生产日报1取值!L14)</f>
        <v>7442</v>
      </c>
      <c r="M14" s="302">
        <f>IF(生产日报1取值!M14=0,"",生产日报1取值!M14)</f>
        <v>1625</v>
      </c>
      <c r="N14" s="302">
        <f>IF(生产日报1取值!N14=0,"",生产日报1取值!N14)</f>
        <v>11198</v>
      </c>
      <c r="O14" s="309" t="str">
        <f>IF(生产日报1取值!O14=0,"",生产日报1取值!O14)</f>
        <v/>
      </c>
      <c r="P14" s="297"/>
      <c r="Q14" s="297"/>
    </row>
    <row customHeight="1" ht="15.75">
      <c r="A15" s="297"/>
      <c r="B15" s="247" t="s">
        <v>28</v>
      </c>
      <c r="C15" s="247"/>
      <c r="D15" s="302" t="str">
        <f>IF(生产日报1取值!D15=0,"",生产日报1取值!D15)</f>
        <v/>
      </c>
      <c r="E15" s="302" t="str">
        <f>IF(生产日报1取值!E15=0,"",生产日报1取值!E15)</f>
        <v/>
      </c>
      <c r="F15" s="302" t="str">
        <f>IF(生产日报1取值!F15=0,"",生产日报1取值!F15)</f>
        <v/>
      </c>
      <c r="G15" s="302" t="str">
        <f>IF(生产日报1取值!G15=0,"",生产日报1取值!G15)</f>
        <v/>
      </c>
      <c r="H15" s="302" t="str">
        <f>IF(生产日报1取值!H15=0,"",生产日报1取值!H15)</f>
        <v/>
      </c>
      <c r="I15" s="302">
        <f>IF(生产日报1取值!I15=0,"",生产日报1取值!I15)</f>
        <v>471</v>
      </c>
      <c r="J15" s="302">
        <f>IF(生产日报1取值!J15=0,"",生产日报1取值!J15)</f>
        <v>3189</v>
      </c>
      <c r="K15" s="302">
        <f>IF(生产日报1取值!K15=0,"",生产日报1取值!K15)</f>
        <v>559</v>
      </c>
      <c r="L15" s="302">
        <f>IF(生产日报1取值!L15=0,"",生产日报1取值!L15)</f>
        <v>3976</v>
      </c>
      <c r="M15" s="302">
        <f>IF(生产日报1取值!M15=0,"",生产日报1取值!M15)</f>
        <v>1030</v>
      </c>
      <c r="N15" s="302">
        <f>IF(生产日报1取值!N15=0,"",生产日报1取值!N15)</f>
        <v>7165</v>
      </c>
      <c r="O15" s="309" t="str">
        <f>IF(生产日报1取值!O15=0,"",生产日报1取值!O15)</f>
        <v/>
      </c>
      <c r="P15" s="297"/>
      <c r="Q15" s="297"/>
    </row>
    <row customHeight="1" ht="15.75">
      <c r="A16" s="297"/>
      <c r="B16" s="247" t="s">
        <v>29</v>
      </c>
      <c r="C16" s="247"/>
      <c r="D16" s="302" t="str">
        <f>IF(生产日报1取值!D16=0,"",生产日报1取值!D16)</f>
        <v/>
      </c>
      <c r="E16" s="302">
        <f>IF(生产日报1取值!E16=0,"",生产日报1取值!E16)</f>
        <v>300</v>
      </c>
      <c r="F16" s="302">
        <f>IF(生产日报1取值!F16=0,"",生产日报1取值!F16)</f>
        <v>2164</v>
      </c>
      <c r="G16" s="302" t="str">
        <f>IF(生产日报1取值!G16=0,"",生产日报1取值!G16)</f>
        <v/>
      </c>
      <c r="H16" s="302" t="str">
        <f>IF(生产日报1取值!H16=0,"",生产日报1取值!H16)</f>
        <v/>
      </c>
      <c r="I16" s="302" t="str">
        <f>IF(生产日报1取值!I16=0,"",生产日报1取值!I16)</f>
        <v/>
      </c>
      <c r="J16" s="302" t="str">
        <f>IF(生产日报1取值!J16=0,"",生产日报1取值!J16)</f>
        <v/>
      </c>
      <c r="K16" s="302" t="str">
        <f>IF(生产日报1取值!K16=0,"",生产日报1取值!K16)</f>
        <v/>
      </c>
      <c r="L16" s="302" t="str">
        <f>IF(生产日报1取值!L16=0,"",生产日报1取值!L16)</f>
        <v/>
      </c>
      <c r="M16" s="302">
        <f>IF(生产日报1取值!M16=0,"",生产日报1取值!M16)</f>
        <v>300</v>
      </c>
      <c r="N16" s="302">
        <f>IF(生产日报1取值!N16=0,"",生产日报1取值!N16)</f>
        <v>2164</v>
      </c>
      <c r="O16" s="309" t="str">
        <f>IF(生产日报1取值!O16=0,"",生产日报1取值!O16)</f>
        <v/>
      </c>
      <c r="P16" s="380"/>
      <c r="Q16" s="297"/>
    </row>
    <row customHeight="1" ht="15.75">
      <c r="A17" s="297"/>
      <c r="B17" s="247" t="s">
        <v>30</v>
      </c>
      <c r="C17" s="247"/>
      <c r="D17" s="302" t="str">
        <f>IF(生产日报1取值!D17=0,"",生产日报1取值!D17)</f>
        <v/>
      </c>
      <c r="E17" s="302">
        <f>IF(生产日报1取值!E17=0,"",生产日报1取值!E17)</f>
        <v>356</v>
      </c>
      <c r="F17" s="302">
        <f>IF(生产日报1取值!F17=0,"",生产日报1取值!F17)</f>
        <v>2564</v>
      </c>
      <c r="G17" s="302" t="str">
        <f>IF(生产日报1取值!G17=0,"",生产日报1取值!G17)</f>
        <v/>
      </c>
      <c r="H17" s="302" t="str">
        <f>IF(生产日报1取值!H17=0,"",生产日报1取值!H17)</f>
        <v/>
      </c>
      <c r="I17" s="302" t="str">
        <f>IF(生产日报1取值!I17=0,"",生产日报1取值!I17)</f>
        <v/>
      </c>
      <c r="J17" s="302" t="str">
        <f>IF(生产日报1取值!J17=0,"",生产日报1取值!J17)</f>
        <v/>
      </c>
      <c r="K17" s="302" t="str">
        <f>IF(生产日报1取值!K17=0,"",生产日报1取值!K17)</f>
        <v/>
      </c>
      <c r="L17" s="302" t="str">
        <f>IF(生产日报1取值!L17=0,"",生产日报1取值!L17)</f>
        <v/>
      </c>
      <c r="M17" s="302">
        <f>IF(生产日报1取值!M17=0,"",生产日报1取值!M17)</f>
        <v>356</v>
      </c>
      <c r="N17" s="302">
        <f>IF(生产日报1取值!N17=0,"",生产日报1取值!N17)</f>
        <v>2564</v>
      </c>
      <c r="O17" s="309" t="str">
        <f>IF(生产日报1取值!O17=0,"",生产日报1取值!O17)</f>
        <v/>
      </c>
      <c r="P17" s="380"/>
      <c r="Q17" s="297"/>
    </row>
    <row customHeight="1" ht="15.75">
      <c r="A18" s="297"/>
      <c r="B18" s="247" t="s">
        <v>31</v>
      </c>
      <c r="C18" s="247"/>
      <c r="D18" s="302" t="str">
        <f>IF(生产日报1取值!D18=0,"",生产日报1取值!D18)</f>
        <v/>
      </c>
      <c r="E18" s="302">
        <f>IF(生产日报1取值!E18=0,"",生产日报1取值!E18)</f>
        <v>171</v>
      </c>
      <c r="F18" s="302">
        <f>IF(生产日报1取值!F18=0,"",生产日报1取值!F18)</f>
        <v>1155</v>
      </c>
      <c r="G18" s="302" t="str">
        <f>IF(生产日报1取值!G18=0,"",生产日报1取值!G18)</f>
        <v/>
      </c>
      <c r="H18" s="302" t="str">
        <f>IF(生产日报1取值!H18=0,"",生产日报1取值!H18)</f>
        <v/>
      </c>
      <c r="I18" s="302" t="str">
        <f>IF(生产日报1取值!I18=0,"",生产日报1取值!I18)</f>
        <v/>
      </c>
      <c r="J18" s="302" t="str">
        <f>IF(生产日报1取值!J18=0,"",生产日报1取值!J18)</f>
        <v/>
      </c>
      <c r="K18" s="302" t="str">
        <f>IF(生产日报1取值!K18=0,"",生产日报1取值!K18)</f>
        <v/>
      </c>
      <c r="L18" s="302" t="str">
        <f>IF(生产日报1取值!L18=0,"",生产日报1取值!L18)</f>
        <v/>
      </c>
      <c r="M18" s="302">
        <f>IF(生产日报1取值!M18=0,"",生产日报1取值!M18)</f>
        <v>171</v>
      </c>
      <c r="N18" s="302">
        <f>IF(生产日报1取值!N18=0,"",生产日报1取值!N18)</f>
        <v>1155</v>
      </c>
      <c r="O18" s="309" t="str">
        <f>IF(生产日报1取值!O18=0,"",生产日报1取值!O18)</f>
        <v/>
      </c>
      <c r="P18" s="297"/>
      <c r="Q18" s="297"/>
    </row>
    <row customHeight="1" ht="15.75">
      <c r="A19" s="297"/>
      <c r="B19" s="247" t="s">
        <v>32</v>
      </c>
      <c r="C19" s="247"/>
      <c r="D19" s="302" t="str">
        <f>IF(生产日报1取值!D19=0,"",生产日报1取值!D19)</f>
        <v/>
      </c>
      <c r="E19" s="302">
        <f>IF(生产日报1取值!E19=0,"",生产日报1取值!E19)</f>
        <v>434</v>
      </c>
      <c r="F19" s="302">
        <f>IF(生产日报1取值!F19=0,"",生产日报1取值!F19)</f>
        <v>2974</v>
      </c>
      <c r="G19" s="302" t="str">
        <f>IF(生产日报1取值!G19=0,"",生产日报1取值!G19)</f>
        <v/>
      </c>
      <c r="H19" s="302" t="str">
        <f>IF(生产日报1取值!H19=0,"",生产日报1取值!H19)</f>
        <v/>
      </c>
      <c r="I19" s="302" t="str">
        <f>IF(生产日报1取值!I19=0,"",生产日报1取值!I19)</f>
        <v/>
      </c>
      <c r="J19" s="302" t="str">
        <f>IF(生产日报1取值!J19=0,"",生产日报1取值!J19)</f>
        <v/>
      </c>
      <c r="K19" s="302" t="str">
        <f>IF(生产日报1取值!K19=0,"",生产日报1取值!K19)</f>
        <v/>
      </c>
      <c r="L19" s="302" t="str">
        <f>IF(生产日报1取值!L19=0,"",生产日报1取值!L19)</f>
        <v/>
      </c>
      <c r="M19" s="302">
        <f>IF(生产日报1取值!M19=0,"",生产日报1取值!M19)</f>
        <v>434</v>
      </c>
      <c r="N19" s="302">
        <f>IF(生产日报1取值!N19=0,"",生产日报1取值!N19)</f>
        <v>2974</v>
      </c>
      <c r="O19" s="309" t="str">
        <f>IF(生产日报1取值!O19=0,"",生产日报1取值!O19)</f>
        <v/>
      </c>
      <c r="P19" s="297"/>
      <c r="Q19" s="297"/>
    </row>
    <row customHeight="1" ht="15.75">
      <c r="A20" s="297"/>
      <c r="B20" s="250" t="s">
        <v>33</v>
      </c>
      <c r="C20" s="250"/>
      <c r="D20" s="379" t="str">
        <f>IF(生产日报1取值!D20=0,"",生产日报1取值!D20)</f>
        <v/>
      </c>
      <c r="E20" s="379">
        <f>IF(生产日报1取值!E20=0,"",生产日报1取值!E20)</f>
        <v>91</v>
      </c>
      <c r="F20" s="379">
        <f>IF(生产日报1取值!F20=0,"",生产日报1取值!F20)</f>
        <v>611</v>
      </c>
      <c r="G20" s="379" t="str">
        <f>IF(生产日报1取值!G20=0,"",生产日报1取值!G20)</f>
        <v/>
      </c>
      <c r="H20" s="379" t="str">
        <f>IF(生产日报1取值!H20=0,"",生产日报1取值!H20)</f>
        <v/>
      </c>
      <c r="I20" s="379" t="str">
        <f>IF(生产日报1取值!I20=0,"",生产日报1取值!I20)</f>
        <v/>
      </c>
      <c r="J20" s="379" t="str">
        <f>IF(生产日报1取值!J20=0,"",生产日报1取值!J20)</f>
        <v/>
      </c>
      <c r="K20" s="379" t="str">
        <f>IF(生产日报1取值!K20=0,"",生产日报1取值!K20)</f>
        <v/>
      </c>
      <c r="L20" s="379" t="str">
        <f>IF(生产日报1取值!L20=0,"",生产日报1取值!L20)</f>
        <v/>
      </c>
      <c r="M20" s="379">
        <f>IF(生产日报1取值!M20=0,"",生产日报1取值!M20)</f>
        <v>91</v>
      </c>
      <c r="N20" s="379">
        <f>IF(生产日报1取值!N20=0,"",生产日报1取值!N20)</f>
        <v>611</v>
      </c>
      <c r="O20" s="381" t="str">
        <f>IF(生产日报1取值!O20=0,"",生产日报1取值!O20)</f>
        <v/>
      </c>
      <c r="P20" s="297"/>
      <c r="Q20" s="297"/>
    </row>
    <row customHeight="1" ht="15.75">
      <c r="A21" s="297"/>
      <c r="B21" s="247" t="s">
        <v>34</v>
      </c>
      <c r="C21" s="247"/>
      <c r="D21" s="302">
        <f>IF(生产日报1取值!D21=0,"",生产日报1取值!D21)</f>
        <v>228000</v>
      </c>
      <c r="E21" s="302" t="str">
        <f>IF(生产日报1取值!E21=0,"",生产日报1取值!E21)</f>
        <v/>
      </c>
      <c r="F21" s="302" t="str">
        <f>IF(生产日报1取值!F21=0,"",生产日报1取值!F21)</f>
        <v/>
      </c>
      <c r="G21" s="302">
        <f>IF(生产日报1取值!G21=0,"",生产日报1取值!G21)</f>
        <v>1806</v>
      </c>
      <c r="H21" s="302">
        <f>IF(生产日报1取值!H21=0,"",生产日报1取值!H21)</f>
        <v>12962</v>
      </c>
      <c r="I21" s="302">
        <f>IF(生产日报1取值!I21=0,"",生产日报1取值!I21)</f>
        <v>2061</v>
      </c>
      <c r="J21" s="302">
        <f>IF(生产日报1取值!J21=0,"",生产日报1取值!J21)</f>
        <v>14313</v>
      </c>
      <c r="K21" s="302">
        <f>IF(生产日报1取值!K21=0,"",生产日报1取值!K21)</f>
        <v>4149</v>
      </c>
      <c r="L21" s="302">
        <f>IF(生产日报1取值!L21=0,"",生产日报1取值!L21)</f>
        <v>29145</v>
      </c>
      <c r="M21" s="302">
        <f>IF(生产日报1取值!M21=0,"",生产日报1取值!M21)</f>
        <v>8016</v>
      </c>
      <c r="N21" s="302">
        <f>IF(生产日报1取值!N21=0,"",生产日报1取值!N21)</f>
        <v>56420</v>
      </c>
      <c r="O21" s="309">
        <f>IF(生产日报1取值!O21=0,"",生产日报1取值!O21)</f>
        <v>24.7456140350877</v>
      </c>
      <c r="P21" s="297"/>
      <c r="Q21" s="297"/>
    </row>
    <row customHeight="1" ht="15.75">
      <c r="A22" s="297"/>
      <c r="B22" s="247" t="s">
        <v>35</v>
      </c>
      <c r="C22" s="247"/>
      <c r="D22" s="302">
        <f>IF(生产日报1取值!D22=0,"",生产日报1取值!D22)</f>
        <v>446000</v>
      </c>
      <c r="E22" s="302" t="str">
        <f>IF(生产日报1取值!E22=0,"",生产日报1取值!E22)</f>
        <v/>
      </c>
      <c r="F22" s="302" t="str">
        <f>IF(生产日报1取值!F22=0,"",生产日报1取值!F22)</f>
        <v/>
      </c>
      <c r="G22" s="302">
        <f>IF(生产日报1取值!G22=0,"",生产日报1取值!G22)</f>
        <v>2830</v>
      </c>
      <c r="H22" s="302">
        <f>IF(生产日报1取值!H22=0,"",生产日报1取值!H22)</f>
        <v>23859</v>
      </c>
      <c r="I22" s="302">
        <f>IF(生产日报1取值!I22=0,"",生产日报1取值!I22)</f>
        <v>4425</v>
      </c>
      <c r="J22" s="302">
        <f>IF(生产日报1取值!J22=0,"",生产日报1取值!J22)</f>
        <v>33634</v>
      </c>
      <c r="K22" s="302">
        <f>IF(生产日报1取值!K22=0,"",生产日报1取值!K22)</f>
        <v>4881</v>
      </c>
      <c r="L22" s="302">
        <f>IF(生产日报1取值!L22=0,"",生产日报1取值!L22)</f>
        <v>34345</v>
      </c>
      <c r="M22" s="302">
        <f>IF(生产日报1取值!M22=0,"",生产日报1取值!M22)</f>
        <v>12136</v>
      </c>
      <c r="N22" s="302">
        <f>IF(生产日报1取值!N22=0,"",生产日报1取值!N22)</f>
        <v>91838</v>
      </c>
      <c r="O22" s="309">
        <f>IF(生产日报1取值!O22=0,"",生产日报1取值!O22)</f>
        <v>20.5914798206278</v>
      </c>
      <c r="P22" s="297"/>
      <c r="Q22" s="297"/>
    </row>
    <row customHeight="1" ht="15.75">
      <c r="A23" s="297"/>
      <c r="B23" s="279" t="s">
        <v>36</v>
      </c>
      <c r="C23" s="279"/>
      <c r="D23" s="86" t="str">
        <f>IF(生产日报1取值!D23=0,"",生产日报1取值!D23)</f>
        <v/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309"/>
      <c r="P23" s="297"/>
      <c r="Q23" s="297"/>
    </row>
    <row customHeight="1" ht="15.75">
      <c r="A24" s="297"/>
      <c r="B24" s="247" t="s">
        <v>37</v>
      </c>
      <c r="C24" s="247"/>
      <c r="D24" s="309">
        <f>IF(生产日报1取值!D24=0,"",生产日报1取值!D24)</f>
        <v>48.4542372881356</v>
      </c>
      <c r="E24" s="309">
        <f>IF(生产日报1取值!E24=0,"",生产日报1取值!E24)</f>
        <v>48.3002496136931</v>
      </c>
      <c r="F24" s="309">
        <f>IF(生产日报1取值!F24=0,"",生产日报1取值!F24)</f>
        <v>48.5474006116208</v>
      </c>
      <c r="G24" s="309">
        <f>IF(生产日报1取值!G24=0,"",生产日报1取值!G24)</f>
        <v>49.0428540352404</v>
      </c>
      <c r="H24" s="309">
        <f>IF(生产日报1取值!H24=0,"",生产日报1取值!H24)</f>
        <v>49.1211110574057</v>
      </c>
      <c r="I24" s="309">
        <f>IF(生产日报1取值!I24=0,"",生产日报1取值!I24)</f>
        <v>51.8652411352973</v>
      </c>
      <c r="J24" s="309">
        <f>IF(生产日报1取值!J24=0,"",生产日报1取值!J24)</f>
        <v>52.8378679159291</v>
      </c>
      <c r="K24" s="309" t="str">
        <f>IF(生产日报1取值!K24=0,"",生产日报1取值!K24)</f>
        <v/>
      </c>
      <c r="L24" s="309" t="str">
        <f>IF(生产日报1取值!L24=0,"",生产日报1取值!L24)</f>
        <v/>
      </c>
      <c r="M24" s="309">
        <f>IF(生产日报1取值!M24=0,"",生产日报1取值!M24)</f>
        <v>49.6630019732964</v>
      </c>
      <c r="N24" s="309">
        <f>IF(生产日报1取值!N24=0,"",生产日报1取值!N24)</f>
        <v>50.1539381912627</v>
      </c>
      <c r="O24" s="309"/>
      <c r="P24" s="383">
        <f>M24</f>
        <v>49.6630019732964</v>
      </c>
      <c r="Q24" s="384">
        <f>N24</f>
        <v>50.1539381912627</v>
      </c>
    </row>
    <row customHeight="1" ht="15.75">
      <c r="A25" s="297"/>
      <c r="B25" s="247" t="s">
        <v>38</v>
      </c>
      <c r="C25" s="247"/>
      <c r="D25" s="309">
        <f>IF(生产日报1取值!D25=0,"",生产日报1取值!D25)</f>
        <v>69.2240740740741</v>
      </c>
      <c r="E25" s="309">
        <f>IF(生产日报1取值!E25=0,"",生产日报1取值!E25)</f>
        <v>71.7717379045901</v>
      </c>
      <c r="F25" s="309">
        <f>IF(生产日报1取值!F25=0,"",生产日报1取值!F25)</f>
        <v>71.4520547945205</v>
      </c>
      <c r="G25" s="309">
        <f>IF(生产日报1取值!G25=0,"",生产日报1取值!G25)</f>
        <v>70.5598714170908</v>
      </c>
      <c r="H25" s="309">
        <f>IF(生产日报1取值!H25=0,"",生产日报1取值!H25)</f>
        <v>71.197096134416</v>
      </c>
      <c r="I25" s="309">
        <f>IF(生产日报1取值!I25=0,"",生产日报1取值!I25)</f>
        <v>69.8509342851144</v>
      </c>
      <c r="J25" s="309">
        <f>IF(生产日报1取值!J25=0,"",生产日报1取值!J25)</f>
        <v>70.180081327051</v>
      </c>
      <c r="K25" s="309" t="str">
        <f>IF(生产日报1取值!K25=0,"",生产日报1取值!K25)</f>
        <v/>
      </c>
      <c r="L25" s="309" t="str">
        <f>IF(生产日报1取值!L25=0,"",生产日报1取值!L25)</f>
        <v/>
      </c>
      <c r="M25" s="309">
        <f>IF(生产日报1取值!M25=0,"",生产日报1取值!M25)</f>
        <v>70.9842769106721</v>
      </c>
      <c r="N25" s="309">
        <f>IF(生产日报1取值!N25=0,"",生产日报1取值!N25)</f>
        <v>71.0660576658122</v>
      </c>
      <c r="O25" s="309"/>
      <c r="P25" s="384">
        <f>M25</f>
        <v>70.9842769106721</v>
      </c>
      <c r="Q25" s="384">
        <f>N25</f>
        <v>71.0660576658122</v>
      </c>
    </row>
    <row customHeight="1" ht="15.75">
      <c r="A26" s="297"/>
      <c r="B26" s="250" t="s">
        <v>39</v>
      </c>
      <c r="C26" s="250"/>
      <c r="D26" s="309">
        <f>IF(生产日报1取值!D26=0,"",生产日报1取值!D26)</f>
        <v>17.1006172839506</v>
      </c>
      <c r="E26" s="309">
        <f>IF(生产日报1取值!E26=0,"",生产日报1取值!E26)</f>
        <v>16.1948798917334</v>
      </c>
      <c r="F26" s="309">
        <f>IF(生产日报1取值!F26=0,"",生产日报1取值!F26)</f>
        <v>16.4464141821112</v>
      </c>
      <c r="G26" s="309">
        <f>IF(生产日报1取值!G26=0,"",生产日报1取值!G26)</f>
        <v>16.6622019823198</v>
      </c>
      <c r="H26" s="309">
        <f>IF(生产日报1取值!H26=0,"",生产日报1取值!H26)</f>
        <v>16.023650039292</v>
      </c>
      <c r="I26" s="309">
        <f>IF(生产日报1取值!I26=0,"",生产日报1取值!I26)</f>
        <v>15.0745328574428</v>
      </c>
      <c r="J26" s="309">
        <f>IF(生产日报1取值!J26=0,"",生产日报1取值!J26)</f>
        <v>14.7550506680436</v>
      </c>
      <c r="K26" s="309" t="str">
        <f>IF(生产日报1取值!K26=0,"",生产日报1取值!K26)</f>
        <v/>
      </c>
      <c r="L26" s="309" t="str">
        <f>IF(生产日报1取值!L26=0,"",生产日报1取值!L26)</f>
        <v/>
      </c>
      <c r="M26" s="309">
        <f>IF(生产日报1取值!M26=0,"",生产日报1取值!M26)</f>
        <v>15.9815281670016</v>
      </c>
      <c r="N26" s="309">
        <f>IF(生产日报1取值!N26=0,"",生产日报1取值!N26)</f>
        <v>15.9187109014744</v>
      </c>
      <c r="O26" s="309"/>
      <c r="P26" s="297"/>
      <c r="Q26" s="297"/>
    </row>
    <row customHeight="1" ht="15.75">
      <c r="A27" s="297"/>
      <c r="B27" s="247" t="s">
        <v>40</v>
      </c>
      <c r="C27" s="247"/>
      <c r="D27" s="309">
        <f>IF(生产日报1取值!D27=0,"",生产日报1取值!D27)</f>
        <v>92.4560538116592</v>
      </c>
      <c r="E27" s="309" t="str">
        <f>IF(生产日报1取值!E27=0,"",生产日报1取值!E27)</f>
        <v/>
      </c>
      <c r="F27" s="309" t="str">
        <f>IF(生产日报1取值!F27=0,"",生产日报1取值!F27)</f>
        <v/>
      </c>
      <c r="G27" s="309">
        <f>IF(生产日报1取值!G27=0,"",生产日报1取值!G27)</f>
        <v>93.354943273906</v>
      </c>
      <c r="H27" s="309">
        <f>IF(生产日报1取值!H27=0,"",生产日报1取值!H27)</f>
        <v>93.4599156118144</v>
      </c>
      <c r="I27" s="309">
        <f>IF(生产日报1取值!I27=0,"",生产日报1取值!I27)</f>
        <v>93.0239520958084</v>
      </c>
      <c r="J27" s="309">
        <f>IF(生产日报1取值!J27=0,"",生产日报1取值!J27)</f>
        <v>93.2087921504777</v>
      </c>
      <c r="K27" s="309">
        <f>IF(生产日报1取值!K27=0,"",生产日报1取值!K27)</f>
        <v>93.3644859813084</v>
      </c>
      <c r="L27" s="309">
        <f>IF(生产日报1取值!L27=0,"",生产日报1取值!L27)</f>
        <v>93.2164914037723</v>
      </c>
      <c r="M27" s="309">
        <f>IF(生产日报1取值!M27=0,"",生产日报1取值!M27)</f>
        <v>93.2256889644288</v>
      </c>
      <c r="N27" s="309">
        <f>IF(生产日报1取值!N27=0,"",生产日报1取值!N27)</f>
        <v>93.2314107018763</v>
      </c>
      <c r="O27" s="309"/>
      <c r="P27" s="384">
        <f>M27</f>
        <v>93.2256889644288</v>
      </c>
      <c r="Q27" s="384">
        <f>N27</f>
        <v>93.2314107018763</v>
      </c>
    </row>
    <row customHeight="1" ht="15.75">
      <c r="A28" s="297"/>
      <c r="B28" s="247" t="s">
        <v>41</v>
      </c>
      <c r="C28" s="247"/>
      <c r="D28" s="309" t="str">
        <f>IF(生产日报1取值!D28=0,"",生产日报1取值!D28)</f>
        <v/>
      </c>
      <c r="E28" s="309" t="str">
        <f>IF(生产日报1取值!E28=0,"",生产日报1取值!E28)</f>
        <v/>
      </c>
      <c r="F28" s="309" t="str">
        <f>IF(生产日报1取值!F28=0,"",生产日报1取值!F28)</f>
        <v/>
      </c>
      <c r="G28" s="309" t="str">
        <f>IF(生产日报1取值!G28=0,"",生产日报1取值!G28)</f>
        <v/>
      </c>
      <c r="H28" s="309" t="str">
        <f>IF(生产日报1取值!H28=0,"",生产日报1取值!H28)</f>
        <v/>
      </c>
      <c r="I28" s="309" t="str">
        <f>IF(生产日报1取值!I28=0,"",生产日报1取值!I28)</f>
        <v/>
      </c>
      <c r="J28" s="309" t="str">
        <f>IF(生产日报1取值!J28=0,"",生产日报1取值!J28)</f>
        <v/>
      </c>
      <c r="K28" s="309">
        <f>IF(生产日报1取值!K28=0,"",生产日报1取值!K28)</f>
        <v>99.7385620915033</v>
      </c>
      <c r="L28" s="309">
        <f>IF(生产日报1取值!L28=0,"",生产日报1取值!L28)</f>
        <v>99.7281484545831</v>
      </c>
      <c r="M28" s="309">
        <f>IF(生产日报1取值!M28=0,"",生产日报1取值!M28)</f>
        <v>99.7385620915033</v>
      </c>
      <c r="N28" s="309">
        <f>IF(生产日报1取值!N28=0,"",生产日报1取值!N28)</f>
        <v>99.7281484545831</v>
      </c>
      <c r="O28" s="309"/>
      <c r="P28" s="297"/>
      <c r="Q28" s="297"/>
    </row>
    <row customHeight="1" ht="15.75">
      <c r="A29" s="297"/>
      <c r="B29" s="247" t="s">
        <v>42</v>
      </c>
      <c r="C29" s="247"/>
      <c r="D29" s="309" t="str">
        <f>IF(生产日报1取值!D29=0,"",生产日报1取值!D29)</f>
        <v/>
      </c>
      <c r="E29" s="309">
        <f>IF(生产日报1取值!E29=0,"",生产日报1取值!E29)</f>
        <v>99.6828752642706</v>
      </c>
      <c r="F29" s="309">
        <f>IF(生产日报1取值!F29=0,"",生产日报1取值!F29)</f>
        <v>99.6577017114914</v>
      </c>
      <c r="G29" s="309" t="str">
        <f>IF(生产日报1取值!G29=0,"",生产日报1取值!G29)</f>
        <v/>
      </c>
      <c r="H29" s="309" t="str">
        <f>IF(生产日报1取值!H29=0,"",生产日报1取值!H29)</f>
        <v/>
      </c>
      <c r="I29" s="309" t="str">
        <f>IF(生产日报1取值!I29=0,"",生产日报1取值!I29)</f>
        <v/>
      </c>
      <c r="J29" s="309" t="str">
        <f>IF(生产日报1取值!J29=0,"",生产日报1取值!J29)</f>
        <v/>
      </c>
      <c r="K29" s="309">
        <f>IF(生产日报1取值!K29=0,"",生产日报1取值!K29)</f>
        <v>97.8034682080925</v>
      </c>
      <c r="L29" s="309">
        <f>IF(生产日报1取值!L29=0,"",生产日报1取值!L29)</f>
        <v>97.9520802978792</v>
      </c>
      <c r="M29" s="309">
        <f>IF(生产日报1取值!M29=0,"",生产日报1取值!M29)</f>
        <v>98.4678624813154</v>
      </c>
      <c r="N29" s="309">
        <f>IF(生产日报1取值!N29=0,"",生产日报1取值!N29)</f>
        <v>98.518037752177</v>
      </c>
      <c r="O29" s="309"/>
      <c r="P29" s="297"/>
      <c r="Q29" s="297"/>
    </row>
    <row customHeight="1" ht="15.75">
      <c r="A30" s="297"/>
      <c r="B30" s="247" t="s">
        <v>43</v>
      </c>
      <c r="C30" s="247"/>
      <c r="D30" s="309">
        <f>IF(生产日报1取值!D30=0,"",生产日报1取值!D30)</f>
        <v>25.5579251463606</v>
      </c>
      <c r="E30" s="309">
        <f>IF(生产日报1取值!E30=0,"",生产日报1取值!E30)</f>
        <v>25.1585623678647</v>
      </c>
      <c r="F30" s="309">
        <f>IF(生产日报1取值!F30=0,"",生产日报1取值!F30)</f>
        <v>27.6283618581907</v>
      </c>
      <c r="G30" s="309" t="str">
        <f>IF(生产日报1取值!G30=0,"",生产日报1取值!G30)</f>
        <v/>
      </c>
      <c r="H30" s="309" t="str">
        <f>IF(生产日报1取值!H30=0,"",生产日报1取值!H30)</f>
        <v/>
      </c>
      <c r="I30" s="309" t="str">
        <f>IF(生产日报1取值!I30=0,"",生产日报1取值!I30)</f>
        <v/>
      </c>
      <c r="J30" s="309" t="str">
        <f>IF(生产日报1取值!J30=0,"",生产日报1取值!J30)</f>
        <v/>
      </c>
      <c r="K30" s="309">
        <f>IF(生产日报1取值!K30=0,"",生产日报1取值!K30)</f>
        <v>26.878612716763</v>
      </c>
      <c r="L30" s="309">
        <f>IF(生产日报1取值!L30=0,"",生产日报1取值!L30)</f>
        <v>26.7443742917274</v>
      </c>
      <c r="M30" s="309">
        <f>IF(生产日报1取值!M30=0,"",生产日报1取值!M30)</f>
        <v>26.270553064275</v>
      </c>
      <c r="N30" s="309">
        <f>IF(生产日报1取值!N30=0,"",生产日报1取值!N30)</f>
        <v>27.0376980907567</v>
      </c>
      <c r="O30" s="309"/>
      <c r="P30" s="297"/>
      <c r="Q30" s="297"/>
    </row>
    <row customHeight="1" ht="15.75">
      <c r="A31" s="297"/>
      <c r="B31" s="247" t="s">
        <v>44</v>
      </c>
      <c r="C31" s="247"/>
      <c r="D31" s="309" t="str">
        <f>IF(生产日报1取值!D31=0,"",生产日报1取值!D31)</f>
        <v/>
      </c>
      <c r="E31" s="309">
        <f>IF(生产日报1取值!E31=0,"",生产日报1取值!E31)</f>
        <v>96.5189873417722</v>
      </c>
      <c r="F31" s="309">
        <f>IF(生产日报1取值!F31=0,"",生产日报1取值!F31)</f>
        <v>96.0219478737997</v>
      </c>
      <c r="G31" s="309" t="str">
        <f>IF(生产日报1取值!G31=0,"",生产日报1取值!G31)</f>
        <v/>
      </c>
      <c r="H31" s="309" t="str">
        <f>IF(生产日报1取值!H31=0,"",生产日报1取值!H31)</f>
        <v/>
      </c>
      <c r="I31" s="309" t="str">
        <f>IF(生产日报1取值!I31=0,"",生产日报1取值!I31)</f>
        <v/>
      </c>
      <c r="J31" s="309" t="str">
        <f>IF(生产日报1取值!J31=0,"",生产日报1取值!J31)</f>
        <v/>
      </c>
      <c r="K31" s="309">
        <f>IF(生产日报1取值!K31=0,"",生产日报1取值!K31)</f>
        <v>97.2185007974482</v>
      </c>
      <c r="L31" s="309">
        <f>IF(生产日报1取值!L31=0,"",生产日报1取值!L31)</f>
        <v>97.0020449897751</v>
      </c>
      <c r="M31" s="309">
        <f>IF(生产日报1取值!M31=0,"",生产日报1取值!M31)</f>
        <v>96.9840933191941</v>
      </c>
      <c r="N31" s="309">
        <f>IF(生产日报1取值!N31=0,"",生产日报1取值!N31)</f>
        <v>96.6766848816029</v>
      </c>
      <c r="O31" s="309"/>
      <c r="P31" s="297"/>
      <c r="Q31" s="297"/>
    </row>
    <row customHeight="1" ht="15.75">
      <c r="A32" s="297"/>
      <c r="B32" s="247" t="s">
        <v>45</v>
      </c>
      <c r="C32" s="247"/>
      <c r="D32" s="309" t="str">
        <f>IF(生产日报1取值!D32=0,"",生产日报1取值!D32)</f>
        <v/>
      </c>
      <c r="E32" s="309">
        <f>IF(生产日报1取值!E32=0,"",生产日报1取值!E32)</f>
        <v>18.5567010309278</v>
      </c>
      <c r="F32" s="309">
        <f>IF(生产日报1取值!F32=0,"",生产日报1取值!F32)</f>
        <v>18.3173588924388</v>
      </c>
      <c r="G32" s="309" t="str">
        <f>IF(生产日报1取值!G32=0,"",生产日报1取值!G32)</f>
        <v/>
      </c>
      <c r="H32" s="309" t="str">
        <f>IF(生产日报1取值!H32=0,"",生产日报1取值!H32)</f>
        <v/>
      </c>
      <c r="I32" s="309" t="str">
        <f>IF(生产日报1取值!I32=0,"",生产日报1取值!I32)</f>
        <v/>
      </c>
      <c r="J32" s="309" t="str">
        <f>IF(生产日报1取值!J32=0,"",生产日报1取值!J32)</f>
        <v/>
      </c>
      <c r="K32" s="309">
        <f>IF(生产日报1取值!K32=0,"",生产日报1取值!K32)</f>
        <v>15.7238734419942</v>
      </c>
      <c r="L32" s="309">
        <f>IF(生产日报1取值!L32=0,"",生产日报1取值!L32)</f>
        <v>15.6678312281645</v>
      </c>
      <c r="M32" s="309">
        <f>IF(生产日报1取值!M32=0,"",生产日报1取值!M32)</f>
        <v>16.7384615384615</v>
      </c>
      <c r="N32" s="309">
        <f>IF(生产日报1取值!N32=0,"",生产日报1取值!N32)</f>
        <v>16.5565279514199</v>
      </c>
      <c r="O32" s="309"/>
      <c r="P32" s="297"/>
      <c r="Q32" s="297"/>
    </row>
    <row customHeight="1" ht="15.75">
      <c r="A33" s="297"/>
      <c r="B33" s="247" t="s">
        <v>46</v>
      </c>
      <c r="C33" s="247"/>
      <c r="D33" s="309" t="str">
        <f>IF(生产日报1取值!D33=0,"",生产日报1取值!D33)</f>
        <v/>
      </c>
      <c r="E33" s="309">
        <f>IF(生产日报1取值!E33=0,"",生产日报1取值!E33)</f>
        <v>99.3</v>
      </c>
      <c r="F33" s="309">
        <f>IF(生产日报1取值!F33=0,"",生产日报1取值!F33)</f>
        <v>99.07</v>
      </c>
      <c r="G33" s="309" t="str">
        <f>IF(生产日报1取值!G33=0,"",生产日报1取值!G33)</f>
        <v/>
      </c>
      <c r="H33" s="309" t="str">
        <f>IF(生产日报1取值!H33=0,"",生产日报1取值!H33)</f>
        <v/>
      </c>
      <c r="I33" s="309" t="str">
        <f>IF(生产日报1取值!I33=0,"",生产日报1取值!I33)</f>
        <v/>
      </c>
      <c r="J33" s="309" t="str">
        <f>IF(生产日报1取值!J33=0,"",生产日报1取值!J33)</f>
        <v/>
      </c>
      <c r="K33" s="309">
        <f>_xlfn.IFERROR(IF(生产日报1取值!K33=0,"",生产日报1取值!K33),"")</f>
        <v>99.7698485762357</v>
      </c>
      <c r="L33" s="309">
        <f>_xlfn.IFERROR(IF(生产日报1取值!L33=0,"",生产日报1取值!L33),"")</f>
        <v>99.8022177823399</v>
      </c>
      <c r="M33" s="309">
        <f>IF(生产日报1取值!M33=0,"",生产日报1取值!M33)</f>
        <v>99.6015705015471</v>
      </c>
      <c r="N33" s="309">
        <f>IF(生产日报1取值!N33=0,"",生产日报1取值!N33)</f>
        <v>99.5566194620623</v>
      </c>
      <c r="O33" s="309"/>
      <c r="P33" s="297"/>
      <c r="Q33" s="297"/>
    </row>
    <row customHeight="1" ht="15.75">
      <c r="A34" s="297"/>
      <c r="B34" s="247" t="s">
        <v>47</v>
      </c>
      <c r="C34" s="247"/>
      <c r="D34" s="309" t="str">
        <f>IF(生产日报1取值!D34=0,"",生产日报1取值!D34)</f>
        <v/>
      </c>
      <c r="E34" s="309" t="str">
        <f>IF(生产日报1取值!E34=0,"",生产日报1取值!E34)</f>
        <v/>
      </c>
      <c r="F34" s="309" t="str">
        <f>IF(生产日报1取值!F34=0,"",生产日报1取值!F34)</f>
        <v/>
      </c>
      <c r="G34" s="309" t="str">
        <f>IF(生产日报1取值!G34=0,"",生产日报1取值!G34)</f>
        <v/>
      </c>
      <c r="H34" s="309" t="str">
        <f>IF(生产日报1取值!H34=0,"",生产日报1取值!H34)</f>
        <v/>
      </c>
      <c r="I34" s="309">
        <f>IF(生产日报1取值!I34=0,"",生产日报1取值!I34)</f>
        <v>95.3290870488323</v>
      </c>
      <c r="J34" s="309">
        <f>IF(生产日报1取值!J34=0,"",生产日报1取值!J34)</f>
        <v>94.0420194418313</v>
      </c>
      <c r="K34" s="309">
        <f>IF(生产日报1取值!K34=0,"",生产日报1取值!K34)</f>
        <v>99.4633273703041</v>
      </c>
      <c r="L34" s="309">
        <f>IF(生产日报1取值!L34=0,"",生产日报1取值!L34)</f>
        <v>99.4718309859155</v>
      </c>
      <c r="M34" s="309">
        <f>IF(生产日报1取值!M34=0,"",生产日报1取值!M34)</f>
        <v>97.5728155339806</v>
      </c>
      <c r="N34" s="309">
        <f>IF(生产日报1取值!N34=0,"",生产日报1取值!N34)</f>
        <v>97.0551290997906</v>
      </c>
      <c r="O34" s="309"/>
      <c r="P34" s="297"/>
      <c r="Q34" s="297"/>
    </row>
    <row customHeight="1" ht="15.75">
      <c r="A35" s="297"/>
      <c r="B35" s="247" t="s">
        <v>48</v>
      </c>
      <c r="C35" s="247"/>
      <c r="D35" s="309" t="str">
        <f>IF(生产日报1取值!D35=0,"",生产日报1取值!D35)</f>
        <v/>
      </c>
      <c r="E35" s="309">
        <f>IF(生产日报1取值!E35=0,"",生产日报1取值!E35)</f>
        <v>43.5393258426966</v>
      </c>
      <c r="F35" s="309">
        <f>IF(生产日报1取值!F35=0,"",生产日报1取值!F35)</f>
        <v>43.8767550702028</v>
      </c>
      <c r="G35" s="309" t="str">
        <f>IF(生产日报1取值!G35=0,"",生产日报1取值!G35)</f>
        <v/>
      </c>
      <c r="H35" s="309" t="str">
        <f>IF(生产日报1取值!H35=0,"",生产日报1取值!H35)</f>
        <v/>
      </c>
      <c r="I35" s="309" t="str">
        <f>IF(生产日报1取值!I35=0,"",生产日报1取值!I35)</f>
        <v/>
      </c>
      <c r="J35" s="309" t="str">
        <f>IF(生产日报1取值!J35=0,"",生产日报1取值!J35)</f>
        <v/>
      </c>
      <c r="K35" s="309" t="str">
        <f>IF(生产日报1取值!K35=0,"",生产日报1取值!K35)</f>
        <v/>
      </c>
      <c r="L35" s="309" t="str">
        <f>IF(生产日报1取值!L35=0,"",生产日报1取值!L35)</f>
        <v/>
      </c>
      <c r="M35" s="309">
        <f>IF(生产日报1取值!M35=0,"",生产日报1取值!M35)</f>
        <v>43.5393258426966</v>
      </c>
      <c r="N35" s="309">
        <f>IF(生产日报1取值!N35=0,"",生产日报1取值!N35)</f>
        <v>43.8767550702028</v>
      </c>
      <c r="O35" s="309"/>
      <c r="P35" s="297"/>
      <c r="Q35" s="297"/>
    </row>
    <row customHeight="1" ht="15.75">
      <c r="A36" s="297"/>
      <c r="B36" s="247" t="s">
        <v>49</v>
      </c>
      <c r="C36" s="247"/>
      <c r="D36" s="309" t="str">
        <f>IF(生产日报1取值!D36=0,"",生产日报1取值!D36)</f>
        <v/>
      </c>
      <c r="E36" s="309">
        <f>IF(生产日报1取值!E36=0,"",生产日报1取值!E36)</f>
        <v>94.9685534591195</v>
      </c>
      <c r="F36" s="309">
        <f>IF(生产日报1取值!F36=0,"",生产日报1取值!F36)</f>
        <v>94.6302816901408</v>
      </c>
      <c r="G36" s="309" t="str">
        <f>IF(生产日报1取值!G36=0,"",生产日报1取值!G36)</f>
        <v/>
      </c>
      <c r="H36" s="309" t="str">
        <f>IF(生产日报1取值!H36=0,"",生产日报1取值!H36)</f>
        <v/>
      </c>
      <c r="I36" s="309" t="str">
        <f>IF(生产日报1取值!I36=0,"",生产日报1取值!I36)</f>
        <v/>
      </c>
      <c r="J36" s="309" t="str">
        <f>IF(生产日报1取值!J36=0,"",生产日报1取值!J36)</f>
        <v/>
      </c>
      <c r="K36" s="309" t="str">
        <f>IF(生产日报1取值!K36=0,"",生产日报1取值!K36)</f>
        <v/>
      </c>
      <c r="L36" s="309" t="str">
        <f>IF(生产日报1取值!L36=0,"",生产日报1取值!L36)</f>
        <v/>
      </c>
      <c r="M36" s="309">
        <f>IF(生产日报1取值!M36=0,"",生产日报1取值!M36)</f>
        <v>94.9685534591193</v>
      </c>
      <c r="N36" s="309">
        <f>IF(生产日报1取值!N36=0,"",生产日报1取值!N36)</f>
        <v>94.6302816901411</v>
      </c>
      <c r="O36" s="309"/>
      <c r="P36" s="297"/>
      <c r="Q36" s="297"/>
    </row>
    <row customHeight="1" ht="15.75">
      <c r="A37" s="297"/>
      <c r="B37" s="247" t="s">
        <v>50</v>
      </c>
      <c r="C37" s="247"/>
      <c r="D37" s="309">
        <f>IF(生产日报1取值!D37=0,"",生产日报1取值!D37)</f>
        <v>43.5</v>
      </c>
      <c r="E37" s="309">
        <f>IF(生产日报1取值!E37=0,"",生产日报1取值!E37)</f>
        <v>38.9400921658986</v>
      </c>
      <c r="F37" s="309">
        <f>IF(生产日报1取值!F37=0,"",生产日报1取值!F37)</f>
        <v>37.9287155346335</v>
      </c>
      <c r="G37" s="309" t="str">
        <f>IF(生产日报1取值!G37=0,"",生产日报1取值!G37)</f>
        <v/>
      </c>
      <c r="H37" s="309" t="str">
        <f>IF(生产日报1取值!H37=0,"",生产日报1取值!H37)</f>
        <v/>
      </c>
      <c r="I37" s="309" t="str">
        <f>IF(生产日报1取值!I37=0,"",生产日报1取值!I37)</f>
        <v/>
      </c>
      <c r="J37" s="309" t="str">
        <f>IF(生产日报1取值!J37=0,"",生产日报1取值!J37)</f>
        <v/>
      </c>
      <c r="K37" s="309" t="str">
        <f>IF(生产日报1取值!K37=0,"",生产日报1取值!K37)</f>
        <v/>
      </c>
      <c r="L37" s="309" t="str">
        <f>IF(生产日报1取值!L37=0,"",生产日报1取值!L37)</f>
        <v/>
      </c>
      <c r="M37" s="309">
        <f>IF(生产日报1取值!M37=0,"",生产日报1取值!M37)</f>
        <v>38.9400921658986</v>
      </c>
      <c r="N37" s="309">
        <f>IF(生产日报1取值!N37=0,"",生产日报1取值!N37)</f>
        <v>37.9287155346335</v>
      </c>
      <c r="O37" s="309"/>
      <c r="P37" s="297"/>
      <c r="Q37" s="297"/>
    </row>
    <row customHeight="1" ht="15.75">
      <c r="A38" s="297"/>
      <c r="B38" s="247" t="s">
        <v>51</v>
      </c>
      <c r="C38" s="247"/>
      <c r="D38" s="309">
        <f>IF(生产日报1取值!D38=0,"",生产日报1取值!D38)</f>
        <v>98.2434210526316</v>
      </c>
      <c r="E38" s="309" t="str">
        <f>IF(生产日报1取值!E38=0,"",生产日报1取值!E38)</f>
        <v/>
      </c>
      <c r="F38" s="309" t="str">
        <f>IF(生产日报1取值!F38=0,"",生产日报1取值!F38)</f>
        <v/>
      </c>
      <c r="G38" s="309">
        <f>IF(生产日报1取值!G38=0,"",生产日报1取值!G38)</f>
        <v>98.8925802879291</v>
      </c>
      <c r="H38" s="309">
        <f>IF(生产日报1取值!H38=0,"",生产日报1取值!H38)</f>
        <v>98.889060330196</v>
      </c>
      <c r="I38" s="309">
        <f>IF(生产日报1取值!I38=0,"",生产日报1取值!I38)</f>
        <v>99.2236778262979</v>
      </c>
      <c r="J38" s="309">
        <f>IF(生产日报1取值!J38=0,"",生产日报1取值!J38)</f>
        <v>99.22448124083</v>
      </c>
      <c r="K38" s="309">
        <f>IF(生产日报1取值!K38=0,"",生产日报1取值!K38)</f>
        <v>98.9636056881176</v>
      </c>
      <c r="L38" s="309">
        <f>IF(生产日报1取值!L38=0,"",生产日报1取值!L38)</f>
        <v>99.0084062446389</v>
      </c>
      <c r="M38" s="309">
        <f>IF(生产日报1取值!M38=0,"",生产日报1取值!M38)</f>
        <v>99.0144710578842</v>
      </c>
      <c r="N38" s="309">
        <f>IF(生产日报1取值!N38=0,"",生产日报1取值!N38)</f>
        <v>99.0358029067707</v>
      </c>
      <c r="O38" s="309"/>
      <c r="P38" s="297"/>
      <c r="Q38" s="297"/>
    </row>
    <row customHeight="1" ht="15.75">
      <c r="A39" s="297"/>
      <c r="B39" s="247" t="s">
        <v>52</v>
      </c>
      <c r="C39" s="247"/>
      <c r="D39" s="309">
        <f>IF(生产日报1取值!D39=0,"",生产日报1取值!D39)</f>
        <v>98.5878923766816</v>
      </c>
      <c r="E39" s="309" t="str">
        <f>IF(生产日报1取值!E39=0,"",生产日报1取值!E39)</f>
        <v/>
      </c>
      <c r="F39" s="309" t="str">
        <f>IF(生产日报1取值!F39=0,"",生产日报1取值!F39)</f>
        <v/>
      </c>
      <c r="G39" s="309">
        <f>IF(生产日报1取值!G39=0,"",生产日报1取值!G39)</f>
        <v>99.0812720848056</v>
      </c>
      <c r="H39" s="309">
        <f>IF(生产日报1取值!H39=0,"",生产日报1取值!H39)</f>
        <v>99.2078460958129</v>
      </c>
      <c r="I39" s="309">
        <f>IF(生产日报1取值!I39=0,"",生产日报1取值!I39)</f>
        <v>99.0282485875707</v>
      </c>
      <c r="J39" s="309">
        <f>IF(生产日报1取值!J39=0,"",生产日报1取值!J39)</f>
        <v>99.1675090682049</v>
      </c>
      <c r="K39" s="309">
        <f>IF(生产日报1取值!K39=0,"",生产日报1取值!K39)</f>
        <v>99.3034214300348</v>
      </c>
      <c r="L39" s="309">
        <f>IF(生产日报1取值!L39=0,"",生产日报1取值!L39)</f>
        <v>99.1439802009026</v>
      </c>
      <c r="M39" s="309">
        <f>IF(生产日报1取值!M39=0,"",生产日报1取值!M39)</f>
        <v>99.1512854317732</v>
      </c>
      <c r="N39" s="309">
        <f>IF(生产日报1取值!N39=0,"",生产日报1取值!N39)</f>
        <v>99.169189224504</v>
      </c>
      <c r="O39" s="309"/>
      <c r="P39" s="297"/>
      <c r="Q39" s="297"/>
    </row>
    <row customHeight="1" ht="15.75">
      <c r="A40" s="297"/>
      <c r="B40" s="247" t="s">
        <v>53</v>
      </c>
      <c r="C40" s="247"/>
      <c r="D40" s="309" t="str">
        <f>IF(生产日报1取值!D40=0,"",生产日报1取值!D40)</f>
        <v/>
      </c>
      <c r="E40" s="309">
        <f>IF(生产日报1取值!E40=0,"",生产日报1取值!E40)</f>
        <v>94.6570783311542</v>
      </c>
      <c r="F40" s="309">
        <f>IF(生产日报1取值!F40=0,"",生产日报1取值!F40)</f>
        <v>94.8785253143051</v>
      </c>
      <c r="G40" s="309">
        <f>IF(生产日报1取值!G40=0,"",生产日报1取值!G40)</f>
        <v>81.1942571242114</v>
      </c>
      <c r="H40" s="309">
        <f>IF(生产日报1取值!H40=0,"",生产日报1取值!H40)</f>
        <v>83.3325277522677</v>
      </c>
      <c r="I40" s="309">
        <f>IF(生产日报1取值!I40=0,"",生产日报1取值!I40)</f>
        <v>77.1556034151219</v>
      </c>
      <c r="J40" s="309">
        <f>IF(生产日报1取值!J40=0,"",生产日报1取值!J40)</f>
        <v>75.8222806089519</v>
      </c>
      <c r="K40" s="309" t="str">
        <f>IF(生产日报1取值!K40=0,"",生产日报1取值!K40)</f>
        <v/>
      </c>
      <c r="L40" s="309" t="str">
        <f>IF(生产日报1取值!L40=0,"",生产日报1取值!L40)</f>
        <v/>
      </c>
      <c r="M40" s="309">
        <f>IF(生产日报1取值!M40=0,"",生产日报1取值!M40)</f>
        <v>85.6538786807104</v>
      </c>
      <c r="N40" s="309">
        <f>IF(生产日报1取值!N40=0,"",生产日报1取值!N40)</f>
        <v>85.7058407256763</v>
      </c>
      <c r="O40" s="309"/>
      <c r="P40" s="297"/>
      <c r="Q40" s="297"/>
    </row>
    <row customHeight="1" ht="15.75">
      <c r="A41" s="297"/>
      <c r="B41" s="279" t="s">
        <v>54</v>
      </c>
      <c r="C41" s="279"/>
      <c r="D41" s="86" t="str">
        <f>IF(生产日报1取值!D41=0,"",生产日报1取值!D41)</f>
        <v/>
      </c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309"/>
      <c r="P41" s="297"/>
      <c r="Q41" s="297"/>
    </row>
    <row customHeight="1" ht="15.75">
      <c r="A42" s="297"/>
      <c r="B42" s="247" t="s">
        <v>55</v>
      </c>
      <c r="C42" s="247"/>
      <c r="D42" s="86" t="str">
        <f>IF(生产日报1取值!D42=0,"",生产日报1取值!D42)</f>
        <v/>
      </c>
      <c r="E42" s="302" t="str">
        <f>IF(生产日报1取值!E42=0,"",生产日报1取值!E42)</f>
        <v/>
      </c>
      <c r="F42" s="302" t="str">
        <f>IF(生产日报1取值!F42=0,"",生产日报1取值!F42)</f>
        <v/>
      </c>
      <c r="G42" s="302">
        <f>IF(生产日报1取值!G42=0,"",生产日报1取值!G42)</f>
        <v>1475.72</v>
      </c>
      <c r="H42" s="302">
        <f>IF(生产日报1取值!H42=0,"",生产日报1取值!H42)</f>
        <v>8741.1</v>
      </c>
      <c r="I42" s="302" t="str">
        <f>IF(生产日报1取值!I42=0,"",生产日报1取值!I42)</f>
        <v/>
      </c>
      <c r="J42" s="302" t="str">
        <f>IF(生产日报1取值!J42=0,"",生产日报1取值!J42)</f>
        <v/>
      </c>
      <c r="K42" s="302" t="str">
        <f>IF(生产日报1取值!K42=0,"",生产日报1取值!K42)</f>
        <v/>
      </c>
      <c r="L42" s="302" t="str">
        <f>IF(生产日报1取值!L42=0,"",生产日报1取值!L42)</f>
        <v/>
      </c>
      <c r="M42" s="302">
        <f>IF(生产日报1取值!M42=0,"",生产日报1取值!M42)</f>
        <v>1475.72</v>
      </c>
      <c r="N42" s="302">
        <f>IF(生产日报1取值!N42=0,"",生产日报1取值!N42)</f>
        <v>8741.1</v>
      </c>
      <c r="O42" s="309" t="str">
        <f>IF(生产日报1取值!O42=0,"",生产日报1取值!O42)</f>
        <v/>
      </c>
      <c r="P42" s="297"/>
      <c r="Q42" s="297"/>
    </row>
    <row customHeight="1" ht="15.75">
      <c r="A43" s="297"/>
      <c r="B43" s="357" t="s">
        <v>56</v>
      </c>
      <c r="C43" s="357"/>
      <c r="D43" s="86" t="str">
        <f>IF(生产日报1取值!D43=0,"",生产日报1取值!D43)</f>
        <v/>
      </c>
      <c r="E43" s="302" t="str">
        <f>IF(生产日报1取值!E43=0,"",生产日报1取值!E43)</f>
        <v/>
      </c>
      <c r="F43" s="302" t="str">
        <f>IF(生产日报1取值!F43=0,"",生产日报1取值!F43)</f>
        <v/>
      </c>
      <c r="G43" s="302" t="str">
        <f>IF(生产日报1取值!G43=0,"",生产日报1取值!G43)</f>
        <v/>
      </c>
      <c r="H43" s="302" t="str">
        <f>IF(生产日报1取值!H43=0,"",生产日报1取值!H43)</f>
        <v/>
      </c>
      <c r="I43" s="302" t="str">
        <f>IF(生产日报1取值!I43=0,"",生产日报1取值!I43)</f>
        <v/>
      </c>
      <c r="J43" s="302" t="str">
        <f>IF(生产日报1取值!J43=0,"",生产日报1取值!J43)</f>
        <v/>
      </c>
      <c r="K43" s="302" t="str">
        <f>IF(生产日报1取值!K43=0,"",生产日报1取值!K43)</f>
        <v/>
      </c>
      <c r="L43" s="302" t="str">
        <f>IF(生产日报1取值!L43=0,"",生产日报1取值!L43)</f>
        <v/>
      </c>
      <c r="M43" s="302" t="str">
        <f>IF(生产日报1取值!M43=0,"",生产日报1取值!M43)</f>
        <v/>
      </c>
      <c r="N43" s="302" t="str">
        <f>IF(生产日报1取值!N43=0,"",生产日报1取值!N43)</f>
        <v/>
      </c>
      <c r="O43" s="309" t="str">
        <f>IF(生产日报1取值!O43=0,"",生产日报1取值!O43)</f>
        <v/>
      </c>
      <c r="P43" s="297"/>
      <c r="Q43" s="297"/>
    </row>
    <row customHeight="1" ht="15.75">
      <c r="A44" s="297"/>
      <c r="B44" s="357" t="s">
        <v>57</v>
      </c>
      <c r="C44" s="357"/>
      <c r="D44" s="86" t="str">
        <f>IF(生产日报1取值!D44=0,"",生产日报1取值!D44)</f>
        <v/>
      </c>
      <c r="E44" s="302">
        <f>IF(生产日报1取值!E44=0,"",生产日报1取值!E44)</f>
        <v>2963</v>
      </c>
      <c r="F44" s="302">
        <f>IF(生产日报1取值!F44=0,"",生产日报1取值!F44)</f>
        <v>19355</v>
      </c>
      <c r="G44" s="302">
        <f>IF(生产日报1取值!G44=0,"",生产日报1取值!G44)</f>
        <v>763.58</v>
      </c>
      <c r="H44" s="302">
        <f>IF(生产日报1取值!H44=0,"",生产日报1取值!H44)</f>
        <v>3925.46</v>
      </c>
      <c r="I44" s="302">
        <f>IF(生产日报1取值!I44=0,"",生产日报1取值!I44)</f>
        <v>352.74</v>
      </c>
      <c r="J44" s="302">
        <f>IF(生产日报1取值!J44=0,"",生产日报1取值!J44)</f>
        <v>1369.42</v>
      </c>
      <c r="K44" s="302" t="str">
        <f>IF(生产日报1取值!K44=0,"",生产日报1取值!K44)</f>
        <v/>
      </c>
      <c r="L44" s="302" t="str">
        <f>IF(生产日报1取值!L44=0,"",生产日报1取值!L44)</f>
        <v/>
      </c>
      <c r="M44" s="302">
        <f>IF(生产日报1取值!M44=0,"",生产日报1取值!M44)</f>
        <v>4079.32</v>
      </c>
      <c r="N44" s="302">
        <f>IF(生产日报1取值!N44=0,"",生产日报1取值!N44)</f>
        <v>24649.88</v>
      </c>
      <c r="O44" s="309" t="str">
        <f>IF(生产日报1取值!O44=0,"",生产日报1取值!O44)</f>
        <v/>
      </c>
      <c r="P44" s="297"/>
      <c r="Q44" s="297"/>
    </row>
    <row customHeight="1" ht="15.75">
      <c r="A45" s="297"/>
      <c r="B45" s="357" t="s">
        <v>58</v>
      </c>
      <c r="C45" s="357"/>
      <c r="D45" s="86" t="str">
        <f>IF(生产日报1取值!D45=0,"",生产日报1取值!D45)</f>
        <v/>
      </c>
      <c r="E45" s="302" t="str">
        <f>IF(生产日报1取值!E45=0,"",生产日报1取值!E45)</f>
        <v/>
      </c>
      <c r="F45" s="302" t="str">
        <f>IF(生产日报1取值!F45=0,"",生产日报1取值!F45)</f>
        <v/>
      </c>
      <c r="G45" s="302" t="str">
        <f>IF(生产日报1取值!G45=0,"",生产日报1取值!G45)</f>
        <v/>
      </c>
      <c r="H45" s="302" t="str">
        <f>IF(生产日报1取值!H45=0,"",生产日报1取值!H45)</f>
        <v/>
      </c>
      <c r="I45" s="302" t="str">
        <f>IF(生产日报1取值!I45=0,"",生产日报1取值!I45)</f>
        <v/>
      </c>
      <c r="J45" s="302" t="str">
        <f>IF(生产日报1取值!J45=0,"",生产日报1取值!J45)</f>
        <v/>
      </c>
      <c r="K45" s="302">
        <f>IF(生产日报1取值!K45=0,"",生产日报1取值!K45)</f>
        <v>3630.36</v>
      </c>
      <c r="L45" s="302">
        <f>IF(生产日报1取值!L45=0,"",生产日报1取值!L45)</f>
        <v>24452.44</v>
      </c>
      <c r="M45" s="302">
        <f>IF(生产日报1取值!M45=0,"",生产日报1取值!M45)</f>
        <v>3630.36</v>
      </c>
      <c r="N45" s="302">
        <f>IF(生产日报1取值!N45=0,"",生产日报1取值!N45)</f>
        <v>24452.44</v>
      </c>
      <c r="O45" s="309" t="str">
        <f>IF(生产日报1取值!O45=0,"",生产日报1取值!O45)</f>
        <v/>
      </c>
      <c r="P45" s="297"/>
      <c r="Q45" s="297"/>
    </row>
    <row customHeight="1" ht="18">
      <c r="A46" s="297"/>
      <c r="B46" s="88" t="s">
        <v>59</v>
      </c>
      <c r="C46" s="238" t="s">
        <v>60</v>
      </c>
      <c r="D46" s="90" t="s">
        <v>61</v>
      </c>
      <c r="E46" s="220"/>
      <c r="F46" s="90"/>
      <c r="G46" s="90"/>
      <c r="H46" s="88" t="s">
        <v>62</v>
      </c>
      <c r="I46" s="389" t="str">
        <f>IF(生产日报6!I33=0,"",生产日报6!I33)</f>
        <v>胡连鹏</v>
      </c>
      <c r="J46" s="390"/>
      <c r="K46" s="90"/>
      <c r="L46" s="90"/>
      <c r="M46" s="88" t="s">
        <v>63</v>
      </c>
      <c r="N46" s="389" t="str">
        <f>IF(生产日报6!N33=0,"",生产日报6!N33)</f>
        <v>李阿君</v>
      </c>
      <c r="O46" s="390"/>
      <c r="P46" s="297"/>
      <c r="Q46" s="297"/>
    </row>
  </sheetData>
  <mergeCells count="60">
    <mergeCell ref="B1:O1"/>
    <mergeCell ref="B2:C2"/>
    <mergeCell ref="D2:E2"/>
    <mergeCell ref="F2:G2"/>
    <mergeCell ref="H2:I2"/>
    <mergeCell ref="J2:L2"/>
    <mergeCell ref="N2:O2"/>
    <mergeCell ref="E3:F3"/>
    <mergeCell ref="G3:H3"/>
    <mergeCell ref="I3:J3"/>
    <mergeCell ref="K3:L3"/>
    <mergeCell ref="B5:C5"/>
    <mergeCell ref="D5:O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I46:J46"/>
    <mergeCell ref="N46:O46"/>
    <mergeCell ref="D3:D4"/>
    <mergeCell ref="M3:M4"/>
    <mergeCell ref="N3:N4"/>
    <mergeCell ref="O3:O4"/>
    <mergeCell ref="B3:C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E2C23D2-C9A8-A6FE-2B98-CE6FF0D33DC8}" mc:Ignorable="x14ac xr xr2 xr3">
  <dimension ref="A1:P85"/>
  <sheetViews>
    <sheetView defaultGridColor="0" colorId="31" showGridLines="0" workbookViewId="0">
      <pane xSplit="3" ySplit="4" topLeftCell="D29" activePane="bottomRight" state="frozen"/>
      <selection pane="bottomLeft" activeCell="A5" sqref="A5"/>
      <selection pane="topRight" activeCell="D1" sqref="D1"/>
      <selection pane="bottomRight" activeCell="E49" sqref="E49"/>
    </sheetView>
  </sheetViews>
  <sheetFormatPr defaultColWidth="10.00390625" customHeight="1" defaultRowHeight="13.5"/>
  <cols>
    <col min="1" max="1" style="74" width="2.7109375" customWidth="1"/>
    <col min="2" max="2" style="112" width="14.8515625" customWidth="1"/>
    <col min="3" max="3" style="112" width="9.8515625" customWidth="1"/>
    <col min="4" max="4" style="112" width="10.57421875" customWidth="1"/>
    <col min="5" max="5" style="112" width="12.8515625" customWidth="1"/>
    <col min="6" max="6" style="112" width="12.7109375" customWidth="1"/>
    <col min="7" max="7" style="112" width="11.7109375" customWidth="1"/>
    <col min="8" max="8" style="112" width="12.7109375" customWidth="1"/>
    <col min="9" max="9" style="112" width="10.7109375" customWidth="1"/>
    <col min="10" max="10" style="112" width="12.7109375" customWidth="1"/>
    <col min="11" max="11" style="112" width="10.7109375" customWidth="1"/>
    <col min="12" max="12" style="112" width="11.57421875" customWidth="1"/>
    <col min="13" max="13" style="112" width="11.28125" customWidth="1"/>
    <col min="14" max="14" style="112" width="10.28125" customWidth="1"/>
    <col min="15" max="15" style="112" width="12.7109375" customWidth="1"/>
  </cols>
  <sheetData>
    <row customHeight="1" ht="22.5">
      <c r="A1" s="297"/>
      <c r="B1" s="200" t="s">
        <v>0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392"/>
    </row>
    <row customHeight="1" ht="27.75">
      <c r="A2" s="297"/>
      <c r="B2" s="329" t="s">
        <v>64</v>
      </c>
      <c r="C2" s="202" t="s">
        <v>65</v>
      </c>
      <c r="D2" s="202"/>
      <c r="E2" s="202"/>
      <c r="F2" s="394" t="s">
        <v>66</v>
      </c>
      <c r="G2" s="395" t="s">
        <v>3</v>
      </c>
      <c r="H2" s="395"/>
      <c r="I2" s="394" t="s">
        <v>67</v>
      </c>
      <c r="J2" s="220" t="s">
        <v>68</v>
      </c>
      <c r="K2" s="397"/>
      <c r="L2" s="397">
        <f>#REF!</f>
      </c>
      <c r="M2" s="398"/>
      <c r="N2" s="349" t="s">
        <v>6</v>
      </c>
      <c r="O2" s="202"/>
      <c r="P2" s="392"/>
    </row>
    <row customHeight="1" ht="14.25">
      <c r="A3" s="297"/>
      <c r="B3" s="331" t="s">
        <v>7</v>
      </c>
      <c r="C3" s="332"/>
      <c r="D3" s="299" t="s">
        <v>8</v>
      </c>
      <c r="E3" s="332" t="s">
        <v>9</v>
      </c>
      <c r="F3" s="332"/>
      <c r="G3" s="332" t="s">
        <v>10</v>
      </c>
      <c r="H3" s="332"/>
      <c r="I3" s="332" t="s">
        <v>11</v>
      </c>
      <c r="J3" s="332"/>
      <c r="K3" s="332" t="s">
        <v>12</v>
      </c>
      <c r="L3" s="332"/>
      <c r="M3" s="301" t="s">
        <v>13</v>
      </c>
      <c r="N3" s="301" t="s">
        <v>14</v>
      </c>
      <c r="O3" s="301" t="s">
        <v>15</v>
      </c>
      <c r="P3" s="392"/>
    </row>
    <row customHeight="1" ht="14.25">
      <c r="A4" s="297"/>
      <c r="B4" s="331"/>
      <c r="C4" s="332"/>
      <c r="D4" s="299"/>
      <c r="E4" s="301" t="s">
        <v>16</v>
      </c>
      <c r="F4" s="301" t="s">
        <v>17</v>
      </c>
      <c r="G4" s="301" t="s">
        <v>16</v>
      </c>
      <c r="H4" s="301" t="s">
        <v>17</v>
      </c>
      <c r="I4" s="301" t="s">
        <v>16</v>
      </c>
      <c r="J4" s="301" t="s">
        <v>17</v>
      </c>
      <c r="K4" s="301" t="s">
        <v>16</v>
      </c>
      <c r="L4" s="301" t="s">
        <v>17</v>
      </c>
      <c r="M4" s="301"/>
      <c r="N4" s="301"/>
      <c r="O4" s="301"/>
      <c r="P4" s="392"/>
    </row>
    <row customHeight="1" ht="14.25">
      <c r="A5" s="297"/>
      <c r="B5" s="243" t="s">
        <v>18</v>
      </c>
      <c r="C5" s="243"/>
      <c r="D5" s="333"/>
      <c r="E5" s="334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92"/>
    </row>
    <row customHeight="1" ht="15.75">
      <c r="A6" s="297"/>
      <c r="B6" s="80" t="s">
        <v>69</v>
      </c>
      <c r="C6" s="80"/>
      <c r="D6" s="335">
        <v>1180000</v>
      </c>
      <c r="E6" s="302">
        <f>E48</f>
        <v>16826</v>
      </c>
      <c r="F6" s="302">
        <f>F48</f>
        <v>117720</v>
      </c>
      <c r="G6" s="302">
        <f>G48</f>
        <v>9194</v>
      </c>
      <c r="H6" s="302">
        <f>H48</f>
        <v>62067</v>
      </c>
      <c r="I6" s="302">
        <f>I48</f>
        <v>13001</v>
      </c>
      <c r="J6" s="302">
        <f>J48</f>
        <v>94349</v>
      </c>
      <c r="K6" s="302"/>
      <c r="L6" s="302"/>
      <c r="M6" s="302">
        <f>SUM(E6,G6,I6,K6)</f>
        <v>39021</v>
      </c>
      <c r="N6" s="302">
        <f>SUM(F6,H6,J6,L6)</f>
        <v>274136</v>
      </c>
      <c r="O6" s="309">
        <f>_xlfn.IFERROR(N6/D6*100,"")</f>
        <v>23.2318644067797</v>
      </c>
      <c r="P6" s="392"/>
    </row>
    <row customHeight="1" ht="17.25">
      <c r="A7" s="297"/>
      <c r="B7" s="80" t="s">
        <v>70</v>
      </c>
      <c r="C7" s="80"/>
      <c r="D7" s="335">
        <v>486000</v>
      </c>
      <c r="E7" s="302">
        <f>E49</f>
        <v>8867</v>
      </c>
      <c r="F7" s="302">
        <f>F49</f>
        <v>62050</v>
      </c>
      <c r="G7" s="302">
        <f>G49</f>
        <v>3733</v>
      </c>
      <c r="H7" s="302">
        <f>H49</f>
        <v>26723</v>
      </c>
      <c r="I7" s="302">
        <f>I49</f>
        <v>4763</v>
      </c>
      <c r="J7" s="302">
        <f>J49</f>
        <v>30986</v>
      </c>
      <c r="K7" s="302"/>
      <c r="L7" s="302"/>
      <c r="M7" s="302">
        <f>SUM(E7,G7,I7,K7)</f>
        <v>17363</v>
      </c>
      <c r="N7" s="302">
        <f>SUM(F7,H7,J7,L7)</f>
        <v>119759</v>
      </c>
      <c r="O7" s="309">
        <f>_xlfn.IFERROR(N7/D7*100,"")</f>
        <v>24.6417695473251</v>
      </c>
      <c r="P7" s="392"/>
    </row>
    <row customHeight="1" ht="14.25">
      <c r="A8" s="297"/>
      <c r="B8" s="80" t="s">
        <v>21</v>
      </c>
      <c r="C8" s="80"/>
      <c r="D8" s="335">
        <v>486000</v>
      </c>
      <c r="E8" s="302">
        <f>E50</f>
        <v>8809</v>
      </c>
      <c r="F8" s="302">
        <f>F50</f>
        <v>61644</v>
      </c>
      <c r="G8" s="302">
        <f>G50</f>
        <v>3431</v>
      </c>
      <c r="H8" s="302">
        <f>H50</f>
        <v>24621</v>
      </c>
      <c r="I8" s="302">
        <f>I50</f>
        <v>4647</v>
      </c>
      <c r="J8" s="302">
        <f>J50</f>
        <v>30175</v>
      </c>
      <c r="K8" s="302"/>
      <c r="L8" s="302"/>
      <c r="M8" s="302">
        <f>SUM(E8,G8,I8,K8)</f>
        <v>16887</v>
      </c>
      <c r="N8" s="302">
        <f>SUM(F8,H8,J8,L8)</f>
        <v>116440</v>
      </c>
      <c r="O8" s="309">
        <f>_xlfn.IFERROR(N8/D8*100,"")</f>
        <v>23.9588477366255</v>
      </c>
      <c r="P8" s="392"/>
    </row>
    <row customHeight="1" ht="14.25">
      <c r="A9" s="297"/>
      <c r="B9" s="80" t="s">
        <v>71</v>
      </c>
      <c r="C9" s="80"/>
      <c r="D9" s="335">
        <f>D47</f>
        <v>223000</v>
      </c>
      <c r="E9" s="302"/>
      <c r="F9" s="302"/>
      <c r="G9" s="302">
        <f>G51</f>
        <v>617</v>
      </c>
      <c r="H9" s="302">
        <f>H51</f>
        <v>4266</v>
      </c>
      <c r="I9" s="302">
        <f>I51</f>
        <v>3340</v>
      </c>
      <c r="J9" s="302">
        <f>J51</f>
        <v>23339</v>
      </c>
      <c r="K9" s="302">
        <f>K48</f>
        <v>4280</v>
      </c>
      <c r="L9" s="302">
        <f>L48</f>
        <v>29955</v>
      </c>
      <c r="M9" s="302">
        <f>SUM(E9,G9,I9,K9)</f>
        <v>8237</v>
      </c>
      <c r="N9" s="302">
        <f>SUM(F9,H9,J9,L9)</f>
        <v>57560</v>
      </c>
      <c r="O9" s="309">
        <f>_xlfn.IFERROR(N9/D9*100,"")</f>
        <v>25.8116591928251</v>
      </c>
      <c r="P9" s="392"/>
    </row>
    <row customHeight="1" ht="14.25">
      <c r="A10" s="297"/>
      <c r="B10" s="80" t="s">
        <v>72</v>
      </c>
      <c r="C10" s="80"/>
      <c r="D10" s="335"/>
      <c r="E10" s="302"/>
      <c r="F10" s="302"/>
      <c r="G10" s="302"/>
      <c r="H10" s="302"/>
      <c r="I10" s="302">
        <f>I52</f>
        <v>0</v>
      </c>
      <c r="J10" s="302">
        <f>J52</f>
        <v>0</v>
      </c>
      <c r="K10" s="302">
        <f>K49</f>
        <v>2295</v>
      </c>
      <c r="L10" s="302">
        <f>L49</f>
        <v>16921</v>
      </c>
      <c r="M10" s="302">
        <f>SUM(E10,G10,I10,K10)</f>
        <v>2295</v>
      </c>
      <c r="N10" s="302">
        <f>SUM(F10,H10,J10,L10)</f>
        <v>16921</v>
      </c>
      <c r="O10" s="309" t="str">
        <f>_xlfn.IFERROR(N10/D10*100,"")</f>
        <v/>
      </c>
      <c r="P10" s="392"/>
    </row>
    <row customHeight="1" ht="14.25">
      <c r="A11" s="297"/>
      <c r="B11" s="80" t="s">
        <v>73</v>
      </c>
      <c r="C11" s="80"/>
      <c r="D11" s="335"/>
      <c r="E11" s="302">
        <f>E52</f>
        <v>949</v>
      </c>
      <c r="F11" s="302">
        <f>F52</f>
        <v>6156</v>
      </c>
      <c r="G11" s="302"/>
      <c r="H11" s="302"/>
      <c r="I11" s="302"/>
      <c r="J11" s="302"/>
      <c r="K11" s="302">
        <f>K50</f>
        <v>1757</v>
      </c>
      <c r="L11" s="302">
        <f>L50</f>
        <v>11752</v>
      </c>
      <c r="M11" s="302">
        <f>SUM(E11,G11,I11,K11)</f>
        <v>2706</v>
      </c>
      <c r="N11" s="302">
        <f>SUM(F11,H11,J11,L11)</f>
        <v>17908</v>
      </c>
      <c r="O11" s="309" t="str">
        <f>_xlfn.IFERROR(N11/D11*100,"")</f>
        <v/>
      </c>
      <c r="P11" s="392"/>
    </row>
    <row customHeight="1" ht="14.25">
      <c r="A12" s="297"/>
      <c r="B12" s="80" t="s">
        <v>74</v>
      </c>
      <c r="C12" s="80"/>
      <c r="D12" s="335">
        <v>83600</v>
      </c>
      <c r="E12" s="302">
        <f>E53</f>
        <v>946</v>
      </c>
      <c r="F12" s="302">
        <f>F53</f>
        <v>6135</v>
      </c>
      <c r="G12" s="302"/>
      <c r="H12" s="302"/>
      <c r="I12" s="302"/>
      <c r="J12" s="302"/>
      <c r="K12" s="302">
        <f>K51</f>
        <v>1730</v>
      </c>
      <c r="L12" s="302">
        <f>L51</f>
        <v>12354</v>
      </c>
      <c r="M12" s="302">
        <f>SUM(E12,G12,I12,K12)</f>
        <v>2676</v>
      </c>
      <c r="N12" s="302">
        <f>SUM(F12,H12,J12,L12)</f>
        <v>18489</v>
      </c>
      <c r="O12" s="309">
        <f>_xlfn.IFERROR(N12/D12*100,"")</f>
        <v>22.116028708134</v>
      </c>
      <c r="P12" s="392"/>
    </row>
    <row customHeight="1" ht="14.25">
      <c r="A13" s="297"/>
      <c r="B13" s="80" t="s">
        <v>75</v>
      </c>
      <c r="C13" s="80"/>
      <c r="D13" s="335"/>
      <c r="E13" s="302">
        <f>E54</f>
        <v>316</v>
      </c>
      <c r="F13" s="302">
        <f>F54</f>
        <v>2187</v>
      </c>
      <c r="G13" s="302"/>
      <c r="H13" s="302"/>
      <c r="I13" s="302"/>
      <c r="J13" s="302"/>
      <c r="K13" s="302">
        <f>K52</f>
        <v>627</v>
      </c>
      <c r="L13" s="302">
        <f>L52</f>
        <v>4401</v>
      </c>
      <c r="M13" s="302">
        <f>SUM(E13,G13,I13,K13)</f>
        <v>943</v>
      </c>
      <c r="N13" s="302">
        <f>SUM(F13,H13,J13,L13)</f>
        <v>6588</v>
      </c>
      <c r="O13" s="309" t="str">
        <f>_xlfn.IFERROR(N13/D13*100,"")</f>
        <v/>
      </c>
      <c r="P13" s="392"/>
    </row>
    <row customHeight="1" ht="14.25">
      <c r="A14" s="297"/>
      <c r="B14" s="80" t="s">
        <v>76</v>
      </c>
      <c r="C14" s="80"/>
      <c r="D14" s="335"/>
      <c r="E14" s="302">
        <f>E55</f>
        <v>582</v>
      </c>
      <c r="F14" s="302">
        <f>F55</f>
        <v>3756</v>
      </c>
      <c r="G14" s="302"/>
      <c r="H14" s="302"/>
      <c r="I14" s="302"/>
      <c r="J14" s="302"/>
      <c r="K14" s="302">
        <f>K53</f>
        <v>1043</v>
      </c>
      <c r="L14" s="302">
        <f>L53</f>
        <v>7442</v>
      </c>
      <c r="M14" s="302">
        <f>SUM(E14,G14,I14,K14)</f>
        <v>1625</v>
      </c>
      <c r="N14" s="302">
        <f>SUM(F14,H14,J14,L14)</f>
        <v>11198</v>
      </c>
      <c r="O14" s="309" t="str">
        <f>_xlfn.IFERROR(N14/D14*100,"")</f>
        <v/>
      </c>
      <c r="P14" s="392"/>
    </row>
    <row customHeight="1" ht="14.25">
      <c r="A15" s="297"/>
      <c r="B15" s="80" t="s">
        <v>77</v>
      </c>
      <c r="C15" s="80"/>
      <c r="D15" s="335"/>
      <c r="E15" s="302"/>
      <c r="F15" s="302"/>
      <c r="G15" s="302"/>
      <c r="H15" s="302"/>
      <c r="I15" s="302">
        <f>I54</f>
        <v>471</v>
      </c>
      <c r="J15" s="302">
        <f>J54</f>
        <v>3189</v>
      </c>
      <c r="K15" s="302">
        <f>K54</f>
        <v>559</v>
      </c>
      <c r="L15" s="302">
        <f>L54</f>
        <v>3976</v>
      </c>
      <c r="M15" s="302">
        <f>SUM(E15,G15,I15,K15)</f>
        <v>1030</v>
      </c>
      <c r="N15" s="302">
        <f>SUM(F15,H15,J15,L15)</f>
        <v>7165</v>
      </c>
      <c r="O15" s="309" t="str">
        <f>_xlfn.IFERROR(N15/D15*100,"")</f>
        <v/>
      </c>
      <c r="P15" s="392"/>
    </row>
    <row customHeight="1" ht="14.25">
      <c r="A16" s="297"/>
      <c r="B16" s="80" t="s">
        <v>78</v>
      </c>
      <c r="C16" s="80"/>
      <c r="D16" s="335"/>
      <c r="E16" s="302">
        <f>E57</f>
        <v>300</v>
      </c>
      <c r="F16" s="302">
        <f>F57</f>
        <v>2164</v>
      </c>
      <c r="G16" s="302"/>
      <c r="H16" s="302"/>
      <c r="I16" s="302"/>
      <c r="J16" s="302"/>
      <c r="K16" s="302"/>
      <c r="L16" s="302"/>
      <c r="M16" s="302">
        <f>SUM(E16,G16,I16,K16)</f>
        <v>300</v>
      </c>
      <c r="N16" s="302">
        <f>SUM(F16,H16,J16,L16)</f>
        <v>2164</v>
      </c>
      <c r="O16" s="309" t="str">
        <f>_xlfn.IFERROR(N16/D16*100,"")</f>
        <v/>
      </c>
      <c r="P16" s="408"/>
    </row>
    <row customHeight="1" ht="14.25">
      <c r="A17" s="297"/>
      <c r="B17" s="80" t="s">
        <v>79</v>
      </c>
      <c r="C17" s="80"/>
      <c r="D17" s="335"/>
      <c r="E17" s="302">
        <f>E58</f>
        <v>356</v>
      </c>
      <c r="F17" s="302">
        <f>F58</f>
        <v>2564</v>
      </c>
      <c r="G17" s="302"/>
      <c r="H17" s="302"/>
      <c r="I17" s="302"/>
      <c r="J17" s="302"/>
      <c r="K17" s="302"/>
      <c r="L17" s="302"/>
      <c r="M17" s="302">
        <f>SUM(E17,G17,I17,K17)</f>
        <v>356</v>
      </c>
      <c r="N17" s="302">
        <f>SUM(F17,H17,J17,L17)</f>
        <v>2564</v>
      </c>
      <c r="O17" s="309" t="str">
        <f>_xlfn.IFERROR(N17/D17*100,"")</f>
        <v/>
      </c>
      <c r="P17" s="408"/>
    </row>
    <row customHeight="1" ht="14.25">
      <c r="A18" s="297"/>
      <c r="B18" s="80" t="s">
        <v>80</v>
      </c>
      <c r="C18" s="80"/>
      <c r="D18" s="335"/>
      <c r="E18" s="302">
        <f>E59</f>
        <v>171</v>
      </c>
      <c r="F18" s="302">
        <f>F59</f>
        <v>1155</v>
      </c>
      <c r="G18" s="302"/>
      <c r="H18" s="302"/>
      <c r="I18" s="302"/>
      <c r="J18" s="302"/>
      <c r="K18" s="302"/>
      <c r="L18" s="302"/>
      <c r="M18" s="302">
        <f>SUM(E18,G18,I18,K18)</f>
        <v>171</v>
      </c>
      <c r="N18" s="302">
        <f>SUM(F18,H18,J18,L18)</f>
        <v>1155</v>
      </c>
      <c r="O18" s="309" t="str">
        <f>_xlfn.IFERROR(N18/D18*100,"")</f>
        <v/>
      </c>
      <c r="P18" s="392"/>
    </row>
    <row customHeight="1" ht="14.25">
      <c r="A19" s="297"/>
      <c r="B19" s="80" t="s">
        <v>81</v>
      </c>
      <c r="C19" s="80"/>
      <c r="D19" s="335"/>
      <c r="E19" s="302">
        <f>E60</f>
        <v>434</v>
      </c>
      <c r="F19" s="302">
        <f>F60</f>
        <v>2974</v>
      </c>
      <c r="G19" s="302"/>
      <c r="H19" s="302"/>
      <c r="I19" s="302"/>
      <c r="J19" s="302"/>
      <c r="K19" s="302"/>
      <c r="L19" s="302"/>
      <c r="M19" s="302">
        <f>SUM(E19,G19,I19,K19)</f>
        <v>434</v>
      </c>
      <c r="N19" s="302">
        <f>SUM(F19,H19,J19,L19)</f>
        <v>2974</v>
      </c>
      <c r="O19" s="309" t="str">
        <f>_xlfn.IFERROR(N19/D19*100,"")</f>
        <v/>
      </c>
      <c r="P19" s="392"/>
    </row>
    <row customHeight="1" ht="14.25">
      <c r="A20" s="297"/>
      <c r="B20" s="80" t="s">
        <v>33</v>
      </c>
      <c r="C20" s="80"/>
      <c r="D20" s="335"/>
      <c r="E20" s="302">
        <f>E61</f>
        <v>91</v>
      </c>
      <c r="F20" s="302">
        <f>F61</f>
        <v>611</v>
      </c>
      <c r="G20" s="302"/>
      <c r="H20" s="302"/>
      <c r="I20" s="302"/>
      <c r="J20" s="302"/>
      <c r="K20" s="302"/>
      <c r="L20" s="302"/>
      <c r="M20" s="302">
        <f>SUM(E20,G20,I20,K20)</f>
        <v>91</v>
      </c>
      <c r="N20" s="302">
        <f>SUM(F20,H20,J20,L20)</f>
        <v>611</v>
      </c>
      <c r="O20" s="309" t="str">
        <f>_xlfn.IFERROR(N20/D20*100,"")</f>
        <v/>
      </c>
      <c r="P20" s="392"/>
    </row>
    <row customHeight="1" ht="14.25">
      <c r="A21" s="297"/>
      <c r="B21" s="80" t="s">
        <v>82</v>
      </c>
      <c r="C21" s="80"/>
      <c r="D21" s="335">
        <v>228000</v>
      </c>
      <c r="E21" s="302"/>
      <c r="F21" s="302"/>
      <c r="G21" s="302">
        <f>G53</f>
        <v>1806</v>
      </c>
      <c r="H21" s="302">
        <f>H53</f>
        <v>12962</v>
      </c>
      <c r="I21" s="302">
        <f>I56</f>
        <v>2061</v>
      </c>
      <c r="J21" s="302">
        <f>J56</f>
        <v>14313</v>
      </c>
      <c r="K21" s="302">
        <f>K56</f>
        <v>4149</v>
      </c>
      <c r="L21" s="302">
        <f>L56</f>
        <v>29145</v>
      </c>
      <c r="M21" s="302">
        <f>SUM(E21,G21,I21,K21)</f>
        <v>8016</v>
      </c>
      <c r="N21" s="302">
        <f>SUM(F21,H21,J21,L21)</f>
        <v>56420</v>
      </c>
      <c r="O21" s="309">
        <f>_xlfn.IFERROR(N21/D21*100,"")</f>
        <v>24.7456140350877</v>
      </c>
      <c r="P21" s="392"/>
    </row>
    <row customHeight="1" ht="14.25">
      <c r="A22" s="297"/>
      <c r="B22" s="80" t="s">
        <v>83</v>
      </c>
      <c r="C22" s="80"/>
      <c r="D22" s="335">
        <v>446000</v>
      </c>
      <c r="E22" s="302"/>
      <c r="F22" s="302"/>
      <c r="G22" s="302">
        <f>G54</f>
        <v>2830</v>
      </c>
      <c r="H22" s="302">
        <f>H54</f>
        <v>23859</v>
      </c>
      <c r="I22" s="302">
        <f>I57</f>
        <v>4425</v>
      </c>
      <c r="J22" s="302">
        <f>J57</f>
        <v>33634</v>
      </c>
      <c r="K22" s="302">
        <f>K57</f>
        <v>4881</v>
      </c>
      <c r="L22" s="302">
        <f>L57</f>
        <v>34345</v>
      </c>
      <c r="M22" s="302">
        <f>SUM(E22,G22,I22,K22)</f>
        <v>12136</v>
      </c>
      <c r="N22" s="302">
        <f>SUM(F22,H22,J22,L22)</f>
        <v>91838</v>
      </c>
      <c r="O22" s="309">
        <f>_xlfn.IFERROR(N22/D22*100,"")</f>
        <v>20.5914798206278</v>
      </c>
      <c r="P22" s="392"/>
    </row>
    <row customHeight="1" ht="14.25">
      <c r="A23" s="297"/>
      <c r="B23" s="242" t="s">
        <v>36</v>
      </c>
      <c r="C23" s="242"/>
      <c r="D23" s="244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350"/>
      <c r="P23" s="392"/>
    </row>
    <row customHeight="1" ht="14.25">
      <c r="A24" s="297"/>
      <c r="B24" s="80" t="s">
        <v>84</v>
      </c>
      <c r="C24" s="80"/>
      <c r="D24" s="309">
        <v>48.45423728813559</v>
      </c>
      <c r="E24" s="309">
        <f>E63</f>
        <v>48.3002496136931</v>
      </c>
      <c r="F24" s="309">
        <f>F63</f>
        <v>48.5474006116208</v>
      </c>
      <c r="G24" s="309">
        <f>G56</f>
        <v>49.0428540352404</v>
      </c>
      <c r="H24" s="309">
        <f>H56</f>
        <v>49.1211110574057</v>
      </c>
      <c r="I24" s="309">
        <f>I59</f>
        <v>51.8652411352973</v>
      </c>
      <c r="J24" s="309">
        <f>J59</f>
        <v>52.8378679159291</v>
      </c>
      <c r="K24" s="102"/>
      <c r="L24" s="102"/>
      <c r="M24" s="102">
        <f>_xlfn.IFERROR((E24*E6+G24*G6+I24*I6+K24*K6)/(E6+G6+I6+K6),"")</f>
        <v>49.6630019732964</v>
      </c>
      <c r="N24" s="102">
        <f>_xlfn.IFERROR((F24*F6+H24*H6+J24*J6+L24*L6)/(F6+H6+J6+L6),"")</f>
        <v>50.1539381912627</v>
      </c>
      <c r="O24" s="309"/>
      <c r="P24" s="392"/>
    </row>
    <row customHeight="1" ht="14.25">
      <c r="A25" s="297"/>
      <c r="B25" s="80" t="s">
        <v>85</v>
      </c>
      <c r="C25" s="80"/>
      <c r="D25" s="309">
        <v>69.22407407407407</v>
      </c>
      <c r="E25" s="309">
        <f>E64</f>
        <v>71.7717379045901</v>
      </c>
      <c r="F25" s="309">
        <f>F64</f>
        <v>71.4520547945205</v>
      </c>
      <c r="G25" s="309">
        <f>G57</f>
        <v>70.5598714170908</v>
      </c>
      <c r="H25" s="309">
        <f>H57</f>
        <v>71.197096134416</v>
      </c>
      <c r="I25" s="309">
        <f>I60</f>
        <v>69.8509342851144</v>
      </c>
      <c r="J25" s="309">
        <f>J60</f>
        <v>70.180081327051</v>
      </c>
      <c r="K25" s="102"/>
      <c r="L25" s="102"/>
      <c r="M25" s="102">
        <f>_xlfn.IFERROR((E25*E7+G25*G7+I25*I7+K25*K7)/(E7+G7+I7+K7),"")</f>
        <v>70.9842769106721</v>
      </c>
      <c r="N25" s="102">
        <f>_xlfn.IFERROR((F25*F7+H25*H7+J25*J7+L25*L7)/(F7+H7+J7+L7),"")</f>
        <v>71.0660576658122</v>
      </c>
      <c r="O25" s="309"/>
      <c r="P25" s="392"/>
    </row>
    <row customHeight="1" ht="14.25">
      <c r="A26" s="297"/>
      <c r="B26" s="80" t="s">
        <v>39</v>
      </c>
      <c r="C26" s="80"/>
      <c r="D26" s="309">
        <v>17.100617283950616</v>
      </c>
      <c r="E26" s="309">
        <f>E65</f>
        <v>16.1948798917334</v>
      </c>
      <c r="F26" s="309">
        <f>F65</f>
        <v>16.4464141821112</v>
      </c>
      <c r="G26" s="309">
        <f>G58</f>
        <v>16.6622019823198</v>
      </c>
      <c r="H26" s="309">
        <f>H58</f>
        <v>16.023650039292</v>
      </c>
      <c r="I26" s="309">
        <f>I61</f>
        <v>15.0745328574428</v>
      </c>
      <c r="J26" s="309">
        <f>J61</f>
        <v>14.7550506680436</v>
      </c>
      <c r="K26" s="102"/>
      <c r="L26" s="102"/>
      <c r="M26" s="102">
        <f>_xlfn.IFERROR((E26*E8+G26*G8+I26*I8+K26*K8)/(E8+G8+I8+K8),"")</f>
        <v>15.9815281670016</v>
      </c>
      <c r="N26" s="102">
        <f>_xlfn.IFERROR((F26*F8+H26*H8+J26*J8+L26*L8)/(F8+H8+J8+L8),"")</f>
        <v>15.9187109014744</v>
      </c>
      <c r="O26" s="309"/>
      <c r="P26" s="392"/>
    </row>
    <row customHeight="1" ht="14.25">
      <c r="A27" s="297"/>
      <c r="B27" s="80" t="s">
        <v>86</v>
      </c>
      <c r="C27" s="80"/>
      <c r="D27" s="309">
        <v>92.45605381165919</v>
      </c>
      <c r="E27" s="309"/>
      <c r="F27" s="309"/>
      <c r="G27" s="309">
        <f>G59</f>
        <v>93.354943273906</v>
      </c>
      <c r="H27" s="309">
        <f>H59</f>
        <v>93.4599156118144</v>
      </c>
      <c r="I27" s="309">
        <f>I62</f>
        <v>93.0239520958084</v>
      </c>
      <c r="J27" s="309">
        <f>J62</f>
        <v>93.2087921504777</v>
      </c>
      <c r="K27" s="102">
        <f>K59</f>
        <v>93.3644859813084</v>
      </c>
      <c r="L27" s="102">
        <f>L59</f>
        <v>93.2164914037723</v>
      </c>
      <c r="M27" s="102">
        <f>_xlfn.IFERROR((E27*E9+G27*G9+I27*I9+K27*K9)/(E9+G9+I9+K9),"")</f>
        <v>93.2256889644288</v>
      </c>
      <c r="N27" s="102">
        <f>_xlfn.IFERROR((F27*F9+H27*H9+J27*J9+L27*L9)/(F9+H9+J9+L9),"")</f>
        <v>93.2314107018763</v>
      </c>
      <c r="O27" s="309"/>
      <c r="P27" s="392"/>
    </row>
    <row customHeight="1" ht="14.25">
      <c r="A28" s="297"/>
      <c r="B28" s="80" t="s">
        <v>87</v>
      </c>
      <c r="C28" s="80"/>
      <c r="D28" s="309"/>
      <c r="E28" s="309"/>
      <c r="F28" s="309"/>
      <c r="G28" s="414"/>
      <c r="H28" s="414"/>
      <c r="I28" s="309">
        <f>I64</f>
        <v>0</v>
      </c>
      <c r="J28" s="309">
        <f>J64</f>
        <v>0</v>
      </c>
      <c r="K28" s="102">
        <f>K60</f>
        <v>99.7385620915033</v>
      </c>
      <c r="L28" s="102">
        <f>L60</f>
        <v>99.7281484545831</v>
      </c>
      <c r="M28" s="102">
        <f>_xlfn.IFERROR((E28*E10+G28*G10+K28*K10)/(E10+G10+K10),"")</f>
        <v>99.7385620915033</v>
      </c>
      <c r="N28" s="102">
        <f>_xlfn.IFERROR((F28*F10+H28*H10+L28*L10)/(F10+H10+L10),"")</f>
        <v>99.7281484545831</v>
      </c>
      <c r="O28" s="309"/>
      <c r="P28" s="392"/>
    </row>
    <row customHeight="1" ht="14.25">
      <c r="A29" s="297"/>
      <c r="B29" s="80" t="s">
        <v>88</v>
      </c>
      <c r="C29" s="80"/>
      <c r="D29" s="309"/>
      <c r="E29" s="309">
        <f>E67</f>
        <v>99.6828752642706</v>
      </c>
      <c r="F29" s="309">
        <f>F67</f>
        <v>99.6577017114914</v>
      </c>
      <c r="G29" s="414"/>
      <c r="H29" s="414"/>
      <c r="I29" s="309"/>
      <c r="J29" s="309"/>
      <c r="K29" s="102">
        <f>K61</f>
        <v>97.8034682080925</v>
      </c>
      <c r="L29" s="102">
        <f>L61</f>
        <v>97.9520802978792</v>
      </c>
      <c r="M29" s="102">
        <f>_xlfn.IFERROR((E29*E12+G29*G12+I29*I12+K29*K12)/(E12+G12+I12+K12),"")</f>
        <v>98.4678624813154</v>
      </c>
      <c r="N29" s="102">
        <f>_xlfn.IFERROR((F29*F12+H29*H12+J29*J12+L29*L12)/(F12+H12+J12+L12),"")</f>
        <v>98.518037752177</v>
      </c>
      <c r="O29" s="309"/>
      <c r="P29" s="392"/>
    </row>
    <row customHeight="1" ht="14.25">
      <c r="A30" s="297"/>
      <c r="B30" s="80" t="s">
        <v>89</v>
      </c>
      <c r="C30" s="80"/>
      <c r="D30" s="309">
        <v>25.55792514636056</v>
      </c>
      <c r="E30" s="309">
        <f>E68</f>
        <v>25.1585623678647</v>
      </c>
      <c r="F30" s="309">
        <f>F68</f>
        <v>27.6283618581907</v>
      </c>
      <c r="G30" s="414"/>
      <c r="H30" s="414"/>
      <c r="I30" s="309"/>
      <c r="J30" s="309"/>
      <c r="K30" s="102">
        <f>K62</f>
        <v>26.878612716763</v>
      </c>
      <c r="L30" s="102">
        <f>L62</f>
        <v>26.7443742917274</v>
      </c>
      <c r="M30" s="102">
        <f>_xlfn.IFERROR((E30*E12+G30*G12+I30*I12+K30*K12)/(E12+G12+I12+K12),"")</f>
        <v>26.270553064275</v>
      </c>
      <c r="N30" s="102">
        <f>_xlfn.IFERROR((F30*F12+H30*H12+J30*J12+L30*L12)/(F12+H12+J12+L12),"")</f>
        <v>27.0376980907567</v>
      </c>
      <c r="O30" s="309"/>
      <c r="P30" s="392"/>
    </row>
    <row customHeight="1" ht="14.25">
      <c r="A31" s="297"/>
      <c r="B31" s="80" t="s">
        <v>90</v>
      </c>
      <c r="C31" s="80"/>
      <c r="D31" s="309"/>
      <c r="E31" s="309">
        <f>E69</f>
        <v>96.5189873417722</v>
      </c>
      <c r="F31" s="309">
        <f>F69</f>
        <v>96.0219478737997</v>
      </c>
      <c r="G31" s="309"/>
      <c r="H31" s="309"/>
      <c r="I31" s="309"/>
      <c r="J31" s="309"/>
      <c r="K31" s="102">
        <f>K63</f>
        <v>97.2185007974482</v>
      </c>
      <c r="L31" s="102">
        <f>L63</f>
        <v>97.0020449897751</v>
      </c>
      <c r="M31" s="102">
        <f>_xlfn.IFERROR((E31*E13+G31*G13+I31*I13+K31*K13)/(E13+G13+I13+K13),"")</f>
        <v>96.9840933191941</v>
      </c>
      <c r="N31" s="102">
        <f>_xlfn.IFERROR((F31*F13+H31*H13+J31*J13+L31*L13)/(F13+H13+J13+L13),"")</f>
        <v>96.6766848816029</v>
      </c>
      <c r="O31" s="309"/>
      <c r="P31" s="392"/>
    </row>
    <row customHeight="1" ht="14.25">
      <c r="A32" s="297"/>
      <c r="B32" s="80" t="s">
        <v>91</v>
      </c>
      <c r="C32" s="80"/>
      <c r="D32" s="309"/>
      <c r="E32" s="309">
        <f>E70</f>
        <v>18.5567010309278</v>
      </c>
      <c r="F32" s="309">
        <f>F70</f>
        <v>18.3173588924388</v>
      </c>
      <c r="G32" s="309"/>
      <c r="H32" s="309"/>
      <c r="I32" s="309"/>
      <c r="J32" s="309"/>
      <c r="K32" s="102">
        <f>K64</f>
        <v>15.7238734419942</v>
      </c>
      <c r="L32" s="102">
        <f>L64</f>
        <v>15.6678312281645</v>
      </c>
      <c r="M32" s="102">
        <f>_xlfn.IFERROR((E32*E14+G32*G14+I32*I14+K32*K14)/(E14+G14+I14+K14),"")</f>
        <v>16.7384615384615</v>
      </c>
      <c r="N32" s="102">
        <f>_xlfn.IFERROR((F32*F14+H32*H14+J32*J14+L32*L14)/(F14+H14+J14+L14),"")</f>
        <v>16.5565279514199</v>
      </c>
      <c r="O32" s="309"/>
      <c r="P32" s="392"/>
    </row>
    <row customHeight="1" ht="14.25">
      <c r="A33" s="297"/>
      <c r="B33" s="80" t="s">
        <v>92</v>
      </c>
      <c r="C33" s="80"/>
      <c r="D33" s="309"/>
      <c r="E33" s="309">
        <f>E71</f>
        <v>99.3</v>
      </c>
      <c r="F33" s="309">
        <f>F71</f>
        <v>99.07</v>
      </c>
      <c r="G33" s="414"/>
      <c r="H33" s="414"/>
      <c r="I33" s="309"/>
      <c r="J33" s="309"/>
      <c r="K33" s="102">
        <f>K85</f>
        <v>99.7698485762357</v>
      </c>
      <c r="L33" s="102">
        <f>L85</f>
        <v>99.8022177823399</v>
      </c>
      <c r="M33" s="102">
        <f>_xlfn.IFERROR((E33*E14+G33*G14+I33*I14+K33*K14)/(E14+G14+I14+K14),"")</f>
        <v>99.6015705015471</v>
      </c>
      <c r="N33" s="102">
        <f>_xlfn.IFERROR((F33*F14+H33*H14+J33*J14+L33*L14)/(F14+H14+J14+L14),"")</f>
        <v>99.5566194620623</v>
      </c>
      <c r="O33" s="309"/>
      <c r="P33" s="392"/>
    </row>
    <row customHeight="1" ht="14.25">
      <c r="A34" s="297"/>
      <c r="B34" s="80" t="s">
        <v>93</v>
      </c>
      <c r="C34" s="80"/>
      <c r="D34" s="309"/>
      <c r="E34" s="309"/>
      <c r="F34" s="309"/>
      <c r="G34" s="309"/>
      <c r="H34" s="309"/>
      <c r="I34" s="309">
        <f>I65</f>
        <v>95.3290870488323</v>
      </c>
      <c r="J34" s="309">
        <f>J65</f>
        <v>94.0420194418313</v>
      </c>
      <c r="K34" s="102">
        <f>K66</f>
        <v>99.4633273703041</v>
      </c>
      <c r="L34" s="102">
        <f>L66</f>
        <v>99.4718309859155</v>
      </c>
      <c r="M34" s="102">
        <f>_xlfn.IFERROR((E34*E15+G34*G15+I34*I15+K34*K15)/(E15+G15+I15+K15),"")</f>
        <v>97.5728155339806</v>
      </c>
      <c r="N34" s="102">
        <f>_xlfn.IFERROR((F34*F15+H34*H15+J34*J15+L34*L15)/(F15+H15+J15+L15),"")</f>
        <v>97.0551290997906</v>
      </c>
      <c r="O34" s="309"/>
      <c r="P34" s="392"/>
    </row>
    <row customHeight="1" ht="14.25">
      <c r="A35" s="297"/>
      <c r="B35" s="80" t="s">
        <v>94</v>
      </c>
      <c r="C35" s="80"/>
      <c r="D35" s="309"/>
      <c r="E35" s="309">
        <f>E73</f>
        <v>43.5393258426966</v>
      </c>
      <c r="F35" s="309">
        <f>F73</f>
        <v>43.8767550702028</v>
      </c>
      <c r="G35" s="309"/>
      <c r="H35" s="309"/>
      <c r="I35" s="309"/>
      <c r="J35" s="309"/>
      <c r="K35" s="102"/>
      <c r="L35" s="102"/>
      <c r="M35" s="102">
        <f>_xlfn.IFERROR((E35*E17+G35*G17+I35*I17+K35*K17)/(E17+G17+I17+K17),"")</f>
        <v>43.5393258426966</v>
      </c>
      <c r="N35" s="102">
        <f>_xlfn.IFERROR((F35*F17+H35*H17+J35*J17+L35*L17)/(F17+H17+J17+L17),"")</f>
        <v>43.8767550702028</v>
      </c>
      <c r="O35" s="309"/>
      <c r="P35" s="392"/>
    </row>
    <row customHeight="1" ht="14.25">
      <c r="A36" s="297"/>
      <c r="B36" s="80" t="s">
        <v>95</v>
      </c>
      <c r="C36" s="80"/>
      <c r="D36" s="309"/>
      <c r="E36" s="309">
        <f>E74</f>
        <v>94.9685534591195</v>
      </c>
      <c r="F36" s="309">
        <f>F74</f>
        <v>94.6302816901408</v>
      </c>
      <c r="G36" s="309"/>
      <c r="H36" s="309"/>
      <c r="I36" s="309"/>
      <c r="J36" s="309"/>
      <c r="K36" s="102"/>
      <c r="L36" s="102"/>
      <c r="M36" s="102">
        <f>_xlfn.IFERROR((E36*E18+G36*G18+I36*I18+K36*K18)/(E18+G18+I18+K18),"")</f>
        <v>94.9685534591193</v>
      </c>
      <c r="N36" s="102">
        <f>_xlfn.IFERROR((F36*F18+H36*H18+J36*J18+L36*L18)/(F18+H18+J18+L18),"")</f>
        <v>94.6302816901411</v>
      </c>
      <c r="O36" s="309"/>
      <c r="P36" s="392"/>
    </row>
    <row customHeight="1" ht="14.25">
      <c r="A37" s="297"/>
      <c r="B37" s="80" t="s">
        <v>96</v>
      </c>
      <c r="C37" s="80"/>
      <c r="D37" s="309">
        <v>43.5</v>
      </c>
      <c r="E37" s="309">
        <f>E75</f>
        <v>38.9400921658986</v>
      </c>
      <c r="F37" s="309">
        <f>F75</f>
        <v>37.9287155346335</v>
      </c>
      <c r="G37" s="309"/>
      <c r="H37" s="309"/>
      <c r="I37" s="309"/>
      <c r="J37" s="309"/>
      <c r="K37" s="102"/>
      <c r="L37" s="102"/>
      <c r="M37" s="102">
        <f>E37</f>
        <v>38.9400921658986</v>
      </c>
      <c r="N37" s="102">
        <f>F37</f>
        <v>37.9287155346335</v>
      </c>
      <c r="O37" s="309"/>
      <c r="P37" s="392"/>
    </row>
    <row customHeight="1" ht="14.25">
      <c r="A38" s="297"/>
      <c r="B38" s="80" t="s">
        <v>97</v>
      </c>
      <c r="C38" s="80"/>
      <c r="D38" s="309">
        <v>98.24342105263158</v>
      </c>
      <c r="E38" s="309"/>
      <c r="F38" s="309"/>
      <c r="G38" s="309">
        <f>G60</f>
        <v>98.8925802879291</v>
      </c>
      <c r="H38" s="309">
        <f>H60</f>
        <v>98.889060330196</v>
      </c>
      <c r="I38" s="309">
        <f>I67</f>
        <v>99.2236778262979</v>
      </c>
      <c r="J38" s="309">
        <f>J67</f>
        <v>99.22448124083</v>
      </c>
      <c r="K38" s="102">
        <f>K68</f>
        <v>98.9636056881176</v>
      </c>
      <c r="L38" s="102">
        <f>L68</f>
        <v>99.0084062446389</v>
      </c>
      <c r="M38" s="102">
        <f>_xlfn.IFERROR((E38*E21+G38*G21+I38*I21+K38*K21)/(E21+G21+I21+K21),"")</f>
        <v>99.0144710578842</v>
      </c>
      <c r="N38" s="102">
        <f>_xlfn.IFERROR((F38*F21+H38*H21+J38*J21+L38*L21)/(F21+H21+J21+L21),"")</f>
        <v>99.0358029067707</v>
      </c>
      <c r="O38" s="309"/>
      <c r="P38" s="392"/>
    </row>
    <row customHeight="1" ht="14.25">
      <c r="A39" s="297"/>
      <c r="B39" s="80" t="s">
        <v>98</v>
      </c>
      <c r="C39" s="80"/>
      <c r="D39" s="309">
        <v>98.58789237668161</v>
      </c>
      <c r="E39" s="309"/>
      <c r="F39" s="309"/>
      <c r="G39" s="309">
        <f>G61</f>
        <v>99.0812720848056</v>
      </c>
      <c r="H39" s="309">
        <f>H61</f>
        <v>99.2078460958129</v>
      </c>
      <c r="I39" s="309">
        <f>I68</f>
        <v>99.0282485875707</v>
      </c>
      <c r="J39" s="309">
        <f>J68</f>
        <v>99.1675090682049</v>
      </c>
      <c r="K39" s="102">
        <f>K69</f>
        <v>99.3034214300348</v>
      </c>
      <c r="L39" s="102">
        <f>L69</f>
        <v>99.1439802009026</v>
      </c>
      <c r="M39" s="102">
        <f>_xlfn.IFERROR((E39*E22+G39*G22+I39*I22+K39*K22)/(E22+G22+I22+K22),"")</f>
        <v>99.1512854317732</v>
      </c>
      <c r="N39" s="102">
        <f>_xlfn.IFERROR((F39*F22+H39*H22+J39*J22+L39*L22)/(F22+H22+J22+L22),"")</f>
        <v>99.169189224504</v>
      </c>
      <c r="O39" s="309"/>
      <c r="P39" s="392"/>
    </row>
    <row customHeight="1" ht="15">
      <c r="A40" s="297"/>
      <c r="B40" s="80" t="s">
        <v>99</v>
      </c>
      <c r="C40" s="80"/>
      <c r="D40" s="381"/>
      <c r="E40" s="309">
        <f>E77</f>
        <v>94.6570783311542</v>
      </c>
      <c r="F40" s="309">
        <f>F77</f>
        <v>94.8785253143051</v>
      </c>
      <c r="G40" s="309">
        <f>G64</f>
        <v>81.1942571242114</v>
      </c>
      <c r="H40" s="309">
        <f>H64</f>
        <v>83.3325277522677</v>
      </c>
      <c r="I40" s="309">
        <f>I69</f>
        <v>77.1556034151219</v>
      </c>
      <c r="J40" s="309">
        <f>J69</f>
        <v>75.8222806089519</v>
      </c>
      <c r="K40" s="102"/>
      <c r="L40" s="102"/>
      <c r="M40" s="102">
        <f>_xlfn.IFERROR((E40*E6+G40*G6+I40*I6)/(E6+G6+I6),"")</f>
        <v>85.6538786807104</v>
      </c>
      <c r="N40" s="102">
        <f>_xlfn.IFERROR((F40*F6+H40*H6+J40*J6)/(F6+H6+J6),"")</f>
        <v>85.7058407256763</v>
      </c>
      <c r="O40" s="309"/>
      <c r="P40" s="392"/>
    </row>
    <row customHeight="1" ht="15">
      <c r="A41" s="297"/>
      <c r="B41" s="242" t="s">
        <v>54</v>
      </c>
      <c r="C41" s="242"/>
      <c r="D41" s="338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92"/>
    </row>
    <row customHeight="1" ht="14.25">
      <c r="A42" s="297"/>
      <c r="B42" s="80" t="s">
        <v>100</v>
      </c>
      <c r="C42" s="80"/>
      <c r="D42" s="340"/>
      <c r="E42" s="87">
        <f>E79</f>
        <v>0</v>
      </c>
      <c r="F42" s="87">
        <f>F79</f>
        <v>0</v>
      </c>
      <c r="G42" s="84">
        <f>SUM(G66:G69)</f>
        <v>1475.72</v>
      </c>
      <c r="H42" s="84">
        <f>SUM(H66:H69)</f>
        <v>8741.1</v>
      </c>
      <c r="I42" s="84"/>
      <c r="J42" s="87"/>
      <c r="K42" s="87"/>
      <c r="L42" s="87"/>
      <c r="M42" s="324">
        <f>SUM(E42,G42,I42,K42)</f>
        <v>1475.72</v>
      </c>
      <c r="N42" s="324">
        <f>SUM(F42,H42,J42,L42)</f>
        <v>8741.1</v>
      </c>
      <c r="O42" s="351"/>
      <c r="P42" s="392"/>
    </row>
    <row customHeight="1" ht="14.25">
      <c r="A43" s="297"/>
      <c r="B43" s="341" t="s">
        <v>101</v>
      </c>
      <c r="C43" s="342"/>
      <c r="D43" s="206"/>
      <c r="E43" s="87">
        <f>E80</f>
        <v>0</v>
      </c>
      <c r="F43" s="87">
        <f>F80</f>
        <v>0</v>
      </c>
      <c r="G43" s="343"/>
      <c r="H43" s="343"/>
      <c r="I43" s="84">
        <f>SUM(I71:I73)</f>
        <v>0</v>
      </c>
      <c r="J43" s="84">
        <f>SUM(J71:J73)</f>
        <v>0</v>
      </c>
      <c r="K43" s="352"/>
      <c r="L43" s="352"/>
      <c r="M43" s="324">
        <f>SUM(E43,G43,I43,K43)</f>
        <v>0</v>
      </c>
      <c r="N43" s="324">
        <f>SUM(F43,H43,J43,L43)</f>
        <v>0</v>
      </c>
      <c r="O43" s="351"/>
      <c r="P43" s="392"/>
    </row>
    <row customHeight="1" ht="14.25">
      <c r="A44" s="297"/>
      <c r="B44" s="344" t="s">
        <v>102</v>
      </c>
      <c r="C44" s="344"/>
      <c r="D44" s="345"/>
      <c r="E44" s="87">
        <f>E81</f>
        <v>2963</v>
      </c>
      <c r="F44" s="87">
        <f>F81</f>
        <v>19355</v>
      </c>
      <c r="G44" s="84">
        <f>SUM(G70:G72)</f>
        <v>763.58</v>
      </c>
      <c r="H44" s="84">
        <f>SUM(H70:H72)</f>
        <v>3925.46</v>
      </c>
      <c r="I44" s="87">
        <f>I75</f>
        <v>352.74</v>
      </c>
      <c r="J44" s="87">
        <f>J75</f>
        <v>1369.42</v>
      </c>
      <c r="K44" s="326"/>
      <c r="L44" s="326"/>
      <c r="M44" s="324">
        <f>SUM(E44,G44,I44,K44)</f>
        <v>4079.32</v>
      </c>
      <c r="N44" s="324">
        <f>SUM(F44,H44,J44,L44)</f>
        <v>24649.88</v>
      </c>
      <c r="O44" s="353"/>
      <c r="P44" s="392"/>
    </row>
    <row customHeight="1" ht="14.25">
      <c r="A45" s="297"/>
      <c r="B45" s="346" t="s">
        <v>103</v>
      </c>
      <c r="C45" s="346"/>
      <c r="D45" s="80"/>
      <c r="E45" s="87">
        <f>E82</f>
        <v>0</v>
      </c>
      <c r="F45" s="87">
        <f>F82</f>
        <v>0</v>
      </c>
      <c r="G45" s="84"/>
      <c r="H45" s="84"/>
      <c r="I45" s="84">
        <f>SUM(I77:I79)</f>
        <v>0</v>
      </c>
      <c r="J45" s="84">
        <f>SUM(J77:J79)</f>
        <v>0</v>
      </c>
      <c r="K45" s="84">
        <f>SUM(K71:K73)</f>
        <v>3630.36</v>
      </c>
      <c r="L45" s="84">
        <f>SUM(L71:L73)</f>
        <v>24452.44</v>
      </c>
      <c r="M45" s="324">
        <f>SUM(E45,G45,I45,K45)</f>
        <v>3630.36</v>
      </c>
      <c r="N45" s="324">
        <f>SUM(F45,H45,J45,L45)</f>
        <v>24452.44</v>
      </c>
      <c r="O45" s="84"/>
      <c r="P45" s="392"/>
    </row>
    <row customHeight="1" ht="13.5">
      <c r="A46" s="297"/>
      <c r="B46" s="90" t="s">
        <v>59</v>
      </c>
      <c r="C46" s="90" t="s">
        <v>104</v>
      </c>
      <c r="D46" s="90"/>
      <c r="E46" s="90" t="s">
        <v>61</v>
      </c>
      <c r="F46" s="90"/>
      <c r="G46" s="90"/>
      <c r="H46" s="90"/>
      <c r="I46" s="238"/>
      <c r="J46" s="90"/>
      <c r="K46" s="90"/>
      <c r="L46" s="90"/>
      <c r="M46" s="90"/>
      <c r="N46" s="90"/>
      <c r="O46" s="354"/>
      <c r="P46" s="392"/>
    </row>
    <row customHeight="1" ht="13.5">
      <c r="A47" s="297"/>
      <c r="B47" s="220"/>
      <c r="C47" s="220"/>
      <c r="D47" s="433">
        <v>223000</v>
      </c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392"/>
    </row>
    <row customHeight="1" ht="13.5">
      <c r="A48" s="297"/>
      <c r="B48" s="220"/>
      <c r="C48" s="220"/>
      <c r="D48" s="433"/>
      <c r="E48" s="220">
        <v>16826</v>
      </c>
      <c r="F48" s="220">
        <v>117720</v>
      </c>
      <c r="G48" s="220">
        <v>9194</v>
      </c>
      <c r="H48" s="220">
        <v>62067</v>
      </c>
      <c r="I48" s="220">
        <v>13001</v>
      </c>
      <c r="J48" s="220">
        <v>94349</v>
      </c>
      <c r="K48" s="220">
        <v>4280</v>
      </c>
      <c r="L48" s="220">
        <v>29955</v>
      </c>
      <c r="M48" s="220"/>
      <c r="N48" s="220"/>
      <c r="O48" s="220"/>
      <c r="P48" s="392"/>
    </row>
    <row customHeight="1" ht="13.5">
      <c r="A49" s="297"/>
      <c r="B49" s="220"/>
      <c r="C49" s="220"/>
      <c r="D49" s="433"/>
      <c r="E49" s="220">
        <v>8867</v>
      </c>
      <c r="F49" s="220">
        <v>62050</v>
      </c>
      <c r="G49" s="220">
        <v>3733</v>
      </c>
      <c r="H49" s="220">
        <v>26723</v>
      </c>
      <c r="I49" s="220">
        <v>4763</v>
      </c>
      <c r="J49" s="220">
        <v>30986</v>
      </c>
      <c r="K49" s="220">
        <v>2295</v>
      </c>
      <c r="L49" s="220">
        <v>16921</v>
      </c>
      <c r="M49" s="220"/>
      <c r="N49" s="220"/>
      <c r="O49" s="220"/>
      <c r="P49" s="392"/>
    </row>
    <row customHeight="1" ht="13.5">
      <c r="A50" s="297"/>
      <c r="B50" s="220"/>
      <c r="C50" s="220"/>
      <c r="D50" s="220"/>
      <c r="E50" s="220">
        <v>8809</v>
      </c>
      <c r="F50" s="220">
        <v>61644</v>
      </c>
      <c r="G50" s="220">
        <v>3431</v>
      </c>
      <c r="H50" s="220">
        <v>24621</v>
      </c>
      <c r="I50" s="220">
        <v>4647</v>
      </c>
      <c r="J50" s="220">
        <v>30175</v>
      </c>
      <c r="K50" s="220">
        <v>1757</v>
      </c>
      <c r="L50" s="220">
        <v>11752</v>
      </c>
      <c r="M50" s="220"/>
      <c r="N50" s="220"/>
      <c r="O50" s="220"/>
      <c r="P50" s="392"/>
    </row>
    <row customHeight="1" ht="13.5">
      <c r="A51" s="297"/>
      <c r="B51" s="220"/>
      <c r="C51" s="220"/>
      <c r="D51" s="220"/>
      <c r="E51" s="220"/>
      <c r="F51" s="220"/>
      <c r="G51" s="220">
        <v>617</v>
      </c>
      <c r="H51" s="220">
        <v>4266</v>
      </c>
      <c r="I51" s="220">
        <v>3340</v>
      </c>
      <c r="J51" s="220">
        <v>23339</v>
      </c>
      <c r="K51" s="220">
        <v>1730</v>
      </c>
      <c r="L51" s="220">
        <v>12354</v>
      </c>
      <c r="M51" s="220"/>
      <c r="N51" s="220"/>
      <c r="O51" s="220"/>
      <c r="P51" s="392"/>
    </row>
    <row customHeight="1" ht="13.5">
      <c r="A52" s="297"/>
      <c r="B52" s="220"/>
      <c r="C52" s="220"/>
      <c r="D52" s="220"/>
      <c r="E52" s="220">
        <v>949</v>
      </c>
      <c r="F52" s="220">
        <v>6156</v>
      </c>
      <c r="G52" s="220"/>
      <c r="H52" s="220"/>
      <c r="I52" s="220">
        <v>0</v>
      </c>
      <c r="J52" s="220">
        <v>0</v>
      </c>
      <c r="K52" s="220">
        <v>627</v>
      </c>
      <c r="L52" s="220">
        <v>4401</v>
      </c>
      <c r="M52" s="220"/>
      <c r="N52" s="220"/>
      <c r="O52" s="220"/>
      <c r="P52" s="392"/>
    </row>
    <row customHeight="1" ht="13.5">
      <c r="A53" s="297"/>
      <c r="B53" s="220"/>
      <c r="C53" s="220"/>
      <c r="D53" s="220"/>
      <c r="E53" s="220">
        <v>946</v>
      </c>
      <c r="F53" s="220">
        <v>6135</v>
      </c>
      <c r="G53" s="220">
        <v>1806</v>
      </c>
      <c r="H53" s="220">
        <v>12962</v>
      </c>
      <c r="I53" s="220"/>
      <c r="J53" s="220"/>
      <c r="K53" s="220">
        <v>1043</v>
      </c>
      <c r="L53" s="220">
        <v>7442</v>
      </c>
      <c r="M53" s="220"/>
      <c r="N53" s="220"/>
      <c r="O53" s="220"/>
      <c r="P53" s="392"/>
    </row>
    <row customHeight="1" ht="13.5">
      <c r="A54" s="297"/>
      <c r="B54" s="220"/>
      <c r="C54" s="220"/>
      <c r="D54" s="220"/>
      <c r="E54" s="220">
        <v>316</v>
      </c>
      <c r="F54" s="220">
        <v>2187</v>
      </c>
      <c r="G54" s="220">
        <v>2830</v>
      </c>
      <c r="H54" s="220">
        <v>23859</v>
      </c>
      <c r="I54" s="220">
        <v>471</v>
      </c>
      <c r="J54" s="220">
        <v>3189</v>
      </c>
      <c r="K54" s="220">
        <v>559</v>
      </c>
      <c r="L54" s="220">
        <v>3976</v>
      </c>
      <c r="M54" s="220"/>
      <c r="N54" s="220"/>
      <c r="O54" s="220"/>
      <c r="P54" s="392"/>
    </row>
    <row customHeight="1" ht="13.5">
      <c r="A55" s="297"/>
      <c r="B55" s="220"/>
      <c r="C55" s="220"/>
      <c r="D55" s="220"/>
      <c r="E55" s="220">
        <v>582</v>
      </c>
      <c r="F55" s="220">
        <v>3756</v>
      </c>
      <c r="G55" s="220"/>
      <c r="H55" s="220"/>
      <c r="I55" s="220"/>
      <c r="J55" s="220"/>
      <c r="K55" s="220"/>
      <c r="L55" s="220"/>
      <c r="M55" s="220"/>
      <c r="N55" s="220"/>
      <c r="O55" s="220"/>
      <c r="P55" s="392"/>
    </row>
    <row customHeight="1" ht="13.5">
      <c r="A56" s="297"/>
      <c r="B56" s="220"/>
      <c r="C56" s="220"/>
      <c r="D56" s="220"/>
      <c r="E56" s="220"/>
      <c r="F56" s="220"/>
      <c r="G56" s="220">
        <v>49.0428540352404</v>
      </c>
      <c r="H56" s="220">
        <v>49.1211110574057</v>
      </c>
      <c r="I56" s="220">
        <v>2061</v>
      </c>
      <c r="J56" s="220">
        <v>14313</v>
      </c>
      <c r="K56" s="220">
        <v>4149</v>
      </c>
      <c r="L56" s="220">
        <v>29145</v>
      </c>
      <c r="M56" s="220"/>
      <c r="N56" s="220"/>
      <c r="O56" s="220"/>
      <c r="P56" s="392"/>
    </row>
    <row customHeight="1" ht="13.5">
      <c r="A57" s="297"/>
      <c r="B57" s="220"/>
      <c r="C57" s="220"/>
      <c r="D57" s="220"/>
      <c r="E57" s="220">
        <v>300</v>
      </c>
      <c r="F57" s="220">
        <v>2164</v>
      </c>
      <c r="G57" s="220">
        <v>70.5598714170908</v>
      </c>
      <c r="H57" s="220">
        <v>71.197096134416</v>
      </c>
      <c r="I57" s="220">
        <v>4425</v>
      </c>
      <c r="J57" s="220">
        <v>33634</v>
      </c>
      <c r="K57" s="220">
        <v>4881</v>
      </c>
      <c r="L57" s="220">
        <v>34345</v>
      </c>
      <c r="M57" s="220"/>
      <c r="N57" s="220"/>
      <c r="O57" s="220"/>
      <c r="P57" s="392"/>
    </row>
    <row customHeight="1" ht="13.5">
      <c r="A58" s="297"/>
      <c r="B58" s="220"/>
      <c r="C58" s="220"/>
      <c r="D58" s="220"/>
      <c r="E58" s="220">
        <v>356</v>
      </c>
      <c r="F58" s="220">
        <v>2564</v>
      </c>
      <c r="G58" s="220">
        <v>16.6622019823198</v>
      </c>
      <c r="H58" s="220">
        <v>16.023650039292</v>
      </c>
      <c r="I58" s="220"/>
      <c r="J58" s="220"/>
      <c r="K58" s="220"/>
      <c r="L58" s="220"/>
      <c r="M58" s="220"/>
      <c r="N58" s="220"/>
      <c r="O58" s="220"/>
      <c r="P58" s="392"/>
    </row>
    <row customHeight="1" ht="13.5">
      <c r="A59" s="297"/>
      <c r="B59" s="220"/>
      <c r="C59" s="220"/>
      <c r="D59" s="220"/>
      <c r="E59" s="220">
        <v>171</v>
      </c>
      <c r="F59" s="220">
        <v>1155</v>
      </c>
      <c r="G59" s="220">
        <v>93.354943273906</v>
      </c>
      <c r="H59" s="220">
        <v>93.4599156118144</v>
      </c>
      <c r="I59" s="220">
        <v>51.8652411352973</v>
      </c>
      <c r="J59" s="220">
        <v>52.8378679159291</v>
      </c>
      <c r="K59" s="220">
        <v>93.3644859813084</v>
      </c>
      <c r="L59" s="220">
        <v>93.2164914037723</v>
      </c>
      <c r="M59" s="220"/>
      <c r="N59" s="220"/>
      <c r="O59" s="220"/>
      <c r="P59" s="392"/>
    </row>
    <row customHeight="1" ht="13.5">
      <c r="A60" s="297"/>
      <c r="B60" s="220"/>
      <c r="C60" s="220"/>
      <c r="D60" s="220"/>
      <c r="E60" s="220">
        <v>434</v>
      </c>
      <c r="F60" s="220">
        <v>2974</v>
      </c>
      <c r="G60" s="220">
        <v>98.8925802879291</v>
      </c>
      <c r="H60" s="220">
        <v>98.889060330196</v>
      </c>
      <c r="I60" s="220">
        <v>69.8509342851144</v>
      </c>
      <c r="J60" s="220">
        <v>70.180081327051</v>
      </c>
      <c r="K60" s="220">
        <v>99.7385620915033</v>
      </c>
      <c r="L60" s="220">
        <v>99.7281484545831</v>
      </c>
      <c r="M60" s="220"/>
      <c r="N60" s="220"/>
      <c r="O60" s="220"/>
      <c r="P60" s="392"/>
    </row>
    <row customHeight="1" ht="13.5">
      <c r="A61" s="297"/>
      <c r="B61" s="220"/>
      <c r="C61" s="220"/>
      <c r="D61" s="220"/>
      <c r="E61" s="220">
        <v>91</v>
      </c>
      <c r="F61" s="220">
        <v>611</v>
      </c>
      <c r="G61" s="220">
        <v>99.0812720848056</v>
      </c>
      <c r="H61" s="220">
        <v>99.2078460958129</v>
      </c>
      <c r="I61" s="220">
        <v>15.0745328574428</v>
      </c>
      <c r="J61" s="220">
        <v>14.7550506680436</v>
      </c>
      <c r="K61" s="220">
        <v>97.8034682080925</v>
      </c>
      <c r="L61" s="220">
        <v>97.9520802978792</v>
      </c>
      <c r="M61" s="220"/>
      <c r="N61" s="220"/>
      <c r="O61" s="220"/>
      <c r="P61" s="392"/>
    </row>
    <row customHeight="1" ht="13.5">
      <c r="A62" s="297"/>
      <c r="B62" s="220"/>
      <c r="C62" s="220"/>
      <c r="D62" s="220"/>
      <c r="E62" s="220"/>
      <c r="F62" s="220"/>
      <c r="G62" s="220">
        <v>88.1625441696113</v>
      </c>
      <c r="H62" s="220">
        <v>92.8748061528144</v>
      </c>
      <c r="I62" s="220">
        <v>93.0239520958084</v>
      </c>
      <c r="J62" s="220">
        <v>93.2087921504777</v>
      </c>
      <c r="K62" s="220">
        <v>26.878612716763</v>
      </c>
      <c r="L62" s="220">
        <v>26.7443742917274</v>
      </c>
      <c r="M62" s="220"/>
      <c r="N62" s="220"/>
      <c r="O62" s="220"/>
      <c r="P62" s="392"/>
    </row>
    <row customHeight="1" ht="13.5">
      <c r="A63" s="297"/>
      <c r="B63" s="220"/>
      <c r="C63" s="220"/>
      <c r="D63" s="220"/>
      <c r="E63" s="220">
        <v>48.3002496136931</v>
      </c>
      <c r="F63" s="220">
        <v>48.5474006116208</v>
      </c>
      <c r="G63" s="220">
        <v>98.5858585858586</v>
      </c>
      <c r="H63" s="220">
        <v>98.5087225661227</v>
      </c>
      <c r="I63" s="220"/>
      <c r="J63" s="220"/>
      <c r="K63" s="220">
        <v>97.2185007974482</v>
      </c>
      <c r="L63" s="220">
        <v>97.0020449897751</v>
      </c>
      <c r="M63" s="220"/>
      <c r="N63" s="220"/>
      <c r="O63" s="220"/>
      <c r="P63" s="392"/>
    </row>
    <row customHeight="1" ht="13.5">
      <c r="A64" s="297"/>
      <c r="B64" s="220"/>
      <c r="C64" s="220"/>
      <c r="D64" s="220"/>
      <c r="E64" s="220">
        <v>71.7717379045901</v>
      </c>
      <c r="F64" s="220">
        <v>71.4520547945205</v>
      </c>
      <c r="G64" s="220">
        <v>81.1942571242114</v>
      </c>
      <c r="H64" s="220">
        <v>83.3325277522677</v>
      </c>
      <c r="I64" s="220"/>
      <c r="J64" s="220"/>
      <c r="K64" s="220">
        <v>15.7238734419942</v>
      </c>
      <c r="L64" s="220">
        <v>15.6678312281645</v>
      </c>
      <c r="M64" s="220"/>
      <c r="N64" s="220"/>
      <c r="O64" s="220"/>
      <c r="P64" s="392"/>
    </row>
    <row customHeight="1" ht="13.5">
      <c r="A65" s="297"/>
      <c r="B65" s="220"/>
      <c r="C65" s="220"/>
      <c r="D65" s="220"/>
      <c r="E65" s="220">
        <v>16.1948798917334</v>
      </c>
      <c r="F65" s="220">
        <v>16.4464141821112</v>
      </c>
      <c r="G65" s="220"/>
      <c r="H65" s="220"/>
      <c r="I65" s="220">
        <v>95.3290870488323</v>
      </c>
      <c r="J65" s="220">
        <v>94.0420194418313</v>
      </c>
      <c r="K65" s="220"/>
      <c r="L65" s="220"/>
      <c r="M65" s="220"/>
      <c r="N65" s="220"/>
      <c r="O65" s="220"/>
      <c r="P65" s="392"/>
    </row>
    <row customHeight="1" ht="13.5">
      <c r="A66" s="297"/>
      <c r="B66" s="220"/>
      <c r="C66" s="220"/>
      <c r="D66" s="220"/>
      <c r="E66" s="220"/>
      <c r="F66" s="220"/>
      <c r="G66" s="220">
        <v>1475.72</v>
      </c>
      <c r="H66" s="220">
        <v>8741.1</v>
      </c>
      <c r="I66" s="220"/>
      <c r="J66" s="220"/>
      <c r="K66" s="220">
        <v>99.4633273703041</v>
      </c>
      <c r="L66" s="220">
        <v>99.4718309859155</v>
      </c>
      <c r="M66" s="220"/>
      <c r="N66" s="220"/>
      <c r="O66" s="220"/>
      <c r="P66" s="392"/>
    </row>
    <row customHeight="1" ht="13.5">
      <c r="A67" s="297"/>
      <c r="B67" s="220"/>
      <c r="C67" s="220"/>
      <c r="D67" s="220"/>
      <c r="E67" s="220">
        <v>99.6828752642706</v>
      </c>
      <c r="F67" s="220">
        <v>99.6577017114914</v>
      </c>
      <c r="G67" s="220">
        <v>0</v>
      </c>
      <c r="H67" s="220">
        <v>0</v>
      </c>
      <c r="I67" s="220">
        <v>99.2236778262979</v>
      </c>
      <c r="J67" s="220">
        <v>99.22448124083</v>
      </c>
      <c r="K67" s="220"/>
      <c r="L67" s="220"/>
      <c r="M67" s="220"/>
      <c r="N67" s="220"/>
      <c r="O67" s="220"/>
      <c r="P67" s="392"/>
    </row>
    <row customHeight="1" ht="13.5">
      <c r="A68" s="297"/>
      <c r="B68" s="220"/>
      <c r="C68" s="220"/>
      <c r="D68" s="220"/>
      <c r="E68" s="220">
        <v>25.1585623678647</v>
      </c>
      <c r="F68" s="220">
        <v>27.6283618581907</v>
      </c>
      <c r="G68" s="220">
        <v>0</v>
      </c>
      <c r="H68" s="220">
        <v>0</v>
      </c>
      <c r="I68" s="220">
        <v>99.0282485875707</v>
      </c>
      <c r="J68" s="220">
        <v>99.1675090682049</v>
      </c>
      <c r="K68" s="220">
        <v>98.9636056881176</v>
      </c>
      <c r="L68" s="220">
        <v>99.0084062446389</v>
      </c>
      <c r="M68" s="220"/>
      <c r="N68" s="220"/>
      <c r="O68" s="220"/>
      <c r="P68" s="392"/>
    </row>
    <row customHeight="1" ht="13.5">
      <c r="A69" s="297"/>
      <c r="B69" s="220"/>
      <c r="C69" s="220"/>
      <c r="D69" s="220"/>
      <c r="E69" s="220">
        <v>96.5189873417722</v>
      </c>
      <c r="F69" s="220">
        <v>96.0219478737997</v>
      </c>
      <c r="G69" s="220"/>
      <c r="H69" s="220"/>
      <c r="I69" s="220">
        <v>77.1556034151219</v>
      </c>
      <c r="J69" s="220">
        <v>75.8222806089519</v>
      </c>
      <c r="K69" s="220">
        <v>99.3034214300348</v>
      </c>
      <c r="L69" s="220">
        <v>99.1439802009026</v>
      </c>
      <c r="M69" s="220"/>
      <c r="N69" s="220"/>
      <c r="O69" s="220"/>
      <c r="P69" s="392"/>
    </row>
    <row customHeight="1" ht="13.5">
      <c r="A70" s="297"/>
      <c r="B70" s="220"/>
      <c r="C70" s="220"/>
      <c r="D70" s="220"/>
      <c r="E70" s="220">
        <v>18.5567010309278</v>
      </c>
      <c r="F70" s="220">
        <v>18.3173588924388</v>
      </c>
      <c r="G70" s="220">
        <v>0</v>
      </c>
      <c r="H70" s="220">
        <v>0</v>
      </c>
      <c r="I70" s="220"/>
      <c r="J70" s="220"/>
      <c r="K70" s="220"/>
      <c r="L70" s="220"/>
      <c r="M70" s="220"/>
      <c r="N70" s="220"/>
      <c r="O70" s="220"/>
      <c r="P70" s="392"/>
    </row>
    <row customHeight="1" ht="13.5">
      <c r="A71" s="297"/>
      <c r="B71" s="220"/>
      <c r="C71" s="220"/>
      <c r="D71" s="220"/>
      <c r="E71" s="220">
        <v>99.3</v>
      </c>
      <c r="F71" s="220">
        <v>99.07</v>
      </c>
      <c r="G71" s="220">
        <v>763.58</v>
      </c>
      <c r="H71" s="220">
        <v>3925.46</v>
      </c>
      <c r="I71" s="220">
        <v>0</v>
      </c>
      <c r="J71" s="220">
        <v>0</v>
      </c>
      <c r="K71" s="220">
        <v>2963</v>
      </c>
      <c r="L71" s="220">
        <v>19355</v>
      </c>
      <c r="M71" s="220"/>
      <c r="N71" s="220"/>
      <c r="O71" s="220"/>
      <c r="P71" s="392"/>
    </row>
    <row customHeight="1" ht="13.5">
      <c r="A72" s="297"/>
      <c r="B72" s="220"/>
      <c r="C72" s="220"/>
      <c r="D72" s="220"/>
      <c r="E72" s="220"/>
      <c r="F72" s="220"/>
      <c r="G72" s="220">
        <v>0</v>
      </c>
      <c r="H72" s="220">
        <v>0</v>
      </c>
      <c r="I72" s="220">
        <v>0</v>
      </c>
      <c r="J72" s="220">
        <v>0</v>
      </c>
      <c r="K72" s="220">
        <v>667.36</v>
      </c>
      <c r="L72" s="220">
        <v>3732.06</v>
      </c>
      <c r="M72" s="220"/>
      <c r="N72" s="220"/>
      <c r="O72" s="220"/>
      <c r="P72" s="392"/>
    </row>
    <row customHeight="1" ht="13.5">
      <c r="A73" s="297"/>
      <c r="B73" s="220"/>
      <c r="C73" s="220"/>
      <c r="D73" s="220"/>
      <c r="E73" s="220">
        <v>43.5393258426966</v>
      </c>
      <c r="F73" s="220">
        <v>43.8767550702028</v>
      </c>
      <c r="G73" s="220"/>
      <c r="H73" s="220"/>
      <c r="I73" s="220"/>
      <c r="J73" s="220"/>
      <c r="K73" s="220">
        <v>0</v>
      </c>
      <c r="L73" s="220">
        <v>1365.38</v>
      </c>
      <c r="M73" s="220"/>
      <c r="N73" s="220"/>
      <c r="O73" s="220"/>
      <c r="P73" s="392"/>
    </row>
    <row customHeight="1" ht="13.5">
      <c r="A74" s="297"/>
      <c r="B74" s="220"/>
      <c r="C74" s="220"/>
      <c r="D74" s="220"/>
      <c r="E74" s="220">
        <v>94.9685534591195</v>
      </c>
      <c r="F74" s="220">
        <v>94.6302816901408</v>
      </c>
      <c r="G74" s="220"/>
      <c r="H74" s="220"/>
      <c r="I74" s="220"/>
      <c r="J74" s="220"/>
      <c r="K74" s="220"/>
      <c r="L74" s="220"/>
      <c r="M74" s="220"/>
      <c r="N74" s="220"/>
      <c r="O74" s="220"/>
      <c r="P74" s="392"/>
    </row>
    <row customHeight="1" ht="13.5">
      <c r="A75" s="297"/>
      <c r="B75" s="220"/>
      <c r="C75" s="220"/>
      <c r="D75" s="220"/>
      <c r="E75" s="220">
        <v>38.9400921658986</v>
      </c>
      <c r="F75" s="220">
        <v>37.9287155346335</v>
      </c>
      <c r="G75" s="220"/>
      <c r="H75" s="220"/>
      <c r="I75" s="220">
        <v>352.74</v>
      </c>
      <c r="J75" s="220">
        <v>1369.42</v>
      </c>
      <c r="K75" s="220">
        <v>0.03</v>
      </c>
      <c r="L75" s="220">
        <v>0.18</v>
      </c>
      <c r="M75" s="220"/>
      <c r="N75" s="220"/>
      <c r="O75" s="220"/>
      <c r="P75" s="392"/>
    </row>
    <row customHeight="1" ht="13.5">
      <c r="A76" s="297"/>
      <c r="B76" s="220"/>
      <c r="C76" s="220"/>
      <c r="D76" s="220"/>
      <c r="E76" s="220"/>
      <c r="F76" s="220"/>
      <c r="G76" s="220"/>
      <c r="H76" s="220"/>
      <c r="I76" s="220"/>
      <c r="J76" s="220"/>
      <c r="K76" s="220">
        <v>870</v>
      </c>
      <c r="L76" s="220">
        <v>6257</v>
      </c>
      <c r="M76" s="220"/>
      <c r="N76" s="220"/>
      <c r="O76" s="220"/>
      <c r="P76" s="392"/>
    </row>
    <row customHeight="1" ht="13.5">
      <c r="A77" s="297"/>
      <c r="B77" s="220"/>
      <c r="C77" s="220"/>
      <c r="D77" s="220"/>
      <c r="E77" s="220">
        <v>94.6570783311542</v>
      </c>
      <c r="F77" s="220">
        <v>94.8785253143051</v>
      </c>
      <c r="G77" s="220"/>
      <c r="H77" s="220"/>
      <c r="I77" s="220"/>
      <c r="J77" s="220"/>
      <c r="K77" s="220"/>
      <c r="L77" s="220"/>
      <c r="M77" s="220"/>
      <c r="N77" s="220"/>
      <c r="O77" s="220"/>
      <c r="P77" s="392"/>
    </row>
    <row customHeight="1" ht="13.5">
      <c r="A78" s="297"/>
      <c r="B78" s="220"/>
      <c r="C78" s="220"/>
      <c r="D78" s="220"/>
      <c r="E78" s="220"/>
      <c r="F78" s="220"/>
      <c r="G78" s="220"/>
      <c r="H78" s="220"/>
      <c r="I78" s="220">
        <v>0</v>
      </c>
      <c r="J78" s="220">
        <v>0</v>
      </c>
      <c r="K78" s="220">
        <v>11.56</v>
      </c>
      <c r="L78" s="220">
        <v>81.21</v>
      </c>
      <c r="M78" s="220"/>
      <c r="N78" s="220"/>
      <c r="O78" s="220"/>
      <c r="P78" s="392"/>
    </row>
    <row customHeight="1" ht="13.5">
      <c r="A79" s="297"/>
      <c r="B79" s="220"/>
      <c r="C79" s="220"/>
      <c r="D79" s="220"/>
      <c r="E79" s="220">
        <v>0</v>
      </c>
      <c r="F79" s="220">
        <v>0</v>
      </c>
      <c r="G79" s="220"/>
      <c r="H79" s="220"/>
      <c r="I79" s="220"/>
      <c r="J79" s="220"/>
      <c r="K79" s="220">
        <v>981</v>
      </c>
      <c r="L79" s="220">
        <v>7012</v>
      </c>
      <c r="M79" s="220"/>
      <c r="N79" s="220"/>
      <c r="O79" s="220"/>
      <c r="P79" s="392"/>
    </row>
    <row customHeight="1" ht="13.5">
      <c r="A80" s="297"/>
      <c r="B80" s="220"/>
      <c r="C80" s="220"/>
      <c r="D80" s="220"/>
      <c r="E80" s="220">
        <v>0</v>
      </c>
      <c r="F80" s="220">
        <v>0</v>
      </c>
      <c r="G80" s="220"/>
      <c r="H80" s="220"/>
      <c r="I80" s="220"/>
      <c r="J80" s="220"/>
      <c r="K80" s="220"/>
      <c r="L80" s="220"/>
      <c r="M80" s="220"/>
      <c r="N80" s="220"/>
      <c r="O80" s="220"/>
      <c r="P80" s="392"/>
    </row>
    <row customHeight="1" ht="13.5">
      <c r="A81" s="297"/>
      <c r="B81" s="220"/>
      <c r="C81" s="220"/>
      <c r="D81" s="220"/>
      <c r="E81" s="220">
        <v>2963</v>
      </c>
      <c r="F81" s="220">
        <v>19355</v>
      </c>
      <c r="G81" s="220"/>
      <c r="H81" s="220"/>
      <c r="I81" s="220"/>
      <c r="J81" s="220"/>
      <c r="K81" s="434">
        <f>K75*K76</f>
        <v>26.1</v>
      </c>
      <c r="L81" s="434">
        <f>L75*L76</f>
        <v>1126.26</v>
      </c>
      <c r="M81" s="220"/>
      <c r="N81" s="220"/>
      <c r="O81" s="220"/>
      <c r="P81" s="392"/>
    </row>
    <row customHeight="1" ht="13.5">
      <c r="A82" s="297"/>
      <c r="B82" s="220"/>
      <c r="C82" s="220"/>
      <c r="D82" s="220"/>
      <c r="E82" s="220"/>
      <c r="F82" s="220"/>
      <c r="G82" s="220"/>
      <c r="H82" s="220"/>
      <c r="I82" s="220"/>
      <c r="J82" s="220"/>
      <c r="K82" s="434">
        <f>K78*K79</f>
        <v>11340.36</v>
      </c>
      <c r="L82" s="434">
        <f>L78*L79</f>
        <v>569444.52</v>
      </c>
      <c r="M82" s="220"/>
      <c r="N82" s="220"/>
      <c r="O82" s="220"/>
      <c r="P82" s="392"/>
    </row>
    <row customHeight="1" ht="13.5">
      <c r="A83" s="297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392"/>
    </row>
    <row customHeight="1" ht="13.5">
      <c r="A84" s="297"/>
      <c r="B84" s="220"/>
      <c r="C84" s="220"/>
      <c r="D84" s="220"/>
      <c r="E84" s="220"/>
      <c r="F84" s="220"/>
      <c r="G84" s="220"/>
      <c r="H84" s="220"/>
      <c r="I84" s="220"/>
      <c r="J84" s="220"/>
      <c r="K84" s="434">
        <f>1-(K81/K82)</f>
        <v>0.997698485762357</v>
      </c>
      <c r="L84" s="434">
        <f>1-(L81/L82)</f>
        <v>0.998022177823399</v>
      </c>
      <c r="M84" s="220"/>
      <c r="N84" s="220"/>
      <c r="O84" s="220"/>
      <c r="P84" s="392"/>
    </row>
    <row customHeight="1" ht="13.5">
      <c r="A85" s="297"/>
      <c r="B85" s="220"/>
      <c r="C85" s="220"/>
      <c r="D85" s="220"/>
      <c r="E85" s="220"/>
      <c r="F85" s="220"/>
      <c r="G85" s="220"/>
      <c r="H85" s="220"/>
      <c r="I85" s="220"/>
      <c r="J85" s="220"/>
      <c r="K85" s="434">
        <f>K84*100</f>
        <v>99.7698485762357</v>
      </c>
      <c r="L85" s="434">
        <f>L84*100</f>
        <v>99.8022177823399</v>
      </c>
      <c r="M85" s="220"/>
      <c r="N85" s="220"/>
      <c r="O85" s="220"/>
      <c r="P85" s="392"/>
    </row>
  </sheetData>
  <mergeCells count="59">
    <mergeCell ref="B1:O1"/>
    <mergeCell ref="C2:E2"/>
    <mergeCell ref="G2:H2"/>
    <mergeCell ref="J2:K2"/>
    <mergeCell ref="L2:M2"/>
    <mergeCell ref="N2:O2"/>
    <mergeCell ref="E3:F3"/>
    <mergeCell ref="G3:H3"/>
    <mergeCell ref="I3:J3"/>
    <mergeCell ref="K3:L3"/>
    <mergeCell ref="B5:C5"/>
    <mergeCell ref="D5:O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D23:O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D41:O41"/>
    <mergeCell ref="B42:C42"/>
    <mergeCell ref="B43:C43"/>
    <mergeCell ref="B44:C44"/>
    <mergeCell ref="B45:C45"/>
    <mergeCell ref="D3:D4"/>
    <mergeCell ref="M3:M4"/>
    <mergeCell ref="N3:N4"/>
    <mergeCell ref="O3:O4"/>
    <mergeCell ref="B3:C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96DBB68-93AC-F13F-9FA3-21BE7B7751E9}" mc:Ignorable="x14ac xr xr2 xr3">
  <dimension ref="A1:P47"/>
  <sheetViews>
    <sheetView defaultGridColor="0" colorId="31" showGridLines="0" workbookViewId="0">
      <pane xSplit="3" ySplit="4" topLeftCell="D5" activePane="bottomRight" state="frozen"/>
      <selection pane="bottomLeft" activeCell="A5" sqref="A5"/>
      <selection pane="topRight" activeCell="D1" sqref="D1"/>
      <selection pane="bottomRight" activeCell="D47" sqref="D47"/>
    </sheetView>
  </sheetViews>
  <sheetFormatPr defaultColWidth="10.00390625" customHeight="1" defaultRowHeight="13.5"/>
  <cols>
    <col min="1" max="1" style="74" width="2.7109375" customWidth="1"/>
    <col min="2" max="3" style="51" width="13.7109375" customWidth="1"/>
    <col min="4" max="4" style="51" width="11.7109375" customWidth="1"/>
    <col min="5" max="12" style="51" width="8.7109375" customWidth="1"/>
    <col min="13" max="13" style="51" width="10.7109375" customWidth="1"/>
    <col min="14" max="14" style="74" width="10.7109375" customWidth="1"/>
    <col min="15" max="16" style="74" width="10.00390625" hidden="1"/>
  </cols>
  <sheetData>
    <row customHeight="1" ht="27.75">
      <c r="A1" s="297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316"/>
      <c r="O1" s="297"/>
      <c r="P1" s="297"/>
    </row>
    <row customHeight="1" ht="18.75">
      <c r="A2" s="297"/>
      <c r="B2" s="76" t="s">
        <v>1</v>
      </c>
      <c r="C2" s="76"/>
      <c r="D2" s="367" t="s">
        <v>2</v>
      </c>
      <c r="E2" s="367"/>
      <c r="F2" s="366" t="str">
        <f>O2</f>
        <v>2026-01-06</v>
      </c>
      <c r="G2" s="366"/>
      <c r="H2" s="436" t="s">
        <v>4</v>
      </c>
      <c r="I2" s="436"/>
      <c r="J2" s="317" t="str">
        <f>P2</f>
        <v>2026-01-07</v>
      </c>
      <c r="K2" s="317"/>
      <c r="L2" s="317"/>
      <c r="M2" s="202" t="s">
        <v>6</v>
      </c>
      <c r="N2" s="318"/>
      <c r="O2" s="439" t="s">
        <v>3</v>
      </c>
      <c r="P2" s="439" t="s">
        <v>5</v>
      </c>
    </row>
    <row customHeight="1" ht="15.75">
      <c r="A3" s="297"/>
      <c r="B3" s="299" t="s">
        <v>7</v>
      </c>
      <c r="C3" s="299"/>
      <c r="D3" s="299" t="s">
        <v>105</v>
      </c>
      <c r="E3" s="299" t="s">
        <v>9</v>
      </c>
      <c r="F3" s="299"/>
      <c r="G3" s="300" t="s">
        <v>10</v>
      </c>
      <c r="H3" s="300"/>
      <c r="I3" s="300" t="s">
        <v>11</v>
      </c>
      <c r="J3" s="300"/>
      <c r="K3" s="300" t="s">
        <v>12</v>
      </c>
      <c r="L3" s="300"/>
      <c r="M3" s="301" t="s">
        <v>106</v>
      </c>
      <c r="N3" s="319" t="s">
        <v>107</v>
      </c>
      <c r="O3" s="297"/>
      <c r="P3" s="297"/>
    </row>
    <row customHeight="1" ht="15.75">
      <c r="A4" s="297"/>
      <c r="B4" s="299"/>
      <c r="C4" s="299"/>
      <c r="D4" s="299"/>
      <c r="E4" s="301" t="s">
        <v>108</v>
      </c>
      <c r="F4" s="301"/>
      <c r="G4" s="302" t="s">
        <v>108</v>
      </c>
      <c r="H4" s="302"/>
      <c r="I4" s="302" t="s">
        <v>108</v>
      </c>
      <c r="J4" s="302"/>
      <c r="K4" s="302" t="s">
        <v>108</v>
      </c>
      <c r="L4" s="302"/>
      <c r="M4" s="301"/>
      <c r="N4" s="301"/>
      <c r="O4" s="297"/>
      <c r="P4" s="297"/>
    </row>
    <row customHeight="1" ht="15.75">
      <c r="A5" s="297"/>
      <c r="B5" s="303" t="s">
        <v>18</v>
      </c>
      <c r="C5" s="303"/>
      <c r="D5" s="201"/>
      <c r="E5" s="240"/>
      <c r="F5" s="240"/>
      <c r="G5" s="240"/>
      <c r="H5" s="240"/>
      <c r="I5" s="240"/>
      <c r="J5" s="240"/>
      <c r="K5" s="240"/>
      <c r="L5" s="240"/>
      <c r="M5" s="240"/>
      <c r="N5" s="320"/>
      <c r="O5" s="297"/>
      <c r="P5" s="297"/>
    </row>
    <row customHeight="1" ht="15.75">
      <c r="A6" s="297"/>
      <c r="B6" s="252" t="s">
        <v>19</v>
      </c>
      <c r="C6" s="253"/>
      <c r="D6" s="448" t="str">
        <f>IF(生产日报2取值!D6=0,"",生产日报2取值!D6)</f>
        <v/>
      </c>
      <c r="E6" s="305">
        <f>IF(生产日报2取值!E6=0,"",生产日报2取值!E6)</f>
        <v>117720</v>
      </c>
      <c r="F6" s="302"/>
      <c r="G6" s="302">
        <f>IF(生产日报2取值!F6=0,"",生产日报2取值!F6)</f>
        <v>62067</v>
      </c>
      <c r="H6" s="302"/>
      <c r="I6" s="302">
        <f>IF(生产日报2取值!G6=0,"",生产日报2取值!G6)</f>
        <v>94349</v>
      </c>
      <c r="J6" s="302"/>
      <c r="K6" s="302"/>
      <c r="L6" s="302"/>
      <c r="M6" s="302">
        <f>_xlfn.IFERROR(生产日报2取值!I6,"")</f>
        <v>274136</v>
      </c>
      <c r="N6" s="321" t="str">
        <f>IF(生产日报2取值!J6=0,"",生产日报2取值!J6)</f>
        <v/>
      </c>
      <c r="O6" s="297"/>
      <c r="P6" s="297"/>
    </row>
    <row customHeight="1" ht="15.75">
      <c r="A7" s="297"/>
      <c r="B7" s="252" t="s">
        <v>20</v>
      </c>
      <c r="C7" s="253"/>
      <c r="D7" s="448" t="str">
        <f>IF(生产日报2取值!D7=0,"",生产日报2取值!D7)</f>
        <v/>
      </c>
      <c r="E7" s="305">
        <f>IF(生产日报2取值!E7=0,"",生产日报2取值!E7)</f>
        <v>62050</v>
      </c>
      <c r="F7" s="302"/>
      <c r="G7" s="302">
        <f>IF(生产日报2取值!F7=0,"",生产日报2取值!F7)</f>
        <v>26723</v>
      </c>
      <c r="H7" s="302"/>
      <c r="I7" s="302">
        <f>IF(生产日报2取值!G7=0,"",生产日报2取值!G7)</f>
        <v>30986</v>
      </c>
      <c r="J7" s="302"/>
      <c r="K7" s="302"/>
      <c r="L7" s="302"/>
      <c r="M7" s="302">
        <f>_xlfn.IFERROR(生产日报2取值!I7,"")</f>
        <v>119759</v>
      </c>
      <c r="N7" s="309" t="str">
        <f>IF(生产日报2取值!J7=0,"",生产日报2取值!J7)</f>
        <v/>
      </c>
      <c r="O7" s="297"/>
      <c r="P7" s="297"/>
    </row>
    <row customHeight="1" ht="15.75">
      <c r="A8" s="297"/>
      <c r="B8" s="250" t="s">
        <v>21</v>
      </c>
      <c r="C8" s="251"/>
      <c r="D8" s="448" t="str">
        <f>IF(生产日报2取值!D8=0,"",生产日报2取值!D8)</f>
        <v/>
      </c>
      <c r="E8" s="305">
        <f>IF(生产日报2取值!E8=0,"",生产日报2取值!E8)</f>
        <v>61644</v>
      </c>
      <c r="F8" s="302"/>
      <c r="G8" s="302">
        <f>IF(生产日报2取值!F8=0,"",生产日报2取值!F8)</f>
        <v>24621</v>
      </c>
      <c r="H8" s="302"/>
      <c r="I8" s="302">
        <f>IF(生产日报2取值!G8=0,"",生产日报2取值!G8)</f>
        <v>30175</v>
      </c>
      <c r="J8" s="302"/>
      <c r="K8" s="302"/>
      <c r="L8" s="302"/>
      <c r="M8" s="302">
        <f>_xlfn.IFERROR(生产日报2取值!I8,"")</f>
        <v>116440</v>
      </c>
      <c r="N8" s="309" t="str">
        <f>IF(生产日报2取值!J8=0,"",生产日报2取值!J8)</f>
        <v/>
      </c>
      <c r="O8" s="297"/>
      <c r="P8" s="297"/>
    </row>
    <row customHeight="1" ht="15.75">
      <c r="A9" s="297"/>
      <c r="B9" s="252" t="s">
        <v>22</v>
      </c>
      <c r="C9" s="253"/>
      <c r="D9" s="448" t="str">
        <f>IF(生产日报2取值!D9=0,"",生产日报2取值!D9)</f>
        <v/>
      </c>
      <c r="E9" s="305" t="str">
        <f>IF(生产日报2取值!E9=0,"",生产日报2取值!E9)</f>
        <v/>
      </c>
      <c r="F9" s="302"/>
      <c r="G9" s="302">
        <f>IF(生产日报2取值!F9=0,"",生产日报2取值!F9)</f>
        <v>4266</v>
      </c>
      <c r="H9" s="302"/>
      <c r="I9" s="302">
        <f>IF(生产日报2取值!G9=0,"",生产日报2取值!G9)</f>
        <v>23339</v>
      </c>
      <c r="J9" s="302"/>
      <c r="K9" s="302">
        <f>IF(生产日报2取值!H9=0,"",生产日报2取值!H9)</f>
        <v>29955</v>
      </c>
      <c r="L9" s="302"/>
      <c r="M9" s="302">
        <f>_xlfn.IFERROR(生产日报2取值!I9,"")</f>
        <v>57560</v>
      </c>
      <c r="N9" s="309" t="str">
        <f>IF(生产日报2取值!J9=0,"",生产日报2取值!J9)</f>
        <v/>
      </c>
      <c r="O9" s="297"/>
      <c r="P9" s="297"/>
    </row>
    <row customHeight="1" ht="15.75">
      <c r="A10" s="297"/>
      <c r="B10" s="252" t="s">
        <v>23</v>
      </c>
      <c r="C10" s="253"/>
      <c r="D10" s="448" t="str">
        <f>IF(生产日报2取值!D10=0,"",生产日报2取值!D10)</f>
        <v/>
      </c>
      <c r="E10" s="305" t="str">
        <f>IF(生产日报2取值!E10=0,"",生产日报2取值!E10)</f>
        <v/>
      </c>
      <c r="F10" s="302"/>
      <c r="G10" s="302" t="str">
        <f>IF(生产日报2取值!F10=0,"",生产日报2取值!F10)</f>
        <v/>
      </c>
      <c r="H10" s="302"/>
      <c r="I10" s="302" t="str">
        <f>IF(生产日报2取值!G10=0,"",生产日报2取值!G10)</f>
        <v/>
      </c>
      <c r="J10" s="302"/>
      <c r="K10" s="302">
        <f>IF(生产日报2取值!H10=0,"",生产日报2取值!H10)</f>
        <v>16921</v>
      </c>
      <c r="L10" s="302"/>
      <c r="M10" s="302">
        <f>_xlfn.IFERROR(生产日报2取值!I10,"")</f>
        <v>16921</v>
      </c>
      <c r="N10" s="309" t="str">
        <f>IF(生产日报2取值!J10=0,"",生产日报2取值!J10)</f>
        <v/>
      </c>
      <c r="O10" s="297"/>
      <c r="P10" s="297"/>
    </row>
    <row customHeight="1" ht="15.75">
      <c r="A11" s="297"/>
      <c r="B11" s="252" t="s">
        <v>24</v>
      </c>
      <c r="C11" s="253"/>
      <c r="D11" s="448" t="str">
        <f>IF(生产日报2取值!D11=0,"",生产日报2取值!D11)</f>
        <v/>
      </c>
      <c r="E11" s="305">
        <f>IF(生产日报2取值!E11=0,"",生产日报2取值!E11)</f>
        <v>6156</v>
      </c>
      <c r="F11" s="302"/>
      <c r="G11" s="302" t="str">
        <f>IF(生产日报2取值!F11=0,"",生产日报2取值!F11)</f>
        <v/>
      </c>
      <c r="H11" s="302"/>
      <c r="I11" s="302" t="str">
        <f>IF(生产日报2取值!G11=0,"",生产日报2取值!G11)</f>
        <v/>
      </c>
      <c r="J11" s="302"/>
      <c r="K11" s="302">
        <f>IF(生产日报2取值!H11=0,"",生产日报2取值!H11)</f>
        <v>11752</v>
      </c>
      <c r="L11" s="302"/>
      <c r="M11" s="302">
        <f>_xlfn.IFERROR(生产日报2取值!I11,"")</f>
        <v>17908</v>
      </c>
      <c r="N11" s="309" t="str">
        <f>IF(生产日报2取值!J11=0,"",生产日报2取值!J11)</f>
        <v/>
      </c>
      <c r="O11" s="297"/>
      <c r="P11" s="297"/>
    </row>
    <row customHeight="1" ht="15.75">
      <c r="A12" s="297"/>
      <c r="B12" s="252" t="s">
        <v>25</v>
      </c>
      <c r="C12" s="253"/>
      <c r="D12" s="448" t="str">
        <f>IF(生产日报2取值!D12=0,"",生产日报2取值!D12)</f>
        <v/>
      </c>
      <c r="E12" s="305">
        <f>IF(生产日报2取值!E12=0,"",生产日报2取值!E12)</f>
        <v>6135</v>
      </c>
      <c r="F12" s="302"/>
      <c r="G12" s="302" t="str">
        <f>IF(生产日报2取值!F12=0,"",生产日报2取值!F12)</f>
        <v/>
      </c>
      <c r="H12" s="302"/>
      <c r="I12" s="302" t="str">
        <f>IF(生产日报2取值!G12=0,"",生产日报2取值!G12)</f>
        <v/>
      </c>
      <c r="J12" s="302"/>
      <c r="K12" s="302">
        <f>IF(生产日报2取值!H12=0,"",生产日报2取值!H12)</f>
        <v>12354</v>
      </c>
      <c r="L12" s="302"/>
      <c r="M12" s="302">
        <f>_xlfn.IFERROR(生产日报2取值!I12,"")</f>
        <v>18489</v>
      </c>
      <c r="N12" s="309" t="str">
        <f>IF(生产日报2取值!J12=0,"",生产日报2取值!J12)</f>
        <v/>
      </c>
      <c r="O12" s="297"/>
      <c r="P12" s="297"/>
    </row>
    <row customHeight="1" ht="15.75">
      <c r="A13" s="297"/>
      <c r="B13" s="252" t="s">
        <v>26</v>
      </c>
      <c r="C13" s="253"/>
      <c r="D13" s="448" t="str">
        <f>IF(生产日报2取值!D13=0,"",生产日报2取值!D13)</f>
        <v/>
      </c>
      <c r="E13" s="305">
        <f>IF(生产日报2取值!E13=0,"",生产日报2取值!E13)</f>
        <v>2187</v>
      </c>
      <c r="F13" s="302"/>
      <c r="G13" s="302" t="str">
        <f>IF(生产日报2取值!F13=0,"",生产日报2取值!F13)</f>
        <v/>
      </c>
      <c r="H13" s="302"/>
      <c r="I13" s="302" t="str">
        <f>IF(生产日报2取值!G13=0,"",生产日报2取值!G13)</f>
        <v/>
      </c>
      <c r="J13" s="302"/>
      <c r="K13" s="302">
        <f>IF(生产日报2取值!H13=0,"",生产日报2取值!H13)</f>
        <v>4401</v>
      </c>
      <c r="L13" s="302"/>
      <c r="M13" s="302">
        <f>_xlfn.IFERROR(生产日报2取值!I13,"")</f>
        <v>6588</v>
      </c>
      <c r="N13" s="309" t="str">
        <f>IF(生产日报2取值!J13=0,"",生产日报2取值!J13)</f>
        <v/>
      </c>
      <c r="O13" s="297"/>
      <c r="P13" s="297"/>
    </row>
    <row customHeight="1" ht="15.75">
      <c r="A14" s="297"/>
      <c r="B14" s="252" t="s">
        <v>27</v>
      </c>
      <c r="C14" s="253"/>
      <c r="D14" s="448" t="str">
        <f>IF(生产日报2取值!D14=0,"",生产日报2取值!D14)</f>
        <v/>
      </c>
      <c r="E14" s="305">
        <f>IF(生产日报2取值!E14=0,"",生产日报2取值!E14)</f>
        <v>3756</v>
      </c>
      <c r="F14" s="302"/>
      <c r="G14" s="302" t="str">
        <f>IF(生产日报2取值!F14=0,"",生产日报2取值!F14)</f>
        <v/>
      </c>
      <c r="H14" s="302"/>
      <c r="I14" s="302" t="str">
        <f>IF(生产日报2取值!G14=0,"",生产日报2取值!G14)</f>
        <v/>
      </c>
      <c r="J14" s="302"/>
      <c r="K14" s="302">
        <f>IF(生产日报2取值!H14=0,"",生产日报2取值!H14)</f>
        <v>7442</v>
      </c>
      <c r="L14" s="302"/>
      <c r="M14" s="302">
        <f>_xlfn.IFERROR(生产日报2取值!I14,"")</f>
        <v>11198</v>
      </c>
      <c r="N14" s="309" t="str">
        <f>IF(生产日报2取值!J14=0,"",生产日报2取值!J14)</f>
        <v/>
      </c>
      <c r="O14" s="297"/>
      <c r="P14" s="297"/>
    </row>
    <row customHeight="1" ht="15.75">
      <c r="A15" s="297"/>
      <c r="B15" s="252" t="s">
        <v>28</v>
      </c>
      <c r="C15" s="253"/>
      <c r="D15" s="448" t="str">
        <f>IF(生产日报2取值!D15=0,"",生产日报2取值!D15)</f>
        <v/>
      </c>
      <c r="E15" s="305" t="str">
        <f>IF(生产日报2取值!E15=0,"",生产日报2取值!E15)</f>
        <v/>
      </c>
      <c r="F15" s="302"/>
      <c r="G15" s="302" t="str">
        <f>IF(生产日报2取值!F15=0,"",生产日报2取值!F15)</f>
        <v/>
      </c>
      <c r="H15" s="302"/>
      <c r="I15" s="302">
        <f>IF(生产日报2取值!G15=0,"",生产日报2取值!G15)</f>
        <v>3189</v>
      </c>
      <c r="J15" s="302"/>
      <c r="K15" s="302">
        <f>IF(生产日报2取值!H15=0,"",生产日报2取值!H15)</f>
        <v>3976</v>
      </c>
      <c r="L15" s="302"/>
      <c r="M15" s="302">
        <f>_xlfn.IFERROR(生产日报2取值!I15,"")</f>
        <v>7165</v>
      </c>
      <c r="N15" s="309" t="str">
        <f>IF(生产日报2取值!J15=0,"",生产日报2取值!J15)</f>
        <v/>
      </c>
      <c r="O15" s="297"/>
      <c r="P15" s="297"/>
    </row>
    <row customHeight="1" ht="15.75">
      <c r="A16" s="297"/>
      <c r="B16" s="252" t="s">
        <v>29</v>
      </c>
      <c r="C16" s="253"/>
      <c r="D16" s="448" t="str">
        <f>IF(生产日报2取值!D16=0,"",生产日报2取值!D16)</f>
        <v/>
      </c>
      <c r="E16" s="305">
        <f>IF(生产日报2取值!E16=0,"",生产日报2取值!E16)</f>
        <v>2164</v>
      </c>
      <c r="F16" s="302"/>
      <c r="G16" s="302" t="str">
        <f>IF(生产日报2取值!F16=0,"",生产日报2取值!F16)</f>
        <v/>
      </c>
      <c r="H16" s="302"/>
      <c r="I16" s="302" t="str">
        <f>IF(生产日报2取值!G16=0,"",生产日报2取值!G16)</f>
        <v/>
      </c>
      <c r="J16" s="302"/>
      <c r="K16" s="302" t="str">
        <f>IF(生产日报2取值!H16=0,"",生产日报2取值!H16)</f>
        <v/>
      </c>
      <c r="L16" s="302"/>
      <c r="M16" s="302">
        <f>_xlfn.IFERROR(生产日报2取值!I16,"")</f>
        <v>2164</v>
      </c>
      <c r="N16" s="309" t="str">
        <f>IF(生产日报2取值!J16=0,"",生产日报2取值!J16)</f>
        <v/>
      </c>
      <c r="O16" s="297"/>
      <c r="P16" s="297"/>
    </row>
    <row customHeight="1" ht="15.75">
      <c r="A17" s="297"/>
      <c r="B17" s="252" t="s">
        <v>30</v>
      </c>
      <c r="C17" s="253"/>
      <c r="D17" s="448" t="str">
        <f>IF(生产日报2取值!D17=0,"",生产日报2取值!D17)</f>
        <v/>
      </c>
      <c r="E17" s="305">
        <f>IF(生产日报2取值!E17=0,"",生产日报2取值!E17)</f>
        <v>2564</v>
      </c>
      <c r="F17" s="302"/>
      <c r="G17" s="302" t="str">
        <f>IF(生产日报2取值!F17=0,"",生产日报2取值!F17)</f>
        <v/>
      </c>
      <c r="H17" s="302"/>
      <c r="I17" s="302" t="str">
        <f>IF(生产日报2取值!G17=0,"",生产日报2取值!G17)</f>
        <v/>
      </c>
      <c r="J17" s="302"/>
      <c r="K17" s="302" t="str">
        <f>IF(生产日报2取值!H17=0,"",生产日报2取值!H17)</f>
        <v/>
      </c>
      <c r="L17" s="302"/>
      <c r="M17" s="302">
        <f>_xlfn.IFERROR(生产日报2取值!I17,"")</f>
        <v>2564</v>
      </c>
      <c r="N17" s="309" t="str">
        <f>IF(生产日报2取值!J17=0,"",生产日报2取值!J17)</f>
        <v/>
      </c>
      <c r="O17" s="297"/>
      <c r="P17" s="297"/>
    </row>
    <row customHeight="1" ht="15.75">
      <c r="A18" s="297"/>
      <c r="B18" s="252" t="s">
        <v>31</v>
      </c>
      <c r="C18" s="253"/>
      <c r="D18" s="448" t="str">
        <f>IF(生产日报2取值!D18=0,"",生产日报2取值!D18)</f>
        <v/>
      </c>
      <c r="E18" s="305">
        <f>IF(生产日报2取值!E18=0,"",生产日报2取值!E18)</f>
        <v>1155</v>
      </c>
      <c r="F18" s="302"/>
      <c r="G18" s="302" t="str">
        <f>IF(生产日报2取值!F18=0,"",生产日报2取值!F18)</f>
        <v/>
      </c>
      <c r="H18" s="302"/>
      <c r="I18" s="302" t="str">
        <f>IF(生产日报2取值!G18=0,"",生产日报2取值!G18)</f>
        <v/>
      </c>
      <c r="J18" s="302"/>
      <c r="K18" s="302" t="str">
        <f>IF(生产日报2取值!H18=0,"",生产日报2取值!H18)</f>
        <v/>
      </c>
      <c r="L18" s="302"/>
      <c r="M18" s="302">
        <f>_xlfn.IFERROR(生产日报2取值!I18,"")</f>
        <v>1155</v>
      </c>
      <c r="N18" s="309" t="str">
        <f>IF(生产日报2取值!J18=0,"",生产日报2取值!J18)</f>
        <v/>
      </c>
      <c r="O18" s="297"/>
      <c r="P18" s="297"/>
    </row>
    <row customHeight="1" ht="15.75">
      <c r="A19" s="297"/>
      <c r="B19" s="247" t="s">
        <v>32</v>
      </c>
      <c r="C19" s="248"/>
      <c r="D19" s="448" t="str">
        <f>IF(生产日报2取值!D19=0,"",生产日报2取值!D19)</f>
        <v/>
      </c>
      <c r="E19" s="305">
        <f>IF(生产日报2取值!E19=0,"",生产日报2取值!E19)</f>
        <v>2974</v>
      </c>
      <c r="F19" s="302"/>
      <c r="G19" s="302" t="str">
        <f>IF(生产日报2取值!F19=0,"",生产日报2取值!F19)</f>
        <v/>
      </c>
      <c r="H19" s="302"/>
      <c r="I19" s="302" t="str">
        <f>IF(生产日报2取值!G19=0,"",生产日报2取值!G19)</f>
        <v/>
      </c>
      <c r="J19" s="302"/>
      <c r="K19" s="302" t="str">
        <f>IF(生产日报2取值!H19=0,"",生产日报2取值!H19)</f>
        <v/>
      </c>
      <c r="L19" s="302"/>
      <c r="M19" s="302">
        <f>_xlfn.IFERROR(生产日报2取值!I19,"")</f>
        <v>2974</v>
      </c>
      <c r="N19" s="309" t="str">
        <f>IF(生产日报2取值!J19=0,"",生产日报2取值!J19)</f>
        <v/>
      </c>
      <c r="O19" s="297"/>
      <c r="P19" s="297"/>
    </row>
    <row customHeight="1" ht="15.75">
      <c r="A20" s="297"/>
      <c r="B20" s="250" t="s">
        <v>33</v>
      </c>
      <c r="C20" s="251"/>
      <c r="D20" s="448" t="str">
        <f>IF(生产日报2取值!D20=0,"",生产日报2取值!D20)</f>
        <v/>
      </c>
      <c r="E20" s="305">
        <f>IF(生产日报2取值!E20=0,"",生产日报2取值!E20)</f>
        <v>611</v>
      </c>
      <c r="F20" s="302"/>
      <c r="G20" s="302" t="str">
        <f>IF(生产日报2取值!F20=0,"",生产日报2取值!F20)</f>
        <v/>
      </c>
      <c r="H20" s="302"/>
      <c r="I20" s="302" t="str">
        <f>IF(生产日报2取值!G20=0,"",生产日报2取值!G20)</f>
        <v/>
      </c>
      <c r="J20" s="302"/>
      <c r="K20" s="302" t="str">
        <f>IF(生产日报2取值!H20=0,"",生产日报2取值!H20)</f>
        <v/>
      </c>
      <c r="L20" s="302"/>
      <c r="M20" s="302">
        <f>_xlfn.IFERROR(生产日报2取值!I20,"")</f>
        <v>611</v>
      </c>
      <c r="N20" s="309" t="str">
        <f>IF(生产日报2取值!J20=0,"",生产日报2取值!J20)</f>
        <v/>
      </c>
      <c r="O20" s="297"/>
      <c r="P20" s="297"/>
    </row>
    <row customHeight="1" ht="15.75">
      <c r="A21" s="297"/>
      <c r="B21" s="252" t="s">
        <v>34</v>
      </c>
      <c r="C21" s="253"/>
      <c r="D21" s="448" t="str">
        <f>IF(生产日报2取值!D21=0,"",生产日报2取值!D21)</f>
        <v/>
      </c>
      <c r="E21" s="305" t="str">
        <f>IF(生产日报2取值!E21=0,"",生产日报2取值!E21)</f>
        <v/>
      </c>
      <c r="F21" s="302"/>
      <c r="G21" s="302">
        <f>IF(生产日报2取值!F21=0,"",生产日报2取值!F21)</f>
        <v>12962</v>
      </c>
      <c r="H21" s="302"/>
      <c r="I21" s="302">
        <f>IF(生产日报2取值!G21=0,"",生产日报2取值!G21)</f>
        <v>14313</v>
      </c>
      <c r="J21" s="302"/>
      <c r="K21" s="302">
        <f>IF(生产日报2取值!H21=0,"",生产日报2取值!H21)</f>
        <v>29145</v>
      </c>
      <c r="L21" s="302"/>
      <c r="M21" s="302">
        <f>_xlfn.IFERROR(生产日报2取值!I21,"")</f>
        <v>56420</v>
      </c>
      <c r="N21" s="309" t="str">
        <f>IF(生产日报2取值!J21=0,"",生产日报2取值!J21)</f>
        <v/>
      </c>
      <c r="O21" s="297"/>
      <c r="P21" s="297"/>
    </row>
    <row customHeight="1" ht="15.75">
      <c r="A22" s="297"/>
      <c r="B22" s="252" t="s">
        <v>35</v>
      </c>
      <c r="C22" s="253"/>
      <c r="D22" s="448" t="str">
        <f>IF(生产日报2取值!D22=0,"",生产日报2取值!D22)</f>
        <v/>
      </c>
      <c r="E22" s="306" t="str">
        <f>IF(生产日报2取值!E22=0,"",生产日报2取值!E22)</f>
        <v/>
      </c>
      <c r="F22" s="307"/>
      <c r="G22" s="302">
        <f>IF(生产日报2取值!F22=0,"",生产日报2取值!F22)</f>
        <v>23859</v>
      </c>
      <c r="H22" s="302"/>
      <c r="I22" s="302">
        <f>IF(生产日报2取值!G22=0,"",生产日报2取值!G22)</f>
        <v>33634</v>
      </c>
      <c r="J22" s="302"/>
      <c r="K22" s="302">
        <f>IF(生产日报2取值!H22=0,"",生产日报2取值!H22)</f>
        <v>34345</v>
      </c>
      <c r="L22" s="302"/>
      <c r="M22" s="302">
        <f>_xlfn.IFERROR(生产日报2取值!I22,"")</f>
        <v>91838</v>
      </c>
      <c r="N22" s="309" t="str">
        <f>IF(生产日报2取值!J22=0,"",生产日报2取值!J22)</f>
        <v/>
      </c>
      <c r="O22" s="297"/>
      <c r="P22" s="297"/>
    </row>
    <row customHeight="1" ht="15.75">
      <c r="A23" s="297"/>
      <c r="B23" s="254" t="s">
        <v>36</v>
      </c>
      <c r="C23" s="254"/>
      <c r="D23" s="240"/>
      <c r="E23" s="302" t="str">
        <f>IF(生产日报2取值!E23=0,"",生产日报2取值!E23)</f>
        <v/>
      </c>
      <c r="F23" s="302"/>
      <c r="G23" s="302" t="str">
        <f>IF(生产日报2取值!F23=0,"",生产日报2取值!F23)</f>
        <v/>
      </c>
      <c r="H23" s="302"/>
      <c r="I23" s="302" t="str">
        <f>IF(生产日报2取值!G23=0,"",生产日报2取值!G23)</f>
        <v/>
      </c>
      <c r="J23" s="302"/>
      <c r="K23" s="302" t="str">
        <f>IF(生产日报2取值!H23=0,"",生产日报2取值!H23)</f>
        <v/>
      </c>
      <c r="L23" s="302"/>
      <c r="M23" s="245"/>
      <c r="N23" s="309" t="str">
        <f>IF(生产日报2取值!J23=0,"",生产日报2取值!J23)</f>
        <v/>
      </c>
      <c r="O23" s="297"/>
      <c r="P23" s="297"/>
    </row>
    <row customHeight="1" ht="15.75">
      <c r="A24" s="297"/>
      <c r="B24" s="252" t="s">
        <v>37</v>
      </c>
      <c r="C24" s="252"/>
      <c r="D24" s="456" t="str">
        <f>IF(生产日报2取值!D24=0,"",生产日报2取值!D24)</f>
        <v/>
      </c>
      <c r="E24" s="309">
        <f>IF(生产日报2取值!E24=0,"",生产日报2取值!E24)</f>
        <v>48.5474006116208</v>
      </c>
      <c r="F24" s="309"/>
      <c r="G24" s="309">
        <f>IF(生产日报2取值!F24=0,"",生产日报2取值!F24)</f>
        <v>49.1211110574057</v>
      </c>
      <c r="H24" s="309"/>
      <c r="I24" s="309">
        <f>IF(生产日报2取值!G24=0,"",生产日报2取值!G24)</f>
        <v>52.8378679159291</v>
      </c>
      <c r="J24" s="309"/>
      <c r="K24" s="309" t="str">
        <f>IF(生产日报2取值!H24=0,"",生产日报2取值!H24)</f>
        <v/>
      </c>
      <c r="L24" s="309"/>
      <c r="M24" s="102">
        <f>IF(生产日报2取值!I24=0,"",生产日报2取值!I24)</f>
        <v>50.1539381912627</v>
      </c>
      <c r="N24" s="309"/>
      <c r="O24" s="297"/>
      <c r="P24" s="297"/>
    </row>
    <row customHeight="1" ht="15.75">
      <c r="A25" s="297"/>
      <c r="B25" s="252" t="s">
        <v>38</v>
      </c>
      <c r="C25" s="252"/>
      <c r="D25" s="456" t="str">
        <f>IF(生产日报2取值!D25=0,"",生产日报2取值!D25)</f>
        <v/>
      </c>
      <c r="E25" s="309">
        <f>IF(生产日报2取值!E25=0,"",生产日报2取值!E25)</f>
        <v>71.4520547945205</v>
      </c>
      <c r="F25" s="309"/>
      <c r="G25" s="309">
        <f>IF(生产日报2取值!F25=0,"",生产日报2取值!F25)</f>
        <v>71.197096134416</v>
      </c>
      <c r="H25" s="309"/>
      <c r="I25" s="309">
        <f>IF(生产日报2取值!G25=0,"",生产日报2取值!G25)</f>
        <v>70.180081327051</v>
      </c>
      <c r="J25" s="309"/>
      <c r="K25" s="309" t="str">
        <f>IF(生产日报2取值!H25=0,"",生产日报2取值!H25)</f>
        <v/>
      </c>
      <c r="L25" s="309"/>
      <c r="M25" s="102">
        <f>IF(生产日报2取值!I25=0,"",生产日报2取值!I25)</f>
        <v>71.0660576658122</v>
      </c>
      <c r="N25" s="309"/>
      <c r="O25" s="297"/>
      <c r="P25" s="297"/>
    </row>
    <row customHeight="1" ht="15.75">
      <c r="A26" s="297"/>
      <c r="B26" s="252" t="s">
        <v>109</v>
      </c>
      <c r="C26" s="252"/>
      <c r="D26" s="456" t="str">
        <f>IF(生产日报2取值!D26=0,"",生产日报2取值!D26)</f>
        <v/>
      </c>
      <c r="E26" s="309">
        <f>IF(生产日报2取值!E26=0,"",生产日报2取值!E26)</f>
        <v>16.4464141821112</v>
      </c>
      <c r="F26" s="309"/>
      <c r="G26" s="309">
        <f>IF(生产日报2取值!F26=0,"",生产日报2取值!F26)</f>
        <v>16.023650039292</v>
      </c>
      <c r="H26" s="309"/>
      <c r="I26" s="309">
        <f>IF(生产日报2取值!G26=0,"",生产日报2取值!G26)</f>
        <v>14.7550506680436</v>
      </c>
      <c r="J26" s="309"/>
      <c r="K26" s="309" t="str">
        <f>IF(生产日报2取值!H26=0,"",生产日报2取值!H26)</f>
        <v/>
      </c>
      <c r="L26" s="309"/>
      <c r="M26" s="102">
        <f>IF(生产日报2取值!I26=0,"",生产日报2取值!I26)</f>
        <v>15.9187109014744</v>
      </c>
      <c r="N26" s="309"/>
      <c r="O26" s="297"/>
      <c r="P26" s="297"/>
    </row>
    <row customHeight="1" ht="15.75">
      <c r="A27" s="297"/>
      <c r="B27" s="252" t="s">
        <v>40</v>
      </c>
      <c r="C27" s="252"/>
      <c r="D27" s="456" t="str">
        <f>IF(生产日报2取值!D27=0,"",生产日报2取值!D27)</f>
        <v/>
      </c>
      <c r="E27" s="309" t="str">
        <f>IF(生产日报2取值!E27=0,"",生产日报2取值!E27)</f>
        <v/>
      </c>
      <c r="F27" s="309"/>
      <c r="G27" s="309">
        <f>IF(生产日报2取值!F27=0,"",生产日报2取值!F27)</f>
        <v>93.4599156118144</v>
      </c>
      <c r="H27" s="309"/>
      <c r="I27" s="309">
        <f>IF(生产日报2取值!G27=0,"",生产日报2取值!G27)</f>
        <v>93.2087921504777</v>
      </c>
      <c r="J27" s="309"/>
      <c r="K27" s="309">
        <f>IF(生产日报2取值!H27=0,"",生产日报2取值!H27)</f>
        <v>93.2164914037723</v>
      </c>
      <c r="L27" s="309"/>
      <c r="M27" s="102">
        <f>IF(生产日报2取值!I27=0,"",生产日报2取值!I27)</f>
        <v>93.2314107018763</v>
      </c>
      <c r="N27" s="309"/>
      <c r="O27" s="297"/>
      <c r="P27" s="297"/>
    </row>
    <row customHeight="1" ht="15.75">
      <c r="A28" s="297"/>
      <c r="B28" s="252" t="s">
        <v>41</v>
      </c>
      <c r="C28" s="252"/>
      <c r="D28" s="456" t="str">
        <f>IF(生产日报2取值!D28=0,"",生产日报2取值!D28)</f>
        <v/>
      </c>
      <c r="E28" s="309" t="str">
        <f>IF(生产日报2取值!E28=0,"",生产日报2取值!E28)</f>
        <v/>
      </c>
      <c r="F28" s="309"/>
      <c r="G28" s="309" t="str">
        <f>IF(生产日报2取值!F28=0,"",生产日报2取值!F28)</f>
        <v/>
      </c>
      <c r="H28" s="309"/>
      <c r="I28" s="309" t="str">
        <f>IF(生产日报2取值!G28=0,"",生产日报2取值!G28)</f>
        <v/>
      </c>
      <c r="J28" s="309"/>
      <c r="K28" s="309">
        <f>IF(生产日报2取值!H28=0,"",生产日报2取值!H28)</f>
        <v>99.7281484545831</v>
      </c>
      <c r="L28" s="309"/>
      <c r="M28" s="102">
        <f>IF(生产日报2取值!I28=0,"",生产日报2取值!I28)</f>
        <v>99.7281484545831</v>
      </c>
      <c r="N28" s="309"/>
      <c r="O28" s="297"/>
      <c r="P28" s="297"/>
    </row>
    <row customHeight="1" ht="15.75">
      <c r="A29" s="297"/>
      <c r="B29" s="252" t="s">
        <v>42</v>
      </c>
      <c r="C29" s="252"/>
      <c r="D29" s="456" t="str">
        <f>IF(生产日报2取值!D29=0,"",生产日报2取值!D29)</f>
        <v/>
      </c>
      <c r="E29" s="309">
        <f>IF(生产日报2取值!E29=0,"",生产日报2取值!E29)</f>
        <v>99.6577017114914</v>
      </c>
      <c r="F29" s="309"/>
      <c r="G29" s="309" t="str">
        <f>IF(生产日报2取值!F29=0,"",生产日报2取值!F29)</f>
        <v/>
      </c>
      <c r="H29" s="309"/>
      <c r="I29" s="309" t="str">
        <f>IF(生产日报2取值!G29=0,"",生产日报2取值!G29)</f>
        <v/>
      </c>
      <c r="J29" s="309"/>
      <c r="K29" s="309">
        <f>IF(生产日报2取值!H29=0,"",生产日报2取值!H29)</f>
        <v>97.9520802978792</v>
      </c>
      <c r="L29" s="309"/>
      <c r="M29" s="102">
        <f>IF(生产日报2取值!I29=0,"",生产日报2取值!I29)</f>
        <v>98.518037752177</v>
      </c>
      <c r="N29" s="309"/>
      <c r="O29" s="297"/>
      <c r="P29" s="297"/>
    </row>
    <row customHeight="1" ht="15.75">
      <c r="A30" s="297"/>
      <c r="B30" s="250" t="s">
        <v>89</v>
      </c>
      <c r="C30" s="250"/>
      <c r="D30" s="456" t="str">
        <f>IF(生产日报2取值!D30=0,"",生产日报2取值!D30)</f>
        <v/>
      </c>
      <c r="E30" s="309">
        <f>IF(生产日报2取值!E30=0,"",生产日报2取值!E30)</f>
        <v>27.6283618581907</v>
      </c>
      <c r="F30" s="309"/>
      <c r="G30" s="309" t="str">
        <f>IF(生产日报2取值!F30=0,"",生产日报2取值!F30)</f>
        <v/>
      </c>
      <c r="H30" s="309"/>
      <c r="I30" s="309" t="str">
        <f>IF(生产日报2取值!G30=0,"",生产日报2取值!G30)</f>
        <v/>
      </c>
      <c r="J30" s="309"/>
      <c r="K30" s="309">
        <f>IF(生产日报2取值!H30=0,"",生产日报2取值!H30)</f>
        <v>26.7443742917274</v>
      </c>
      <c r="L30" s="309"/>
      <c r="M30" s="102">
        <f>IF(生产日报2取值!I30=0,"",生产日报2取值!I30)</f>
        <v>27.0376980907567</v>
      </c>
      <c r="N30" s="309"/>
      <c r="O30" s="297"/>
      <c r="P30" s="297"/>
    </row>
    <row customHeight="1" ht="15.75">
      <c r="A31" s="297"/>
      <c r="B31" s="252" t="s">
        <v>44</v>
      </c>
      <c r="C31" s="252"/>
      <c r="D31" s="456" t="str">
        <f>IF(生产日报2取值!D31=0,"",生产日报2取值!D31)</f>
        <v/>
      </c>
      <c r="E31" s="309">
        <f>IF(生产日报2取值!E31=0,"",生产日报2取值!E31)</f>
        <v>96.0219478737997</v>
      </c>
      <c r="F31" s="309"/>
      <c r="G31" s="309" t="str">
        <f>IF(生产日报2取值!F31=0,"",生产日报2取值!F31)</f>
        <v/>
      </c>
      <c r="H31" s="309"/>
      <c r="I31" s="309" t="str">
        <f>IF(生产日报2取值!G31=0,"",生产日报2取值!G31)</f>
        <v/>
      </c>
      <c r="J31" s="309"/>
      <c r="K31" s="309">
        <f>IF(生产日报2取值!H31=0,"",生产日报2取值!H31)</f>
        <v>97.0020449897751</v>
      </c>
      <c r="L31" s="309"/>
      <c r="M31" s="102">
        <f>IF(生产日报2取值!I31=0,"",生产日报2取值!I31)</f>
        <v>96.6766848816029</v>
      </c>
      <c r="N31" s="309"/>
      <c r="O31" s="297"/>
      <c r="P31" s="297"/>
    </row>
    <row customHeight="1" ht="15.75">
      <c r="A32" s="297"/>
      <c r="B32" s="252" t="s">
        <v>45</v>
      </c>
      <c r="C32" s="252"/>
      <c r="D32" s="456" t="str">
        <f>IF(生产日报2取值!D32=0,"",生产日报2取值!D32)</f>
        <v/>
      </c>
      <c r="E32" s="309">
        <f>IF(生产日报2取值!E32=0,"",生产日报2取值!E32)</f>
        <v>18.3173588924388</v>
      </c>
      <c r="F32" s="309"/>
      <c r="G32" s="309" t="str">
        <f>IF(生产日报2取值!F32=0,"",生产日报2取值!F32)</f>
        <v/>
      </c>
      <c r="H32" s="309"/>
      <c r="I32" s="309" t="str">
        <f>IF(生产日报2取值!G32=0,"",生产日报2取值!G32)</f>
        <v/>
      </c>
      <c r="J32" s="309"/>
      <c r="K32" s="309">
        <f>IF(生产日报2取值!H32=0,"",生产日报2取值!H32)</f>
        <v>15.6678312281645</v>
      </c>
      <c r="L32" s="309"/>
      <c r="M32" s="102">
        <f>IF(生产日报2取值!I32=0,"",生产日报2取值!I32)</f>
        <v>16.5565279514199</v>
      </c>
      <c r="N32" s="309"/>
      <c r="O32" s="297"/>
      <c r="P32" s="297"/>
    </row>
    <row customHeight="1" ht="15.75">
      <c r="A33" s="297"/>
      <c r="B33" s="252" t="s">
        <v>46</v>
      </c>
      <c r="C33" s="252"/>
      <c r="D33" s="456" t="str">
        <f>IF(生产日报2取值!D33=0,"",生产日报2取值!D33)</f>
        <v/>
      </c>
      <c r="E33" s="309" t="str">
        <f>IF(生产日报2取值!E33=0,"",生产日报2取值!E33)</f>
        <v/>
      </c>
      <c r="F33" s="309"/>
      <c r="G33" s="309" t="str">
        <f>IF(生产日报2取值!F33=0,"",生产日报2取值!F33)</f>
        <v/>
      </c>
      <c r="H33" s="309"/>
      <c r="I33" s="309" t="str">
        <f>IF(生产日报2取值!G33=0,"",生产日报2取值!G33)</f>
        <v/>
      </c>
      <c r="J33" s="309"/>
      <c r="K33" s="309">
        <f>_xlfn.IFERROR(IF(生产日报2取值!H33=0,"",生产日报2取值!H33),"")</f>
        <v>99.8022177823399</v>
      </c>
      <c r="L33" s="309"/>
      <c r="M33" s="102">
        <f>IF(生产日报2取值!I33=0,"",生产日报2取值!I33)</f>
        <v>66.3268534324142</v>
      </c>
      <c r="N33" s="309"/>
      <c r="O33" s="297"/>
      <c r="P33" s="297"/>
    </row>
    <row customHeight="1" ht="15.75">
      <c r="A34" s="297"/>
      <c r="B34" s="252" t="s">
        <v>47</v>
      </c>
      <c r="C34" s="252"/>
      <c r="D34" s="456" t="str">
        <f>IF(生产日报2取值!D34=0,"",生产日报2取值!D34)</f>
        <v/>
      </c>
      <c r="E34" s="309" t="str">
        <f>IF(生产日报2取值!E34=0,"",生产日报2取值!E34)</f>
        <v/>
      </c>
      <c r="F34" s="309"/>
      <c r="G34" s="309" t="str">
        <f>IF(生产日报2取值!F34=0,"",生产日报2取值!F34)</f>
        <v/>
      </c>
      <c r="H34" s="309"/>
      <c r="I34" s="309">
        <f>IF(生产日报2取值!G34=0,"",生产日报2取值!G34)</f>
        <v>94.0420194418313</v>
      </c>
      <c r="J34" s="309"/>
      <c r="K34" s="309">
        <f>IF(生产日报2取值!H34=0,"",生产日报2取值!H34)</f>
        <v>99.4718309859155</v>
      </c>
      <c r="L34" s="309"/>
      <c r="M34" s="102">
        <f>IF(生产日报2取值!I34=0,"",生产日报2取值!I34)</f>
        <v>97.0551290997906</v>
      </c>
      <c r="N34" s="309"/>
      <c r="O34" s="297"/>
      <c r="P34" s="297"/>
    </row>
    <row customHeight="1" ht="15.75">
      <c r="A35" s="297"/>
      <c r="B35" s="252" t="s">
        <v>48</v>
      </c>
      <c r="C35" s="252"/>
      <c r="D35" s="456" t="str">
        <f>IF(生产日报2取值!D35=0,"",生产日报2取值!D35)</f>
        <v/>
      </c>
      <c r="E35" s="309">
        <f>IF(生产日报2取值!E35=0,"",生产日报2取值!E35)</f>
        <v>43.8767550702028</v>
      </c>
      <c r="F35" s="309"/>
      <c r="G35" s="309" t="str">
        <f>IF(生产日报2取值!F35=0,"",生产日报2取值!F35)</f>
        <v/>
      </c>
      <c r="H35" s="309"/>
      <c r="I35" s="309" t="str">
        <f>IF(生产日报2取值!G35=0,"",生产日报2取值!G35)</f>
        <v/>
      </c>
      <c r="J35" s="309"/>
      <c r="K35" s="309" t="str">
        <f>IF(生产日报2取值!H35=0,"",生产日报2取值!H35)</f>
        <v/>
      </c>
      <c r="L35" s="309"/>
      <c r="M35" s="102">
        <f>IF(生产日报2取值!I35=0,"",生产日报2取值!I35)</f>
        <v>43.8767550702028</v>
      </c>
      <c r="N35" s="309"/>
      <c r="O35" s="297"/>
      <c r="P35" s="297"/>
    </row>
    <row customHeight="1" ht="15.75">
      <c r="A36" s="297"/>
      <c r="B36" s="252" t="s">
        <v>49</v>
      </c>
      <c r="C36" s="252"/>
      <c r="D36" s="456" t="str">
        <f>IF(生产日报2取值!D36=0,"",生产日报2取值!D36)</f>
        <v/>
      </c>
      <c r="E36" s="309">
        <f>IF(生产日报2取值!E36=0,"",生产日报2取值!E36)</f>
        <v>94.6302816901408</v>
      </c>
      <c r="F36" s="309"/>
      <c r="G36" s="309" t="str">
        <f>IF(生产日报2取值!F36=0,"",生产日报2取值!F36)</f>
        <v/>
      </c>
      <c r="H36" s="309"/>
      <c r="I36" s="309" t="str">
        <f>IF(生产日报2取值!G36=0,"",生产日报2取值!G36)</f>
        <v/>
      </c>
      <c r="J36" s="309"/>
      <c r="K36" s="309" t="str">
        <f>IF(生产日报2取值!H36=0,"",生产日报2取值!H36)</f>
        <v/>
      </c>
      <c r="L36" s="309"/>
      <c r="M36" s="102">
        <f>IF(生产日报2取值!I36=0,"",生产日报2取值!I36)</f>
        <v>94.6302816901408</v>
      </c>
      <c r="N36" s="309"/>
      <c r="O36" s="297"/>
      <c r="P36" s="297"/>
    </row>
    <row customHeight="1" ht="15.75">
      <c r="A37" s="297"/>
      <c r="B37" s="252" t="s">
        <v>50</v>
      </c>
      <c r="C37" s="252"/>
      <c r="D37" s="456" t="str">
        <f>IF(生产日报2取值!D37=0,"",生产日报2取值!D37)</f>
        <v/>
      </c>
      <c r="E37" s="309">
        <f>IF(生产日报2取值!E37=0,"",生产日报2取值!E37)</f>
        <v>37.9287155346335</v>
      </c>
      <c r="F37" s="309"/>
      <c r="G37" s="309" t="str">
        <f>IF(生产日报2取值!F37=0,"",生产日报2取值!F37)</f>
        <v/>
      </c>
      <c r="H37" s="309"/>
      <c r="I37" s="309" t="str">
        <f>IF(生产日报2取值!G37=0,"",生产日报2取值!G37)</f>
        <v/>
      </c>
      <c r="J37" s="309"/>
      <c r="K37" s="309" t="str">
        <f>IF(生产日报2取值!H37=0,"",生产日报2取值!H37)</f>
        <v/>
      </c>
      <c r="L37" s="309"/>
      <c r="M37" s="102">
        <f>IF(生产日报2取值!I37=0,"",生产日报2取值!I37)</f>
        <v>37.9287155346335</v>
      </c>
      <c r="N37" s="309"/>
      <c r="O37" s="297"/>
      <c r="P37" s="297"/>
    </row>
    <row customHeight="1" ht="15.75">
      <c r="A38" s="297"/>
      <c r="B38" s="252" t="s">
        <v>51</v>
      </c>
      <c r="C38" s="252"/>
      <c r="D38" s="456" t="str">
        <f>IF(生产日报2取值!D38=0,"",生产日报2取值!D38)</f>
        <v/>
      </c>
      <c r="E38" s="309" t="str">
        <f>IF(生产日报2取值!E38=0,"",生产日报2取值!E38)</f>
        <v/>
      </c>
      <c r="F38" s="309"/>
      <c r="G38" s="309">
        <f>IF(生产日报2取值!F38=0,"",生产日报2取值!F38)</f>
        <v>98.889060330196</v>
      </c>
      <c r="H38" s="309"/>
      <c r="I38" s="309">
        <f>IF(生产日报2取值!G38=0,"",生产日报2取值!G38)</f>
        <v>99.22448124083</v>
      </c>
      <c r="J38" s="309"/>
      <c r="K38" s="309">
        <f>IF(生产日报2取值!H38=0,"",生产日报2取值!H38)</f>
        <v>99.0084062446389</v>
      </c>
      <c r="L38" s="309"/>
      <c r="M38" s="102">
        <f>IF(生产日报2取值!I38=0,"",生产日报2取值!I38)</f>
        <v>99.0358029067707</v>
      </c>
      <c r="N38" s="309"/>
      <c r="O38" s="297"/>
      <c r="P38" s="297"/>
    </row>
    <row customHeight="1" ht="15.75">
      <c r="A39" s="297"/>
      <c r="B39" s="252" t="s">
        <v>52</v>
      </c>
      <c r="C39" s="252"/>
      <c r="D39" s="456" t="str">
        <f>IF(生产日报2取值!D39=0,"",生产日报2取值!D39)</f>
        <v/>
      </c>
      <c r="E39" s="309" t="str">
        <f>IF(生产日报2取值!E39=0,"",生产日报2取值!E39)</f>
        <v/>
      </c>
      <c r="F39" s="309"/>
      <c r="G39" s="309">
        <f>IF(生产日报2取值!F39=0,"",生产日报2取值!F39)</f>
        <v>99.2078460958129</v>
      </c>
      <c r="H39" s="309"/>
      <c r="I39" s="309">
        <f>IF(生产日报2取值!G39=0,"",生产日报2取值!G39)</f>
        <v>99.1675090682049</v>
      </c>
      <c r="J39" s="309"/>
      <c r="K39" s="309">
        <f>IF(生产日报2取值!H39=0,"",生产日报2取值!H39)</f>
        <v>99.1439802009026</v>
      </c>
      <c r="L39" s="309"/>
      <c r="M39" s="102">
        <f>IF(生产日报2取值!I39=0,"",生产日报2取值!I39)</f>
        <v>99.169189224504</v>
      </c>
      <c r="N39" s="309"/>
      <c r="O39" s="297"/>
      <c r="P39" s="297"/>
    </row>
    <row customHeight="1" ht="15.75">
      <c r="A40" s="297"/>
      <c r="B40" s="252" t="s">
        <v>53</v>
      </c>
      <c r="C40" s="252"/>
      <c r="D40" s="456" t="str">
        <f>IF(生产日报2取值!D40=0,"",生产日报2取值!D40)</f>
        <v/>
      </c>
      <c r="E40" s="309">
        <f>IF(生产日报2取值!E40=0,"",生产日报2取值!E40)</f>
        <v>94.8785253143051</v>
      </c>
      <c r="F40" s="309"/>
      <c r="G40" s="309">
        <f>IF(生产日报2取值!F40=0,"",生产日报2取值!F40)</f>
        <v>83.3325277522677</v>
      </c>
      <c r="H40" s="309"/>
      <c r="I40" s="309">
        <f>IF(生产日报2取值!G40=0,"",生产日报2取值!G40)</f>
        <v>75.822743219324</v>
      </c>
      <c r="J40" s="309"/>
      <c r="K40" s="309" t="str">
        <f>IF(生产日报2取值!H40=0,"",生产日报2取值!H40)</f>
        <v/>
      </c>
      <c r="L40" s="309"/>
      <c r="M40" s="102">
        <f>IF(生产日报2取值!I40=0,"",生产日报2取值!I40)</f>
        <v>85.7059999416348</v>
      </c>
      <c r="N40" s="309"/>
      <c r="O40" s="297"/>
      <c r="P40" s="297"/>
    </row>
    <row customHeight="1" ht="15.75">
      <c r="A41" s="297"/>
      <c r="B41" s="254" t="s">
        <v>54</v>
      </c>
      <c r="C41" s="254"/>
      <c r="D41" s="457" t="str">
        <f>IF(生产日报2取值!D41=0,"",生产日报2取值!D41)</f>
        <v/>
      </c>
      <c r="E41" s="302" t="str">
        <f>IF(生产日报2取值!E41=0,"",生产日报2取值!E41)</f>
        <v/>
      </c>
      <c r="F41" s="302"/>
      <c r="G41" s="302" t="str">
        <f>IF(生产日报2取值!F41=0,"",生产日报2取值!F41)</f>
        <v/>
      </c>
      <c r="H41" s="302"/>
      <c r="I41" s="302" t="str">
        <f>IF(生产日报2取值!G41=0,"",生产日报2取值!G41)</f>
        <v/>
      </c>
      <c r="J41" s="302"/>
      <c r="K41" s="302" t="str">
        <f>IF(生产日报2取值!H41=0,"",生产日报2取值!H41)</f>
        <v/>
      </c>
      <c r="L41" s="302"/>
      <c r="M41" s="322"/>
      <c r="N41" s="323"/>
      <c r="O41" s="297"/>
      <c r="P41" s="297"/>
    </row>
    <row customHeight="1" ht="15.75">
      <c r="A42" s="297"/>
      <c r="B42" s="252" t="s">
        <v>55</v>
      </c>
      <c r="C42" s="252"/>
      <c r="D42" s="448" t="str">
        <f>IF(生产日报2取值!D42=0,"",生产日报2取值!D42)</f>
        <v/>
      </c>
      <c r="E42" s="302" t="str">
        <f>IF(生产日报2取值!E42=0,"",生产日报2取值!E42)</f>
        <v/>
      </c>
      <c r="F42" s="302"/>
      <c r="G42" s="302">
        <f>IF(生产日报2取值!F42=0,"",生产日报2取值!F42)</f>
        <v>8741.1</v>
      </c>
      <c r="H42" s="302"/>
      <c r="I42" s="302" t="str">
        <f>IF(生产日报2取值!G42=0,"",生产日报2取值!G42)</f>
        <v/>
      </c>
      <c r="J42" s="302"/>
      <c r="K42" s="302" t="str">
        <f>IF(生产日报2取值!H42=0,"",生产日报2取值!H42)</f>
        <v/>
      </c>
      <c r="L42" s="302"/>
      <c r="M42" s="324">
        <f>SUM(E42:K42)</f>
        <v>8741.1</v>
      </c>
      <c r="N42" s="325"/>
      <c r="O42" s="297"/>
      <c r="P42" s="297"/>
    </row>
    <row customHeight="1" ht="15.75">
      <c r="A43" s="297"/>
      <c r="B43" s="311" t="s">
        <v>101</v>
      </c>
      <c r="C43" s="312"/>
      <c r="D43" s="448" t="str">
        <f>IF(生产日报2取值!D43=0,"",生产日报2取值!D43)</f>
        <v/>
      </c>
      <c r="E43" s="302" t="str">
        <f>IF(生产日报2取值!E43=0,"",生产日报2取值!E43)</f>
        <v/>
      </c>
      <c r="F43" s="302"/>
      <c r="G43" s="302" t="str">
        <f>IF(生产日报2取值!F43=0,"",生产日报2取值!F43)</f>
        <v/>
      </c>
      <c r="H43" s="302"/>
      <c r="I43" s="302" t="str">
        <f>IF(生产日报2取值!G43=0,"",生产日报2取值!G43)</f>
        <v/>
      </c>
      <c r="J43" s="302"/>
      <c r="K43" s="302" t="str">
        <f>IF(生产日报2取值!H43=0,"",生产日报2取值!H43)</f>
        <v/>
      </c>
      <c r="L43" s="302"/>
      <c r="M43" s="324">
        <f>_xlfn.IFERROR(生产日报2取值!I43,"")</f>
        <v>0</v>
      </c>
      <c r="N43" s="325"/>
      <c r="O43" s="297"/>
      <c r="P43" s="297"/>
    </row>
    <row customHeight="1" ht="15.75">
      <c r="A44" s="297"/>
      <c r="B44" s="313" t="s">
        <v>57</v>
      </c>
      <c r="C44" s="313"/>
      <c r="D44" s="464" t="str">
        <f>IF(生产日报2取值!D44=0,"",生产日报2取值!D44)</f>
        <v/>
      </c>
      <c r="E44" s="315">
        <f>IF(生产日报2取值!E44=0,"",生产日报2取值!E44)</f>
        <v>19355</v>
      </c>
      <c r="F44" s="315"/>
      <c r="G44" s="315">
        <f>IF(生产日报2取值!F44=0,"",生产日报2取值!F44)</f>
        <v>3925.46</v>
      </c>
      <c r="H44" s="315"/>
      <c r="I44" s="315">
        <f>IF(生产日报2取值!G44=0,"",生产日报2取值!G44)</f>
        <v>1369.42</v>
      </c>
      <c r="J44" s="315"/>
      <c r="K44" s="315" t="str">
        <f>IF(生产日报2取值!H44=0,"",生产日报2取值!H44)</f>
        <v/>
      </c>
      <c r="L44" s="315"/>
      <c r="M44" s="326">
        <f>_xlfn.IFERROR(生产日报2取值!I44,"")</f>
        <v>24649.88</v>
      </c>
      <c r="N44" s="327"/>
      <c r="O44" s="297"/>
      <c r="P44" s="297"/>
    </row>
    <row customHeight="1" ht="15.75">
      <c r="A45" s="297"/>
      <c r="B45" s="250" t="s">
        <v>103</v>
      </c>
      <c r="C45" s="250"/>
      <c r="D45" s="448" t="str">
        <f>IF(生产日报2取值!D45=0,"",生产日报2取值!D45)</f>
        <v/>
      </c>
      <c r="E45" s="302" t="str">
        <f>IF(生产日报2取值!E45=0,"",生产日报2取值!E45)</f>
        <v/>
      </c>
      <c r="F45" s="302"/>
      <c r="G45" s="302" t="str">
        <f>IF(生产日报2取值!F45=0,"",生产日报2取值!F45)</f>
        <v/>
      </c>
      <c r="H45" s="302"/>
      <c r="I45" s="302">
        <f>IF(生产日报2取值!G45=0,"",生产日报2取值!G45)</f>
        <v>4108.26</v>
      </c>
      <c r="J45" s="302"/>
      <c r="K45" s="302">
        <f>IF(生产日报2取值!H45=0,"",生产日报2取值!H45)</f>
        <v>24452.44</v>
      </c>
      <c r="L45" s="302"/>
      <c r="M45" s="84">
        <f>_xlfn.IFERROR(生产日报2取值!I45,"")</f>
        <v>28560.7</v>
      </c>
      <c r="N45" s="325"/>
      <c r="O45" s="297"/>
      <c r="P45" s="297"/>
    </row>
    <row customHeight="1" ht="15.75">
      <c r="A46" s="297"/>
      <c r="B46" s="88" t="s">
        <v>59</v>
      </c>
      <c r="C46" s="238" t="s">
        <v>60</v>
      </c>
      <c r="D46" s="222"/>
      <c r="E46" s="88" t="s">
        <v>110</v>
      </c>
      <c r="F46" s="88"/>
      <c r="G46" s="390" t="str">
        <f>IF(生产日报6!I33=0,"",生产日报6!I33)</f>
        <v>胡连鹏</v>
      </c>
      <c r="H46" s="238"/>
      <c r="I46" s="468"/>
      <c r="J46" s="468"/>
      <c r="K46" s="88" t="s">
        <v>111</v>
      </c>
      <c r="L46" s="88"/>
      <c r="M46" s="390" t="str">
        <f>IF(生产日报6!N33=0,"",生产日报6!N33)</f>
        <v>李阿君</v>
      </c>
      <c r="N46" s="469"/>
      <c r="O46" s="297"/>
      <c r="P46" s="297"/>
    </row>
    <row customHeight="1" ht="13.5">
      <c r="A47" s="29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297"/>
      <c r="O47" s="297"/>
      <c r="P47" s="297"/>
    </row>
  </sheetData>
  <mergeCells count="225">
    <mergeCell ref="B1:N1"/>
    <mergeCell ref="B2:C2"/>
    <mergeCell ref="D2:E2"/>
    <mergeCell ref="F2:G2"/>
    <mergeCell ref="H2:I2"/>
    <mergeCell ref="J2:L2"/>
    <mergeCell ref="M2:N2"/>
    <mergeCell ref="E3:F3"/>
    <mergeCell ref="G3:H3"/>
    <mergeCell ref="I3:J3"/>
    <mergeCell ref="K3:L3"/>
    <mergeCell ref="E4:F4"/>
    <mergeCell ref="G4:H4"/>
    <mergeCell ref="I4:J4"/>
    <mergeCell ref="K4:L4"/>
    <mergeCell ref="B5:C5"/>
    <mergeCell ref="D5:N5"/>
    <mergeCell ref="B6:C6"/>
    <mergeCell ref="E6:F6"/>
    <mergeCell ref="G6:H6"/>
    <mergeCell ref="I6:J6"/>
    <mergeCell ref="K6:L6"/>
    <mergeCell ref="B7:C7"/>
    <mergeCell ref="E7:F7"/>
    <mergeCell ref="G7:H7"/>
    <mergeCell ref="I7:J7"/>
    <mergeCell ref="K7:L7"/>
    <mergeCell ref="B8:C8"/>
    <mergeCell ref="E8:F8"/>
    <mergeCell ref="G8:H8"/>
    <mergeCell ref="I8:J8"/>
    <mergeCell ref="K8:L8"/>
    <mergeCell ref="B9:C9"/>
    <mergeCell ref="E9:F9"/>
    <mergeCell ref="G9:H9"/>
    <mergeCell ref="I9:J9"/>
    <mergeCell ref="K9:L9"/>
    <mergeCell ref="B10:C10"/>
    <mergeCell ref="E10:F10"/>
    <mergeCell ref="G10:H10"/>
    <mergeCell ref="I10:J10"/>
    <mergeCell ref="K10:L10"/>
    <mergeCell ref="B11:C11"/>
    <mergeCell ref="E11:F11"/>
    <mergeCell ref="G11:H11"/>
    <mergeCell ref="I11:J11"/>
    <mergeCell ref="K11:L11"/>
    <mergeCell ref="B12:C12"/>
    <mergeCell ref="E12:F12"/>
    <mergeCell ref="G12:H12"/>
    <mergeCell ref="I12:J12"/>
    <mergeCell ref="K12:L12"/>
    <mergeCell ref="B13:C13"/>
    <mergeCell ref="E13:F13"/>
    <mergeCell ref="G13:H13"/>
    <mergeCell ref="I13:J13"/>
    <mergeCell ref="K13:L13"/>
    <mergeCell ref="B14:C14"/>
    <mergeCell ref="E14:F14"/>
    <mergeCell ref="G14:H14"/>
    <mergeCell ref="I14:J14"/>
    <mergeCell ref="K14:L14"/>
    <mergeCell ref="B15:C15"/>
    <mergeCell ref="E15:F15"/>
    <mergeCell ref="G15:H15"/>
    <mergeCell ref="I15:J15"/>
    <mergeCell ref="K15:L15"/>
    <mergeCell ref="B16:C16"/>
    <mergeCell ref="E16:F16"/>
    <mergeCell ref="G16:H16"/>
    <mergeCell ref="I16:J16"/>
    <mergeCell ref="K16:L16"/>
    <mergeCell ref="B17:C17"/>
    <mergeCell ref="E17:F17"/>
    <mergeCell ref="G17:H17"/>
    <mergeCell ref="I17:J17"/>
    <mergeCell ref="K17:L17"/>
    <mergeCell ref="B18:C18"/>
    <mergeCell ref="E18:F18"/>
    <mergeCell ref="G18:H18"/>
    <mergeCell ref="I18:J18"/>
    <mergeCell ref="K18:L18"/>
    <mergeCell ref="B19:C19"/>
    <mergeCell ref="E19:F19"/>
    <mergeCell ref="G19:H19"/>
    <mergeCell ref="I19:J19"/>
    <mergeCell ref="K19:L19"/>
    <mergeCell ref="B20:C20"/>
    <mergeCell ref="E20:F20"/>
    <mergeCell ref="G20:H20"/>
    <mergeCell ref="I20:J20"/>
    <mergeCell ref="K20:L20"/>
    <mergeCell ref="B21:C21"/>
    <mergeCell ref="E21:F21"/>
    <mergeCell ref="G21:H21"/>
    <mergeCell ref="I21:J21"/>
    <mergeCell ref="K21:L21"/>
    <mergeCell ref="B22:C22"/>
    <mergeCell ref="E22:F22"/>
    <mergeCell ref="G22:H22"/>
    <mergeCell ref="I22:J22"/>
    <mergeCell ref="K22:L22"/>
    <mergeCell ref="B23:C23"/>
    <mergeCell ref="E23:F23"/>
    <mergeCell ref="G23:H23"/>
    <mergeCell ref="I23:J23"/>
    <mergeCell ref="K23:L23"/>
    <mergeCell ref="B24:C24"/>
    <mergeCell ref="E24:F24"/>
    <mergeCell ref="G24:H24"/>
    <mergeCell ref="I24:J24"/>
    <mergeCell ref="K24:L24"/>
    <mergeCell ref="B25:C25"/>
    <mergeCell ref="E25:F25"/>
    <mergeCell ref="G25:H25"/>
    <mergeCell ref="I25:J25"/>
    <mergeCell ref="K25:L25"/>
    <mergeCell ref="B26:C26"/>
    <mergeCell ref="E26:F26"/>
    <mergeCell ref="G26:H26"/>
    <mergeCell ref="I26:J26"/>
    <mergeCell ref="K26:L26"/>
    <mergeCell ref="B27:C27"/>
    <mergeCell ref="E27:F27"/>
    <mergeCell ref="G27:H27"/>
    <mergeCell ref="I27:J27"/>
    <mergeCell ref="K27:L27"/>
    <mergeCell ref="B28:C28"/>
    <mergeCell ref="E28:F28"/>
    <mergeCell ref="G28:H28"/>
    <mergeCell ref="I28:J28"/>
    <mergeCell ref="K28:L28"/>
    <mergeCell ref="B29:C29"/>
    <mergeCell ref="E29:F29"/>
    <mergeCell ref="G29:H29"/>
    <mergeCell ref="I29:J29"/>
    <mergeCell ref="K29:L29"/>
    <mergeCell ref="B30:C30"/>
    <mergeCell ref="E30:F30"/>
    <mergeCell ref="G30:H30"/>
    <mergeCell ref="I30:J30"/>
    <mergeCell ref="K30:L30"/>
    <mergeCell ref="B31:C31"/>
    <mergeCell ref="E31:F31"/>
    <mergeCell ref="G31:H31"/>
    <mergeCell ref="I31:J31"/>
    <mergeCell ref="K31:L31"/>
    <mergeCell ref="B32:C32"/>
    <mergeCell ref="E32:F32"/>
    <mergeCell ref="G32:H32"/>
    <mergeCell ref="I32:J32"/>
    <mergeCell ref="K32:L32"/>
    <mergeCell ref="B33:C33"/>
    <mergeCell ref="E33:F33"/>
    <mergeCell ref="G33:H33"/>
    <mergeCell ref="I33:J33"/>
    <mergeCell ref="K33:L33"/>
    <mergeCell ref="B34:C34"/>
    <mergeCell ref="E34:F34"/>
    <mergeCell ref="G34:H34"/>
    <mergeCell ref="I34:J34"/>
    <mergeCell ref="K34:L34"/>
    <mergeCell ref="B35:C35"/>
    <mergeCell ref="E35:F35"/>
    <mergeCell ref="G35:H35"/>
    <mergeCell ref="I35:J35"/>
    <mergeCell ref="K35:L35"/>
    <mergeCell ref="B36:C36"/>
    <mergeCell ref="E36:F36"/>
    <mergeCell ref="G36:H36"/>
    <mergeCell ref="I36:J36"/>
    <mergeCell ref="K36:L36"/>
    <mergeCell ref="B37:C37"/>
    <mergeCell ref="E37:F37"/>
    <mergeCell ref="G37:H37"/>
    <mergeCell ref="I37:J37"/>
    <mergeCell ref="K37:L37"/>
    <mergeCell ref="B38:C38"/>
    <mergeCell ref="E38:F38"/>
    <mergeCell ref="G38:H38"/>
    <mergeCell ref="I38:J38"/>
    <mergeCell ref="K38:L38"/>
    <mergeCell ref="B39:C39"/>
    <mergeCell ref="E39:F39"/>
    <mergeCell ref="G39:H39"/>
    <mergeCell ref="I39:J39"/>
    <mergeCell ref="K39:L39"/>
    <mergeCell ref="B40:C40"/>
    <mergeCell ref="E40:F40"/>
    <mergeCell ref="G40:H40"/>
    <mergeCell ref="I40:J40"/>
    <mergeCell ref="K40:L40"/>
    <mergeCell ref="B41:C41"/>
    <mergeCell ref="E41:F41"/>
    <mergeCell ref="G41:H41"/>
    <mergeCell ref="I41:J41"/>
    <mergeCell ref="K41:L41"/>
    <mergeCell ref="B42:C42"/>
    <mergeCell ref="E42:F42"/>
    <mergeCell ref="G42:H42"/>
    <mergeCell ref="I42:J42"/>
    <mergeCell ref="K42:L42"/>
    <mergeCell ref="B43:C43"/>
    <mergeCell ref="E43:F43"/>
    <mergeCell ref="G43:H43"/>
    <mergeCell ref="I43:J43"/>
    <mergeCell ref="K43:L43"/>
    <mergeCell ref="B44:C44"/>
    <mergeCell ref="E44:F44"/>
    <mergeCell ref="G44:H44"/>
    <mergeCell ref="I44:J44"/>
    <mergeCell ref="K44:L44"/>
    <mergeCell ref="B45:C45"/>
    <mergeCell ref="E45:F45"/>
    <mergeCell ref="G45:H45"/>
    <mergeCell ref="I45:J45"/>
    <mergeCell ref="K45:L45"/>
    <mergeCell ref="E46:F46"/>
    <mergeCell ref="G46:H46"/>
    <mergeCell ref="K46:L46"/>
    <mergeCell ref="M46:N46"/>
    <mergeCell ref="D3:D4"/>
    <mergeCell ref="M3:M4"/>
    <mergeCell ref="N3:N4"/>
    <mergeCell ref="B3:C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71E31D8-1865-9E58-91C8-5766A06107A8}" mc:Ignorable="x14ac xr xr2 xr3">
  <dimension ref="A1:O194"/>
  <sheetViews>
    <sheetView defaultGridColor="0" colorId="31" workbookViewId="0">
      <pane xSplit="3" ySplit="4" topLeftCell="D14" activePane="bottomRight" state="frozen"/>
      <selection pane="bottomLeft" activeCell="A5" sqref="A5"/>
      <selection pane="topRight" activeCell="D1" sqref="D1"/>
      <selection pane="bottomRight" activeCell="E35" sqref="E35"/>
    </sheetView>
  </sheetViews>
  <sheetFormatPr defaultColWidth="10.00390625" customHeight="1" defaultRowHeight="13.5"/>
  <cols>
    <col min="1" max="1" style="74" width="2.28125" customWidth="1"/>
    <col min="2" max="2" style="51" width="14.7109375" customWidth="1"/>
    <col min="3" max="3" style="51" width="11.28125" customWidth="1"/>
    <col min="4" max="4" style="51" width="9.7109375" customWidth="1"/>
    <col min="5" max="5" style="51" width="10.421875" customWidth="1"/>
    <col min="6" max="6" style="51" width="9.57421875" customWidth="1"/>
    <col min="7" max="7" style="51" width="7.7109375" customWidth="1"/>
    <col min="8" max="8" style="51" width="12.7109375" customWidth="1"/>
    <col min="9" max="9" style="51" width="8.140625" customWidth="1"/>
    <col min="10" max="10" style="51" width="10.00390625"/>
  </cols>
  <sheetData>
    <row customHeight="1" ht="22.5">
      <c r="A1" s="297"/>
      <c r="B1" s="200" t="s">
        <v>0</v>
      </c>
      <c r="C1" s="200"/>
      <c r="D1" s="200"/>
      <c r="E1" s="200"/>
      <c r="F1" s="200"/>
      <c r="G1" s="200"/>
      <c r="H1" s="200"/>
      <c r="I1" s="200"/>
      <c r="J1" s="200"/>
      <c r="K1" s="392"/>
      <c r="L1" s="392"/>
      <c r="M1" s="392"/>
      <c r="N1" s="392"/>
      <c r="O1" s="392"/>
    </row>
    <row customHeight="1" ht="18.75">
      <c r="A2" s="297"/>
      <c r="B2" s="201" t="s">
        <v>64</v>
      </c>
      <c r="C2" s="202" t="s">
        <v>65</v>
      </c>
      <c r="D2" s="202"/>
      <c r="E2" s="201"/>
      <c r="F2" s="203" t="s">
        <v>3</v>
      </c>
      <c r="G2" s="471" t="s">
        <v>112</v>
      </c>
      <c r="H2" s="223" t="s">
        <v>5</v>
      </c>
      <c r="I2" s="202" t="s">
        <v>6</v>
      </c>
      <c r="J2" s="202"/>
      <c r="K2" s="392"/>
      <c r="L2" s="392"/>
      <c r="M2" s="392"/>
      <c r="N2" s="392"/>
      <c r="O2" s="392"/>
    </row>
    <row customHeight="1" ht="14.25">
      <c r="A3" s="297"/>
      <c r="B3" s="201" t="s">
        <v>7</v>
      </c>
      <c r="C3" s="201"/>
      <c r="D3" s="202" t="s">
        <v>105</v>
      </c>
      <c r="E3" s="201"/>
      <c r="F3" s="201"/>
      <c r="G3" s="201"/>
      <c r="H3" s="201"/>
      <c r="I3" s="90" t="s">
        <v>106</v>
      </c>
      <c r="J3" s="90" t="s">
        <v>113</v>
      </c>
      <c r="K3" s="392"/>
      <c r="L3" s="392"/>
      <c r="M3" s="392"/>
      <c r="N3" s="392"/>
      <c r="O3" s="392"/>
    </row>
    <row customHeight="1" ht="14.25">
      <c r="A4" s="297"/>
      <c r="B4" s="201"/>
      <c r="C4" s="201"/>
      <c r="D4" s="202"/>
      <c r="E4" s="90" t="s">
        <v>108</v>
      </c>
      <c r="F4" s="90" t="s">
        <v>108</v>
      </c>
      <c r="G4" s="90" t="s">
        <v>108</v>
      </c>
      <c r="H4" s="90" t="s">
        <v>108</v>
      </c>
      <c r="I4" s="90"/>
      <c r="J4" s="90"/>
      <c r="K4" s="392"/>
      <c r="L4" s="392"/>
      <c r="M4" s="392"/>
      <c r="N4" s="392"/>
      <c r="O4" s="392"/>
    </row>
    <row customHeight="1" ht="14.25">
      <c r="A5" s="297"/>
      <c r="B5" s="284" t="s">
        <v>18</v>
      </c>
      <c r="C5" s="284"/>
      <c r="D5" s="201"/>
      <c r="E5" s="201"/>
      <c r="F5" s="201"/>
      <c r="G5" s="201"/>
      <c r="H5" s="201"/>
      <c r="I5" s="201"/>
      <c r="J5" s="201"/>
      <c r="K5" s="392"/>
      <c r="L5" s="392"/>
      <c r="M5" s="392"/>
      <c r="N5" s="392"/>
      <c r="O5" s="392"/>
    </row>
    <row customHeight="1" ht="14.25">
      <c r="A6" s="297"/>
      <c r="B6" s="127" t="s">
        <v>19</v>
      </c>
      <c r="C6" s="127"/>
      <c r="D6" s="475"/>
      <c r="E6" s="286">
        <f>_xlfn.IFERROR(E54,"")</f>
        <v>117720</v>
      </c>
      <c r="F6" s="286">
        <f>_xlfn.IFERROR(F54,"")</f>
        <v>62067</v>
      </c>
      <c r="G6" s="110">
        <f>_xlfn.IFERROR(G112,"")</f>
        <v>94349</v>
      </c>
      <c r="H6" s="286"/>
      <c r="I6" s="110">
        <f>E6+F6+G6+H6</f>
        <v>274136</v>
      </c>
      <c r="J6" s="286" t="str">
        <f>_xlfn.IFERROR(I6/生产日报2取值!D6*100,"")</f>
        <v/>
      </c>
      <c r="K6" s="392"/>
      <c r="L6" s="392"/>
      <c r="M6" s="392"/>
      <c r="N6" s="392"/>
      <c r="O6" s="392"/>
    </row>
    <row customHeight="1" ht="14.25">
      <c r="A7" s="297"/>
      <c r="B7" s="127" t="s">
        <v>20</v>
      </c>
      <c r="C7" s="127"/>
      <c r="D7" s="478"/>
      <c r="E7" s="286">
        <f>_xlfn.IFERROR(E57,"")</f>
        <v>62050</v>
      </c>
      <c r="F7" s="286">
        <f>_xlfn.IFERROR(F55,"")</f>
        <v>26723</v>
      </c>
      <c r="G7" s="110">
        <f>_xlfn.IFERROR(G113,"")</f>
        <v>30986</v>
      </c>
      <c r="H7" s="286"/>
      <c r="I7" s="110">
        <f>E7+F7+G7+H7</f>
        <v>119759</v>
      </c>
      <c r="J7" s="286" t="str">
        <f>_xlfn.IFERROR(I7/生产日报2取值!D7*100,"")</f>
        <v/>
      </c>
      <c r="K7" s="392"/>
      <c r="L7" s="392"/>
      <c r="M7" s="392"/>
      <c r="N7" s="392"/>
      <c r="O7" s="392"/>
    </row>
    <row customHeight="1" ht="14.25">
      <c r="A8" s="297"/>
      <c r="B8" s="127" t="s">
        <v>114</v>
      </c>
      <c r="C8" s="127"/>
      <c r="D8" s="475"/>
      <c r="E8" s="286">
        <f>_xlfn.IFERROR(E60,"")</f>
        <v>61644</v>
      </c>
      <c r="F8" s="286">
        <f>_xlfn.IFERROR(F56,"")</f>
        <v>24621</v>
      </c>
      <c r="G8" s="110">
        <f>_xlfn.IFERROR(G114,"")</f>
        <v>30175</v>
      </c>
      <c r="H8" s="286"/>
      <c r="I8" s="110">
        <f>E8+F8+G8+H8</f>
        <v>116440</v>
      </c>
      <c r="J8" s="286" t="str">
        <f>_xlfn.IFERROR(I8/生产日报2取值!D8*100,"")</f>
        <v/>
      </c>
      <c r="K8" s="392"/>
      <c r="L8" s="392"/>
      <c r="M8" s="392"/>
      <c r="N8" s="392"/>
      <c r="O8" s="392"/>
    </row>
    <row customHeight="1" ht="14.25">
      <c r="A9" s="297"/>
      <c r="B9" s="127" t="s">
        <v>22</v>
      </c>
      <c r="C9" s="127"/>
      <c r="D9" s="475"/>
      <c r="E9" s="286"/>
      <c r="F9" s="286">
        <f>_xlfn.IFERROR(F57,"")</f>
        <v>4266</v>
      </c>
      <c r="G9" s="110">
        <f>_xlfn.IFERROR(G115,"")</f>
        <v>23339</v>
      </c>
      <c r="H9" s="286">
        <f>_xlfn.IFERROR(H57,"")</f>
        <v>29955</v>
      </c>
      <c r="I9" s="110">
        <f>E9+F9+G9+H9</f>
        <v>57560</v>
      </c>
      <c r="J9" s="286" t="str">
        <f>_xlfn.IFERROR(I9/生产日报2取值!D9*100,"")</f>
        <v/>
      </c>
      <c r="K9" s="392"/>
      <c r="L9" s="392"/>
      <c r="M9" s="392"/>
      <c r="N9" s="392"/>
      <c r="O9" s="392"/>
    </row>
    <row customHeight="1" ht="14.25">
      <c r="A10" s="297"/>
      <c r="B10" s="127" t="s">
        <v>23</v>
      </c>
      <c r="C10" s="127"/>
      <c r="D10" s="479"/>
      <c r="E10" s="286"/>
      <c r="F10" s="286"/>
      <c r="G10" s="110">
        <f>_xlfn.IFERROR(G140,"")</f>
        <v>0</v>
      </c>
      <c r="H10" s="286">
        <f>_xlfn.IFERROR(H59,"")</f>
        <v>16921</v>
      </c>
      <c r="I10" s="110">
        <f>E10+F10+G10+H10</f>
        <v>16921</v>
      </c>
      <c r="J10" s="286" t="str">
        <f>_xlfn.IFERROR(I10/生产日报2取值!D10*100,"")</f>
        <v/>
      </c>
      <c r="K10" s="392"/>
      <c r="L10" s="392"/>
      <c r="M10" s="392"/>
      <c r="N10" s="392"/>
      <c r="O10" s="392"/>
    </row>
    <row customHeight="1" ht="14.25">
      <c r="A11" s="297"/>
      <c r="B11" s="127" t="s">
        <v>24</v>
      </c>
      <c r="C11" s="127"/>
      <c r="D11" s="475"/>
      <c r="E11" s="286">
        <f>_xlfn.IFERROR(E65,"")</f>
        <v>6156</v>
      </c>
      <c r="F11" s="286"/>
      <c r="G11" s="110"/>
      <c r="H11" s="286">
        <f>_xlfn.IFERROR(H63,"")</f>
        <v>11752</v>
      </c>
      <c r="I11" s="110">
        <f>E11+F11+G11+H11</f>
        <v>17908</v>
      </c>
      <c r="J11" s="286" t="str">
        <f>_xlfn.IFERROR(I11/生产日报2取值!D11*100,"")</f>
        <v/>
      </c>
      <c r="K11" s="392"/>
      <c r="L11" s="392"/>
      <c r="M11" s="392"/>
      <c r="N11" s="392"/>
      <c r="O11" s="392"/>
    </row>
    <row customHeight="1" ht="14.25">
      <c r="A12" s="297"/>
      <c r="B12" s="127" t="s">
        <v>25</v>
      </c>
      <c r="C12" s="127"/>
      <c r="D12" s="475"/>
      <c r="E12" s="286">
        <f>_xlfn.IFERROR(E67,"")</f>
        <v>6135</v>
      </c>
      <c r="F12" s="286"/>
      <c r="G12" s="110"/>
      <c r="H12" s="286">
        <f>_xlfn.IFERROR(H66,"")</f>
        <v>12354</v>
      </c>
      <c r="I12" s="110">
        <f>E12+F12+G12+H12</f>
        <v>18489</v>
      </c>
      <c r="J12" s="286" t="str">
        <f>_xlfn.IFERROR(I12/生产日报2取值!D12*100,"")</f>
        <v/>
      </c>
      <c r="K12" s="392"/>
      <c r="L12" s="392"/>
      <c r="M12" s="392"/>
      <c r="N12" s="392"/>
      <c r="O12" s="392"/>
    </row>
    <row customHeight="1" ht="14.25">
      <c r="A13" s="297"/>
      <c r="B13" s="127" t="s">
        <v>26</v>
      </c>
      <c r="C13" s="127"/>
      <c r="D13" s="475"/>
      <c r="E13" s="286">
        <f>_xlfn.IFERROR(E69,"")</f>
        <v>2187</v>
      </c>
      <c r="F13" s="286"/>
      <c r="G13" s="110"/>
      <c r="H13" s="286">
        <f>_xlfn.IFERROR(H70,"")</f>
        <v>4401</v>
      </c>
      <c r="I13" s="110">
        <f>E13+F13+G13+H13</f>
        <v>6588</v>
      </c>
      <c r="J13" s="286" t="str">
        <f>_xlfn.IFERROR(I13/生产日报2取值!D13*100,"")</f>
        <v/>
      </c>
      <c r="K13" s="392"/>
      <c r="L13" s="392"/>
      <c r="M13" s="392"/>
      <c r="N13" s="392"/>
      <c r="O13" s="392"/>
    </row>
    <row customHeight="1" ht="14.25">
      <c r="A14" s="297"/>
      <c r="B14" s="127" t="s">
        <v>27</v>
      </c>
      <c r="C14" s="127"/>
      <c r="D14" s="475"/>
      <c r="E14" s="286">
        <f>_xlfn.IFERROR(E71,"")</f>
        <v>3756</v>
      </c>
      <c r="F14" s="286"/>
      <c r="G14" s="110"/>
      <c r="H14" s="286">
        <f>_xlfn.IFERROR(H72,"")</f>
        <v>7442</v>
      </c>
      <c r="I14" s="110">
        <f>E14+F14+G14+H14</f>
        <v>11198</v>
      </c>
      <c r="J14" s="286" t="str">
        <f>_xlfn.IFERROR(I14/生产日报2取值!D14*100,"")</f>
        <v/>
      </c>
      <c r="K14" s="392"/>
      <c r="L14" s="392"/>
      <c r="M14" s="392"/>
      <c r="N14" s="392"/>
      <c r="O14" s="392"/>
    </row>
    <row customHeight="1" ht="14.25">
      <c r="A15" s="297"/>
      <c r="B15" s="127" t="s">
        <v>28</v>
      </c>
      <c r="C15" s="127"/>
      <c r="D15" s="475"/>
      <c r="E15" s="289"/>
      <c r="F15" s="286"/>
      <c r="G15" s="110">
        <f>_xlfn.IFERROR(G117,"")</f>
        <v>3189</v>
      </c>
      <c r="H15" s="286">
        <f>_xlfn.IFERROR(H79,"")</f>
        <v>3976</v>
      </c>
      <c r="I15" s="110">
        <f>E15+F15+G15+H15</f>
        <v>7165</v>
      </c>
      <c r="J15" s="286" t="str">
        <f>_xlfn.IFERROR(I15/生产日报2取值!D15*100,"")</f>
        <v/>
      </c>
      <c r="K15" s="392"/>
      <c r="L15" s="392"/>
      <c r="M15" s="392"/>
      <c r="N15" s="392"/>
      <c r="O15" s="392"/>
    </row>
    <row customHeight="1" ht="14.25">
      <c r="A16" s="297"/>
      <c r="B16" s="127" t="s">
        <v>29</v>
      </c>
      <c r="C16" s="127"/>
      <c r="D16" s="475"/>
      <c r="E16" s="286">
        <f>_xlfn.IFERROR(E75,"")</f>
        <v>2164</v>
      </c>
      <c r="F16" s="286"/>
      <c r="G16" s="110"/>
      <c r="H16" s="290"/>
      <c r="I16" s="110">
        <f>E16+F16+G16+H16</f>
        <v>2164</v>
      </c>
      <c r="J16" s="286" t="str">
        <f>_xlfn.IFERROR(I16/生产日报2取值!D16*100,"")</f>
        <v/>
      </c>
      <c r="K16" s="392"/>
      <c r="L16" s="392"/>
      <c r="M16" s="392"/>
      <c r="N16" s="392"/>
      <c r="O16" s="392"/>
    </row>
    <row customHeight="1" ht="14.25">
      <c r="A17" s="297"/>
      <c r="B17" s="127" t="s">
        <v>30</v>
      </c>
      <c r="C17" s="127"/>
      <c r="D17" s="475"/>
      <c r="E17" s="286">
        <f>_xlfn.IFERROR(E77,"")</f>
        <v>2564</v>
      </c>
      <c r="F17" s="286"/>
      <c r="G17" s="110"/>
      <c r="H17" s="290"/>
      <c r="I17" s="110">
        <f>E17+F17+G17+H17</f>
        <v>2564</v>
      </c>
      <c r="J17" s="286" t="str">
        <f>_xlfn.IFERROR(I17/生产日报2取值!D17*100,"")</f>
        <v/>
      </c>
      <c r="K17" s="392"/>
      <c r="L17" s="392"/>
      <c r="M17" s="392"/>
      <c r="N17" s="392"/>
      <c r="O17" s="392"/>
    </row>
    <row customHeight="1" ht="13.5">
      <c r="A18" s="297"/>
      <c r="B18" s="127" t="s">
        <v>31</v>
      </c>
      <c r="C18" s="127"/>
      <c r="D18" s="475"/>
      <c r="E18" s="286">
        <f>_xlfn.IFERROR(E86,"")</f>
        <v>1155</v>
      </c>
      <c r="F18" s="286"/>
      <c r="G18" s="110"/>
      <c r="H18" s="290"/>
      <c r="I18" s="110">
        <f>E18+F18+G18+H18</f>
        <v>1155</v>
      </c>
      <c r="J18" s="286" t="str">
        <f>_xlfn.IFERROR(I18/生产日报2取值!D18*100,"")</f>
        <v/>
      </c>
      <c r="K18" s="392"/>
      <c r="L18" s="392"/>
      <c r="M18" s="392"/>
      <c r="N18" s="392"/>
      <c r="O18" s="392"/>
    </row>
    <row customHeight="1" ht="13.5">
      <c r="A19" s="297"/>
      <c r="B19" s="127" t="s">
        <v>115</v>
      </c>
      <c r="C19" s="127"/>
      <c r="D19" s="475"/>
      <c r="E19" s="286">
        <f>_xlfn.IFERROR(E81,"")</f>
        <v>2974</v>
      </c>
      <c r="F19" s="286"/>
      <c r="G19" s="110"/>
      <c r="H19" s="290"/>
      <c r="I19" s="110">
        <f>E19+F19+G19+H19</f>
        <v>2974</v>
      </c>
      <c r="J19" s="286" t="str">
        <f>_xlfn.IFERROR(I19/生产日报2取值!D19*100,"")</f>
        <v/>
      </c>
      <c r="K19" s="392"/>
      <c r="L19" s="392"/>
      <c r="M19" s="392"/>
      <c r="N19" s="392"/>
      <c r="O19" s="392"/>
    </row>
    <row customHeight="1" ht="14.25">
      <c r="A20" s="297"/>
      <c r="B20" s="127" t="s">
        <v>116</v>
      </c>
      <c r="C20" s="127"/>
      <c r="D20" s="475"/>
      <c r="E20" s="286">
        <f>_xlfn.IFERROR(E84,"")</f>
        <v>611</v>
      </c>
      <c r="F20" s="286"/>
      <c r="G20" s="110"/>
      <c r="H20" s="290"/>
      <c r="I20" s="110">
        <f>E20+F20+G20+H20</f>
        <v>611</v>
      </c>
      <c r="J20" s="286" t="str">
        <f>_xlfn.IFERROR(I20/生产日报2取值!D20*100,"")</f>
        <v/>
      </c>
      <c r="K20" s="392"/>
      <c r="L20" s="392"/>
      <c r="M20" s="392"/>
      <c r="N20" s="392"/>
      <c r="O20" s="392"/>
    </row>
    <row customHeight="1" ht="14.25">
      <c r="A21" s="297"/>
      <c r="B21" s="127" t="s">
        <v>34</v>
      </c>
      <c r="C21" s="127"/>
      <c r="D21" s="475"/>
      <c r="E21" s="291"/>
      <c r="F21" s="286">
        <f>_xlfn.IFERROR(F58,"")</f>
        <v>12962</v>
      </c>
      <c r="G21" s="110">
        <f>_xlfn.IFERROR(G118,"")</f>
        <v>14313</v>
      </c>
      <c r="H21" s="110">
        <f>_xlfn.IFERROR(H56,"")</f>
        <v>29145</v>
      </c>
      <c r="I21" s="110">
        <f>E21+F21+G21+H21</f>
        <v>56420</v>
      </c>
      <c r="J21" s="286" t="str">
        <f>_xlfn.IFERROR(I21/生产日报2取值!D21*100,"")</f>
        <v/>
      </c>
      <c r="K21" s="392"/>
      <c r="L21" s="392"/>
      <c r="M21" s="392"/>
      <c r="N21" s="392"/>
      <c r="O21" s="392"/>
    </row>
    <row customHeight="1" ht="14.25">
      <c r="A22" s="297"/>
      <c r="B22" s="127" t="s">
        <v>35</v>
      </c>
      <c r="C22" s="127"/>
      <c r="D22" s="475"/>
      <c r="E22" s="291"/>
      <c r="F22" s="286">
        <f>_xlfn.IFERROR(F59,"")</f>
        <v>23859</v>
      </c>
      <c r="G22" s="110">
        <f>_xlfn.IFERROR(G119,"")</f>
        <v>33634</v>
      </c>
      <c r="H22" s="110">
        <f>_xlfn.IFERROR(H58,"")</f>
        <v>34345</v>
      </c>
      <c r="I22" s="110">
        <f>E22+F22+G22+H22</f>
        <v>91838</v>
      </c>
      <c r="J22" s="286" t="str">
        <f>_xlfn.IFERROR(I22/生产日报2取值!D22*100,"")</f>
        <v/>
      </c>
      <c r="K22" s="392"/>
      <c r="L22" s="392"/>
      <c r="M22" s="392"/>
      <c r="N22" s="392"/>
      <c r="O22" s="392"/>
    </row>
    <row customHeight="1" ht="14.25">
      <c r="A23" s="297"/>
      <c r="B23" s="284" t="s">
        <v>36</v>
      </c>
      <c r="C23" s="284"/>
      <c r="D23" s="201"/>
      <c r="E23" s="201"/>
      <c r="F23" s="201"/>
      <c r="G23" s="201"/>
      <c r="H23" s="201"/>
      <c r="I23" s="201"/>
      <c r="J23" s="201"/>
      <c r="K23" s="392"/>
      <c r="L23" s="392"/>
      <c r="M23" s="392"/>
      <c r="N23" s="392"/>
      <c r="O23" s="392"/>
    </row>
    <row customHeight="1" ht="14.25">
      <c r="A24" s="297"/>
      <c r="B24" s="127" t="s">
        <v>37</v>
      </c>
      <c r="C24" s="127"/>
      <c r="D24" s="483"/>
      <c r="E24" s="286">
        <f>_xlfn.IFERROR(E103,"")</f>
        <v>48.5474006116208</v>
      </c>
      <c r="F24" s="286">
        <f>F71</f>
        <v>49.1211110574057</v>
      </c>
      <c r="G24" s="286">
        <f>G142</f>
        <v>52.8378679159291</v>
      </c>
      <c r="H24" s="290"/>
      <c r="I24" s="286">
        <f>_xlfn.IFERROR((E24*E6+F24*F6+G24*G6+H24*H6)/(E6+F6+G6+H6),"")</f>
        <v>50.1539381912627</v>
      </c>
      <c r="J24" s="286" t="str">
        <f>_xlfn.IFERROR(I24/D24*100,"")</f>
        <v/>
      </c>
      <c r="K24" s="392"/>
      <c r="L24" s="392"/>
      <c r="M24" s="392"/>
      <c r="N24" s="392"/>
      <c r="O24" s="392"/>
    </row>
    <row customHeight="1" ht="14.25">
      <c r="A25" s="297"/>
      <c r="B25" s="127" t="s">
        <v>38</v>
      </c>
      <c r="C25" s="127"/>
      <c r="D25" s="483"/>
      <c r="E25" s="286">
        <f>_xlfn.IFERROR(E92,"")</f>
        <v>71.4520547945205</v>
      </c>
      <c r="F25" s="286">
        <f>F72</f>
        <v>71.197096134416</v>
      </c>
      <c r="G25" s="286">
        <f>G143</f>
        <v>70.180081327051</v>
      </c>
      <c r="H25" s="290"/>
      <c r="I25" s="286">
        <f>_xlfn.IFERROR((E25*E7+F25*F7+G25*G7+H25*H7)/(E7+F7+G7+H7),"")</f>
        <v>71.0660576658122</v>
      </c>
      <c r="J25" s="286" t="str">
        <f>_xlfn.IFERROR(I25/D25*100,"")</f>
        <v/>
      </c>
      <c r="K25" s="392"/>
      <c r="L25" s="392"/>
      <c r="M25" s="392"/>
      <c r="N25" s="392"/>
      <c r="O25" s="392"/>
    </row>
    <row customHeight="1" ht="14.25">
      <c r="A26" s="297"/>
      <c r="B26" s="127" t="s">
        <v>117</v>
      </c>
      <c r="C26" s="127"/>
      <c r="D26" s="483"/>
      <c r="E26" s="286">
        <f>_xlfn.IFERROR(E89,"")</f>
        <v>16.4464141821112</v>
      </c>
      <c r="F26" s="286">
        <f>F73</f>
        <v>16.023650039292</v>
      </c>
      <c r="G26" s="286">
        <f>G144</f>
        <v>14.7550506680436</v>
      </c>
      <c r="H26" s="290"/>
      <c r="I26" s="286">
        <f>_xlfn.IFERROR((E26*E8+F26*F8+G26*G8+H26*H8)/(E8+F8+G8+H8),"")</f>
        <v>15.9187109014744</v>
      </c>
      <c r="J26" s="286" t="str">
        <f>_xlfn.IFERROR(I26/D26*100,"")</f>
        <v/>
      </c>
      <c r="K26" s="392"/>
      <c r="L26" s="392"/>
      <c r="M26" s="392"/>
      <c r="N26" s="392"/>
      <c r="O26" s="392"/>
    </row>
    <row customHeight="1" ht="14.25">
      <c r="A27" s="297"/>
      <c r="B27" s="127" t="s">
        <v>40</v>
      </c>
      <c r="C27" s="127"/>
      <c r="D27" s="483"/>
      <c r="E27" s="286"/>
      <c r="F27" s="286">
        <f>F74</f>
        <v>93.4599156118144</v>
      </c>
      <c r="G27" s="286">
        <f>G145</f>
        <v>93.2087921504777</v>
      </c>
      <c r="H27" s="290">
        <f>_xlfn.IFERROR(H164,"")</f>
        <v>93.2164914037723</v>
      </c>
      <c r="I27" s="286">
        <f>_xlfn.IFERROR((E27*E9+F27*F9+G27*G9+H27*H9)/(E9+F9+G9+H9),"")</f>
        <v>93.2314107018763</v>
      </c>
      <c r="J27" s="286" t="str">
        <f>_xlfn.IFERROR(I27/D27*100,"")</f>
        <v/>
      </c>
      <c r="K27" s="392"/>
      <c r="L27" s="392"/>
      <c r="M27" s="392"/>
      <c r="N27" s="392"/>
      <c r="O27" s="392"/>
    </row>
    <row customHeight="1" ht="14.25">
      <c r="A28" s="297"/>
      <c r="B28" s="127" t="s">
        <v>41</v>
      </c>
      <c r="C28" s="127"/>
      <c r="D28" s="483"/>
      <c r="E28" s="289"/>
      <c r="F28" s="286"/>
      <c r="G28" s="286">
        <f>G146</f>
        <v>0</v>
      </c>
      <c r="H28" s="290">
        <f>_xlfn.IFERROR(H165,"")</f>
        <v>99.7281484545831</v>
      </c>
      <c r="I28" s="286">
        <f>_xlfn.IFERROR((E28*E10+F28*F10+H28*H10)/(E10+F10+H10),"")</f>
        <v>99.7281484545831</v>
      </c>
      <c r="J28" s="286" t="str">
        <f>_xlfn.IFERROR(I28/D28*100,"")</f>
        <v/>
      </c>
      <c r="K28" s="392"/>
      <c r="L28" s="392"/>
      <c r="M28" s="392"/>
      <c r="N28" s="392"/>
      <c r="O28" s="392"/>
    </row>
    <row customHeight="1" ht="14.25">
      <c r="A29" s="297"/>
      <c r="B29" s="127" t="s">
        <v>42</v>
      </c>
      <c r="C29" s="127"/>
      <c r="D29" s="293"/>
      <c r="E29" s="286">
        <f>_xlfn.IFERROR(E98,"")</f>
        <v>99.6577017114914</v>
      </c>
      <c r="F29" s="286"/>
      <c r="G29" s="286"/>
      <c r="H29" s="290">
        <f>_xlfn.IFERROR(H166,"")</f>
        <v>97.9520802978792</v>
      </c>
      <c r="I29" s="286">
        <f>_xlfn.IFERROR((E29*E12+F29*F12+G29*G12+H29*H12)/(E12+F12+G12+H12),"")</f>
        <v>98.518037752177</v>
      </c>
      <c r="J29" s="286" t="str">
        <f>_xlfn.IFERROR(I29/D29*100,"")</f>
        <v/>
      </c>
      <c r="K29" s="392"/>
      <c r="L29" s="392"/>
      <c r="M29" s="392"/>
      <c r="N29" s="392"/>
      <c r="O29" s="392"/>
    </row>
    <row customHeight="1" ht="14.25">
      <c r="A30" s="297"/>
      <c r="B30" s="127" t="s">
        <v>118</v>
      </c>
      <c r="C30" s="127"/>
      <c r="D30" s="483"/>
      <c r="E30" s="286">
        <f>_xlfn.IFERROR(E131,"")</f>
        <v>27.6283618581907</v>
      </c>
      <c r="F30" s="286"/>
      <c r="G30" s="286"/>
      <c r="H30" s="290">
        <f>_xlfn.IFERROR(H167,"")</f>
        <v>26.7443742917274</v>
      </c>
      <c r="I30" s="286">
        <f>_xlfn.IFERROR((E30*E12+F30*F12+G30*G12+H30*H12)/(E12+F12+G12+H12),"")</f>
        <v>27.0376980907567</v>
      </c>
      <c r="J30" s="286" t="str">
        <f>_xlfn.IFERROR(I30/D30*100,"")</f>
        <v/>
      </c>
      <c r="K30" s="392"/>
      <c r="L30" s="392"/>
      <c r="M30" s="392"/>
      <c r="N30" s="392"/>
      <c r="O30" s="392"/>
    </row>
    <row customHeight="1" ht="14.25">
      <c r="A31" s="297"/>
      <c r="B31" s="127" t="s">
        <v>44</v>
      </c>
      <c r="C31" s="127"/>
      <c r="D31" s="483"/>
      <c r="E31" s="286">
        <f>_xlfn.IFERROR(E114,"")</f>
        <v>96.0219478737997</v>
      </c>
      <c r="F31" s="286"/>
      <c r="G31" s="286"/>
      <c r="H31" s="290">
        <f>_xlfn.IFERROR(H168,"")</f>
        <v>97.0020449897751</v>
      </c>
      <c r="I31" s="286">
        <f>_xlfn.IFERROR((E31*E13+F31*F13+G31*G13+H31*H13)/(E13+F13+G13+H13),"")</f>
        <v>96.6766848816029</v>
      </c>
      <c r="J31" s="286" t="str">
        <f>_xlfn.IFERROR(I31/D31*100,"")</f>
        <v/>
      </c>
      <c r="K31" s="392"/>
      <c r="L31" s="392"/>
      <c r="M31" s="392"/>
      <c r="N31" s="392"/>
      <c r="O31" s="392"/>
    </row>
    <row customHeight="1" ht="14.25">
      <c r="A32" s="297"/>
      <c r="B32" s="127" t="s">
        <v>45</v>
      </c>
      <c r="C32" s="127"/>
      <c r="D32" s="483"/>
      <c r="E32" s="286">
        <f>_xlfn.IFERROR(E112,"")</f>
        <v>18.3173588924388</v>
      </c>
      <c r="F32" s="286"/>
      <c r="G32" s="286"/>
      <c r="H32" s="290">
        <f>_xlfn.IFERROR(H169,"")</f>
        <v>15.6678312281645</v>
      </c>
      <c r="I32" s="286">
        <f>_xlfn.IFERROR((E32*E14+F32*F14+G32*G14+H32*H14)/(E14+F14+G14+H14),"")</f>
        <v>16.5565279514199</v>
      </c>
      <c r="J32" s="286" t="str">
        <f>_xlfn.IFERROR(I32/D32*100,"")</f>
        <v/>
      </c>
      <c r="K32" s="392"/>
      <c r="L32" s="392"/>
      <c r="M32" s="392"/>
      <c r="N32" s="392"/>
      <c r="O32" s="392"/>
    </row>
    <row customHeight="1" ht="14.25">
      <c r="A33" s="297"/>
      <c r="B33" s="127" t="s">
        <v>46</v>
      </c>
      <c r="C33" s="127"/>
      <c r="D33" s="483"/>
      <c r="E33" s="286">
        <f>_xlfn.IFERROR(E109,"")</f>
        <v>0</v>
      </c>
      <c r="F33" s="286"/>
      <c r="G33" s="286"/>
      <c r="H33" s="290">
        <f>H194</f>
        <v>99.8022177823399</v>
      </c>
      <c r="I33" s="286">
        <f>_xlfn.IFERROR((E33*E14+F33*F14+G33*G14+H33*H14)/(E14+F14+G14+H14),"")</f>
        <v>66.3268534324142</v>
      </c>
      <c r="J33" s="286" t="str">
        <f>_xlfn.IFERROR(I33/D33*100,"")</f>
        <v/>
      </c>
      <c r="K33" s="392"/>
      <c r="L33" s="392"/>
      <c r="M33" s="392"/>
      <c r="N33" s="392"/>
      <c r="O33" s="392"/>
    </row>
    <row customHeight="1" ht="14.25">
      <c r="A34" s="297"/>
      <c r="B34" s="127" t="s">
        <v>47</v>
      </c>
      <c r="C34" s="127"/>
      <c r="D34" s="483"/>
      <c r="E34" s="286"/>
      <c r="F34" s="286"/>
      <c r="G34" s="286">
        <f>G152</f>
        <v>94.0420194418313</v>
      </c>
      <c r="H34" s="290">
        <f>_xlfn.IFERROR(H171,"")</f>
        <v>99.4718309859155</v>
      </c>
      <c r="I34" s="286">
        <f>_xlfn.IFERROR((E34*E15+F34*F15+G34*G15+H34*H15)/(E15+F15+G15+H15),"")</f>
        <v>97.0551290997906</v>
      </c>
      <c r="J34" s="286" t="str">
        <f>_xlfn.IFERROR(I34/D34*100,"")</f>
        <v/>
      </c>
      <c r="K34" s="392"/>
      <c r="L34" s="392"/>
      <c r="M34" s="392"/>
      <c r="N34" s="392"/>
      <c r="O34" s="392"/>
    </row>
    <row customHeight="1" ht="14.25">
      <c r="A35" s="297"/>
      <c r="B35" s="127" t="s">
        <v>48</v>
      </c>
      <c r="C35" s="127"/>
      <c r="D35" s="483"/>
      <c r="E35" s="286">
        <f>_xlfn.IFERROR(E121,"")</f>
        <v>43.8767550702028</v>
      </c>
      <c r="F35" s="286"/>
      <c r="G35" s="286"/>
      <c r="H35" s="290"/>
      <c r="I35" s="286">
        <f>E35</f>
        <v>43.8767550702028</v>
      </c>
      <c r="J35" s="286" t="str">
        <f>_xlfn.IFERROR(I35/D35*100,"")</f>
        <v/>
      </c>
      <c r="K35" s="392"/>
      <c r="L35" s="392"/>
      <c r="M35" s="392"/>
      <c r="N35" s="392"/>
      <c r="O35" s="392"/>
    </row>
    <row customHeight="1" ht="14.25">
      <c r="A36" s="297"/>
      <c r="B36" s="127" t="s">
        <v>49</v>
      </c>
      <c r="C36" s="127"/>
      <c r="D36" s="483"/>
      <c r="E36" s="286">
        <f>_xlfn.IFERROR(E62,"")</f>
        <v>94.6302816901408</v>
      </c>
      <c r="F36" s="286"/>
      <c r="G36" s="286"/>
      <c r="H36" s="290"/>
      <c r="I36" s="286">
        <f>E36</f>
        <v>94.6302816901408</v>
      </c>
      <c r="J36" s="286" t="str">
        <f>_xlfn.IFERROR(I36/D36*100,"")</f>
        <v/>
      </c>
      <c r="K36" s="392"/>
      <c r="L36" s="392"/>
      <c r="M36" s="392"/>
      <c r="N36" s="392"/>
      <c r="O36" s="392"/>
    </row>
    <row customHeight="1" ht="14.25">
      <c r="A37" s="297"/>
      <c r="B37" s="127" t="s">
        <v>50</v>
      </c>
      <c r="C37" s="127"/>
      <c r="D37" s="483"/>
      <c r="E37" s="286">
        <f>_xlfn.IFERROR(E134,"")</f>
        <v>37.9287155346335</v>
      </c>
      <c r="F37" s="286"/>
      <c r="G37" s="286"/>
      <c r="H37" s="290"/>
      <c r="I37" s="286">
        <f>E37</f>
        <v>37.9287155346335</v>
      </c>
      <c r="J37" s="286" t="str">
        <f>_xlfn.IFERROR(I37/D37*100,"")</f>
        <v/>
      </c>
      <c r="K37" s="392"/>
      <c r="L37" s="392"/>
      <c r="M37" s="392"/>
      <c r="N37" s="392"/>
      <c r="O37" s="392"/>
    </row>
    <row customHeight="1" ht="14.25">
      <c r="A38" s="297"/>
      <c r="B38" s="127" t="s">
        <v>51</v>
      </c>
      <c r="C38" s="127"/>
      <c r="D38" s="483"/>
      <c r="E38" s="286"/>
      <c r="F38" s="286">
        <f>F85</f>
        <v>98.889060330196</v>
      </c>
      <c r="G38" s="286">
        <f>G156</f>
        <v>99.22448124083</v>
      </c>
      <c r="H38" s="290">
        <f>_xlfn.IFERROR(H175,"")</f>
        <v>99.0084062446389</v>
      </c>
      <c r="I38" s="286">
        <f>_xlfn.IFERROR((E38*E21+F38*F21+G38*G21+H38*H21)/(E21+F21+G21+H21),"")</f>
        <v>99.0358029067707</v>
      </c>
      <c r="J38" s="286" t="str">
        <f>_xlfn.IFERROR(I38/D38*100,"")</f>
        <v/>
      </c>
      <c r="K38" s="392"/>
      <c r="L38" s="392"/>
      <c r="M38" s="392"/>
      <c r="N38" s="392"/>
      <c r="O38" s="392"/>
    </row>
    <row customHeight="1" ht="14.25">
      <c r="A39" s="297"/>
      <c r="B39" s="127" t="s">
        <v>52</v>
      </c>
      <c r="C39" s="127"/>
      <c r="D39" s="483"/>
      <c r="E39" s="286"/>
      <c r="F39" s="286">
        <f>F86</f>
        <v>99.2078460958129</v>
      </c>
      <c r="G39" s="286">
        <f>G157</f>
        <v>99.1675090682049</v>
      </c>
      <c r="H39" s="290">
        <f>_xlfn.IFERROR(H176,"")</f>
        <v>99.1439802009026</v>
      </c>
      <c r="I39" s="286">
        <f>_xlfn.IFERROR((E39*E22+F39*F22+G39*G22+H39*H22)/(E22+F22+G22+H22),"")</f>
        <v>99.169189224504</v>
      </c>
      <c r="J39" s="286" t="str">
        <f>_xlfn.IFERROR(I39/D39*100,"")</f>
        <v/>
      </c>
      <c r="K39" s="392"/>
      <c r="L39" s="392"/>
      <c r="M39" s="392"/>
      <c r="N39" s="392"/>
      <c r="O39" s="392"/>
    </row>
    <row customHeight="1" ht="14.25">
      <c r="A40" s="297"/>
      <c r="B40" s="127" t="s">
        <v>53</v>
      </c>
      <c r="C40" s="127"/>
      <c r="D40" s="483"/>
      <c r="E40" s="286">
        <f>_xlfn.IFERROR(E136,"")</f>
        <v>94.8785253143051</v>
      </c>
      <c r="F40" s="286">
        <f>F87</f>
        <v>83.3325277522677</v>
      </c>
      <c r="G40" s="286">
        <f>G158</f>
        <v>75.822743219324</v>
      </c>
      <c r="H40" s="290"/>
      <c r="I40" s="286">
        <f>_xlfn.IFERROR((E40*E6+F40*F6+G40*G6+H40*H6)/(E6+F6+G6+H6),"")</f>
        <v>85.7059999416348</v>
      </c>
      <c r="J40" s="286" t="str">
        <f>_xlfn.IFERROR(I40/D40*100,"")</f>
        <v/>
      </c>
      <c r="K40" s="392"/>
      <c r="L40" s="392"/>
      <c r="M40" s="392"/>
      <c r="N40" s="392"/>
      <c r="O40" s="392"/>
    </row>
    <row customHeight="1" ht="14.25">
      <c r="A41" s="297"/>
      <c r="B41" s="284" t="s">
        <v>54</v>
      </c>
      <c r="C41" s="284"/>
      <c r="D41" s="201"/>
      <c r="E41" s="201"/>
      <c r="F41" s="201"/>
      <c r="G41" s="201"/>
      <c r="H41" s="201"/>
      <c r="I41" s="201"/>
      <c r="J41" s="201"/>
      <c r="K41" s="392"/>
      <c r="L41" s="392"/>
      <c r="M41" s="392"/>
      <c r="N41" s="392"/>
      <c r="O41" s="392"/>
    </row>
    <row customHeight="1" ht="14.25">
      <c r="A42" s="297"/>
      <c r="B42" s="127" t="s">
        <v>55</v>
      </c>
      <c r="C42" s="127"/>
      <c r="D42" s="294"/>
      <c r="E42" s="286">
        <f>_xlfn.IFERROR(E123,"")</f>
        <v>0</v>
      </c>
      <c r="F42" s="294">
        <f>_xlfn.IFERROR(SUM(F62:F64),"")</f>
        <v>8741.1</v>
      </c>
      <c r="G42" s="294"/>
      <c r="H42" s="295"/>
      <c r="I42" s="294">
        <f>E42+F42+G42+H42</f>
        <v>8741.1</v>
      </c>
      <c r="J42" s="110"/>
      <c r="K42" s="392"/>
      <c r="L42" s="392"/>
      <c r="M42" s="392"/>
      <c r="N42" s="392"/>
      <c r="O42" s="392"/>
    </row>
    <row customHeight="1" ht="14.25">
      <c r="A43" s="297"/>
      <c r="B43" s="127" t="s">
        <v>119</v>
      </c>
      <c r="C43" s="127"/>
      <c r="D43" s="294"/>
      <c r="E43" s="286">
        <f>_xlfn.IFERROR(E125,"")</f>
        <v>0</v>
      </c>
      <c r="F43" s="294"/>
      <c r="G43" s="294">
        <f>_xlfn.IFERROR(SUM(G98:G100),"")</f>
        <v>0</v>
      </c>
      <c r="H43" s="295"/>
      <c r="I43" s="294">
        <f>E43+F43+G43+H43</f>
        <v>0</v>
      </c>
      <c r="J43" s="110"/>
      <c r="K43" s="392"/>
      <c r="L43" s="392"/>
      <c r="M43" s="392"/>
      <c r="N43" s="392"/>
      <c r="O43" s="392"/>
    </row>
    <row customHeight="1" ht="14.25">
      <c r="A44" s="297"/>
      <c r="B44" s="127" t="s">
        <v>57</v>
      </c>
      <c r="C44" s="127"/>
      <c r="D44" s="294"/>
      <c r="E44" s="290">
        <f>_xlfn.IFERROR(E138,"")</f>
        <v>19355</v>
      </c>
      <c r="F44" s="294">
        <f>_xlfn.IFERROR(SUM(F67:F69),"")</f>
        <v>3925.46</v>
      </c>
      <c r="G44" s="296">
        <f>_xlfn.IFERROR(SUM(G102:G102),"")</f>
        <v>1369.42</v>
      </c>
      <c r="H44" s="295"/>
      <c r="I44" s="294">
        <f>E44+F44+G44+H44</f>
        <v>24649.88</v>
      </c>
      <c r="J44" s="110"/>
      <c r="K44" s="392"/>
      <c r="L44" s="392"/>
      <c r="M44" s="392"/>
      <c r="N44" s="392"/>
      <c r="O44" s="392"/>
    </row>
    <row customHeight="1" ht="21.75">
      <c r="A45" s="297"/>
      <c r="B45" s="127" t="s">
        <v>120</v>
      </c>
      <c r="C45" s="127"/>
      <c r="D45" s="294"/>
      <c r="E45" s="286"/>
      <c r="F45" s="294"/>
      <c r="G45" s="294">
        <f>_xlfn.IFERROR(SUM(G104:G106),"")</f>
        <v>4108.26</v>
      </c>
      <c r="H45" s="295">
        <f>_xlfn.IFERROR(SUM(H179:H181),"")</f>
        <v>24452.44</v>
      </c>
      <c r="I45" s="294">
        <f>E45+F45+G45+H45</f>
        <v>28560.7</v>
      </c>
      <c r="J45" s="67"/>
      <c r="K45" s="392"/>
      <c r="L45" s="392"/>
      <c r="M45" s="392"/>
      <c r="N45" s="392"/>
      <c r="O45" s="392"/>
    </row>
    <row customHeight="1" ht="13.5" hidden="1">
      <c r="A46" s="297"/>
      <c r="B46" s="200" t="s">
        <v>0</v>
      </c>
      <c r="C46" s="200"/>
      <c r="D46" s="200"/>
      <c r="E46" s="200"/>
      <c r="F46" s="200"/>
      <c r="G46" s="200"/>
      <c r="H46" s="200"/>
      <c r="I46" s="200"/>
      <c r="J46" s="67"/>
      <c r="K46" s="392"/>
      <c r="L46" s="392"/>
      <c r="M46" s="392"/>
      <c r="N46" s="392"/>
      <c r="O46" s="392"/>
    </row>
    <row customHeight="1" ht="13.5" hidden="1">
      <c r="A47" s="297"/>
      <c r="B47" s="201" t="s">
        <v>64</v>
      </c>
      <c r="C47" s="90" t="s">
        <v>65</v>
      </c>
      <c r="D47" s="90"/>
      <c r="E47" s="227"/>
      <c r="F47" s="227"/>
      <c r="G47" s="227"/>
      <c r="H47" s="471" t="s">
        <v>112</v>
      </c>
      <c r="I47" s="90"/>
      <c r="J47" s="67"/>
      <c r="K47" s="392"/>
      <c r="L47" s="392"/>
      <c r="M47" s="392"/>
      <c r="N47" s="392"/>
      <c r="O47" s="392"/>
    </row>
    <row customHeight="1" ht="13.5" hidden="1">
      <c r="A48" s="297"/>
      <c r="B48" s="201" t="s">
        <v>7</v>
      </c>
      <c r="C48" s="201"/>
      <c r="D48" s="90" t="s">
        <v>105</v>
      </c>
      <c r="E48" s="201"/>
      <c r="F48" s="201"/>
      <c r="G48" s="201"/>
      <c r="H48" s="201"/>
      <c r="I48" s="90" t="s">
        <v>106</v>
      </c>
      <c r="J48" s="67"/>
      <c r="K48" s="392"/>
      <c r="L48" s="392"/>
      <c r="M48" s="392"/>
      <c r="N48" s="392"/>
      <c r="O48" s="392"/>
    </row>
    <row customHeight="1" ht="13.5" hidden="1">
      <c r="A49" s="297"/>
      <c r="B49" s="201"/>
      <c r="C49" s="201"/>
      <c r="D49" s="90"/>
      <c r="E49" s="222" t="s">
        <v>108</v>
      </c>
      <c r="F49" s="222" t="s">
        <v>108</v>
      </c>
      <c r="G49" s="222" t="s">
        <v>108</v>
      </c>
      <c r="H49" s="222" t="s">
        <v>108</v>
      </c>
      <c r="I49" s="90"/>
      <c r="J49" s="67"/>
      <c r="K49" s="392"/>
      <c r="L49" s="392"/>
      <c r="M49" s="392"/>
      <c r="N49" s="392"/>
      <c r="O49" s="392"/>
    </row>
    <row customHeight="1" ht="13.5">
      <c r="A50" s="297"/>
      <c r="B50" s="222" t="s">
        <v>59</v>
      </c>
      <c r="C50" s="222"/>
      <c r="D50" s="67"/>
      <c r="E50" s="222"/>
      <c r="F50" s="222"/>
      <c r="G50" s="222"/>
      <c r="H50" s="67"/>
      <c r="I50" s="222"/>
      <c r="J50" s="67"/>
      <c r="K50" s="392"/>
      <c r="L50" s="392"/>
      <c r="M50" s="392"/>
      <c r="N50" s="392"/>
      <c r="O50" s="392"/>
    </row>
    <row customHeight="1" ht="22.5">
      <c r="A51" s="297"/>
      <c r="B51" s="90" t="s">
        <v>59</v>
      </c>
      <c r="C51" s="90" t="s">
        <v>104</v>
      </c>
      <c r="D51" s="90"/>
      <c r="E51" s="90"/>
      <c r="F51" s="90" t="s">
        <v>110</v>
      </c>
      <c r="G51" s="220"/>
      <c r="H51" s="90"/>
      <c r="I51" s="90" t="s">
        <v>121</v>
      </c>
      <c r="J51" s="90" t="s">
        <v>122</v>
      </c>
      <c r="K51" s="392"/>
      <c r="L51" s="392"/>
      <c r="M51" s="392"/>
      <c r="N51" s="392"/>
      <c r="O51" s="392"/>
    </row>
    <row customHeight="1" ht="22.5">
      <c r="A52" s="297"/>
      <c r="B52" s="90"/>
      <c r="C52" s="90"/>
      <c r="D52" s="90"/>
      <c r="E52" s="90"/>
      <c r="F52" s="221"/>
      <c r="G52" s="67"/>
      <c r="H52" s="67"/>
      <c r="I52" s="90"/>
      <c r="J52" s="90"/>
      <c r="K52" s="146"/>
      <c r="L52" s="146"/>
      <c r="M52" s="146"/>
      <c r="N52" s="146"/>
      <c r="O52" s="146"/>
    </row>
    <row customHeight="1" ht="14.25">
      <c r="A53" s="297"/>
      <c r="B53" s="221"/>
      <c r="C53" s="221"/>
      <c r="D53" s="221"/>
      <c r="E53" s="221"/>
      <c r="F53" s="221"/>
      <c r="G53" s="221"/>
      <c r="H53" s="221"/>
      <c r="I53" s="67"/>
      <c r="J53" s="221"/>
      <c r="K53" s="146"/>
      <c r="L53" s="146"/>
      <c r="M53" s="146"/>
      <c r="N53" s="146"/>
      <c r="O53" s="146"/>
    </row>
    <row customHeight="1" ht="14.25">
      <c r="A54" s="297"/>
      <c r="B54" s="67"/>
      <c r="C54" s="221"/>
      <c r="D54" s="221"/>
      <c r="E54" s="67">
        <v>117720</v>
      </c>
      <c r="F54" s="227">
        <v>62067</v>
      </c>
      <c r="G54" s="67"/>
      <c r="H54" s="146"/>
      <c r="I54" s="67"/>
      <c r="J54" s="227"/>
      <c r="K54" s="146"/>
      <c r="L54" s="146"/>
      <c r="M54" s="146"/>
      <c r="N54" s="146"/>
      <c r="O54" s="146"/>
    </row>
    <row customHeight="1" ht="14.25">
      <c r="A55" s="297"/>
      <c r="B55" s="67"/>
      <c r="C55" s="223"/>
      <c r="D55" s="221"/>
      <c r="E55" s="67"/>
      <c r="F55" s="227">
        <v>26723</v>
      </c>
      <c r="G55" s="67"/>
      <c r="H55" s="146"/>
      <c r="I55" s="67"/>
      <c r="J55" s="227"/>
      <c r="K55" s="146"/>
      <c r="L55" s="146"/>
      <c r="M55" s="146"/>
      <c r="N55" s="146"/>
      <c r="O55" s="146"/>
    </row>
    <row customHeight="1" ht="14.25">
      <c r="A56" s="297"/>
      <c r="B56" s="67"/>
      <c r="C56" s="220"/>
      <c r="D56" s="221"/>
      <c r="E56" s="67"/>
      <c r="F56" s="227">
        <v>24621</v>
      </c>
      <c r="G56" s="67"/>
      <c r="H56" s="408">
        <v>29145</v>
      </c>
      <c r="I56" s="227"/>
      <c r="J56" s="227"/>
      <c r="K56" s="146"/>
      <c r="L56" s="146"/>
      <c r="M56" s="146"/>
      <c r="N56" s="146"/>
      <c r="O56" s="146"/>
    </row>
    <row customHeight="1" ht="14.25">
      <c r="A57" s="297"/>
      <c r="B57" s="223"/>
      <c r="C57" s="223"/>
      <c r="D57" s="221"/>
      <c r="E57" s="67">
        <v>62050</v>
      </c>
      <c r="F57" s="227">
        <v>4266</v>
      </c>
      <c r="G57" s="67"/>
      <c r="H57" s="67">
        <v>29955</v>
      </c>
      <c r="I57" s="67"/>
      <c r="J57" s="227"/>
      <c r="K57" s="146"/>
      <c r="L57" s="146"/>
      <c r="M57" s="146"/>
      <c r="N57" s="146"/>
      <c r="O57" s="146"/>
    </row>
    <row customHeight="1" ht="14.25">
      <c r="A58" s="297"/>
      <c r="B58" s="220"/>
      <c r="C58" s="220"/>
      <c r="D58" s="221"/>
      <c r="E58" s="67"/>
      <c r="F58" s="227">
        <v>12962</v>
      </c>
      <c r="G58" s="67"/>
      <c r="H58" s="408">
        <v>34345</v>
      </c>
      <c r="I58" s="67"/>
      <c r="J58" s="227"/>
      <c r="K58" s="146"/>
      <c r="L58" s="146"/>
      <c r="M58" s="146"/>
      <c r="N58" s="146"/>
      <c r="O58" s="146"/>
    </row>
    <row customHeight="1" ht="14.25">
      <c r="A59" s="297"/>
      <c r="B59" s="220"/>
      <c r="C59" s="220"/>
      <c r="D59" s="221"/>
      <c r="E59" s="67"/>
      <c r="F59" s="227">
        <v>23859</v>
      </c>
      <c r="G59" s="67"/>
      <c r="H59" s="67">
        <v>16921</v>
      </c>
      <c r="I59" s="67"/>
      <c r="J59" s="227"/>
      <c r="K59" s="146"/>
      <c r="L59" s="146"/>
      <c r="M59" s="146"/>
      <c r="N59" s="146"/>
      <c r="O59" s="146"/>
    </row>
    <row customHeight="1" ht="14.25">
      <c r="A60" s="297"/>
      <c r="B60" s="220"/>
      <c r="C60" s="220"/>
      <c r="D60" s="221"/>
      <c r="E60" s="67">
        <v>61644</v>
      </c>
      <c r="F60" s="227"/>
      <c r="G60" s="67"/>
      <c r="H60" s="67"/>
      <c r="I60" s="67"/>
      <c r="J60" s="227"/>
      <c r="K60" s="146"/>
      <c r="L60" s="146"/>
      <c r="M60" s="146"/>
      <c r="N60" s="146"/>
      <c r="O60" s="146"/>
    </row>
    <row customHeight="1" ht="14.25">
      <c r="A61" s="297"/>
      <c r="B61" s="67"/>
      <c r="C61" s="223"/>
      <c r="D61" s="223"/>
      <c r="E61" s="227"/>
      <c r="F61" s="67"/>
      <c r="G61" s="146"/>
      <c r="H61" s="67"/>
      <c r="I61" s="67"/>
      <c r="J61" s="227"/>
      <c r="K61" s="146"/>
      <c r="L61" s="146"/>
      <c r="M61" s="146"/>
      <c r="N61" s="146"/>
      <c r="O61" s="146"/>
    </row>
    <row customHeight="1" ht="14.25">
      <c r="A62" s="297"/>
      <c r="B62" s="67"/>
      <c r="C62" s="223"/>
      <c r="D62" s="223"/>
      <c r="E62" s="67">
        <v>94.6302816901408</v>
      </c>
      <c r="F62" s="227">
        <v>8741.1</v>
      </c>
      <c r="G62" s="67"/>
      <c r="H62" s="227"/>
      <c r="I62" s="227"/>
      <c r="J62" s="227"/>
      <c r="K62" s="146"/>
      <c r="L62" s="146"/>
      <c r="M62" s="146"/>
      <c r="N62" s="146"/>
      <c r="O62" s="146"/>
    </row>
    <row customHeight="1" ht="14.25">
      <c r="A63" s="297"/>
      <c r="B63" s="67"/>
      <c r="C63" s="223"/>
      <c r="D63" s="223"/>
      <c r="E63" s="67"/>
      <c r="F63" s="433">
        <v>0</v>
      </c>
      <c r="G63" s="67"/>
      <c r="H63" s="67">
        <v>11752</v>
      </c>
      <c r="I63" s="227"/>
      <c r="J63" s="227"/>
      <c r="K63" s="146"/>
      <c r="L63" s="146"/>
      <c r="M63" s="146"/>
      <c r="N63" s="146"/>
      <c r="O63" s="146"/>
    </row>
    <row customHeight="1" ht="14.25">
      <c r="A64" s="297"/>
      <c r="B64" s="67"/>
      <c r="C64" s="223"/>
      <c r="D64" s="223"/>
      <c r="E64" s="227"/>
      <c r="F64" s="433">
        <v>0</v>
      </c>
      <c r="G64" s="67"/>
      <c r="H64" s="67"/>
      <c r="I64" s="67"/>
      <c r="J64" s="227"/>
      <c r="K64" s="146"/>
      <c r="L64" s="146"/>
      <c r="M64" s="146"/>
      <c r="N64" s="146"/>
      <c r="O64" s="146"/>
    </row>
    <row customHeight="1" ht="14.25">
      <c r="A65" s="297"/>
      <c r="B65" s="67"/>
      <c r="C65" s="223"/>
      <c r="D65" s="223"/>
      <c r="E65" s="146">
        <v>6156</v>
      </c>
      <c r="F65" s="67"/>
      <c r="G65" s="146"/>
      <c r="H65" s="227"/>
      <c r="I65" s="67"/>
      <c r="J65" s="227"/>
      <c r="K65" s="146"/>
      <c r="L65" s="146"/>
      <c r="M65" s="146"/>
      <c r="N65" s="146"/>
      <c r="O65" s="146"/>
    </row>
    <row customHeight="1" ht="14.25">
      <c r="A66" s="297"/>
      <c r="B66" s="67"/>
      <c r="C66" s="223"/>
      <c r="D66" s="223"/>
      <c r="E66" s="227"/>
      <c r="F66" s="67"/>
      <c r="G66" s="67"/>
      <c r="H66" s="67">
        <v>12354</v>
      </c>
      <c r="I66" s="67"/>
      <c r="J66" s="227"/>
      <c r="K66" s="146"/>
      <c r="L66" s="146"/>
      <c r="M66" s="146"/>
      <c r="N66" s="146"/>
      <c r="O66" s="146"/>
    </row>
    <row customHeight="1" ht="14.25">
      <c r="A67" s="297"/>
      <c r="B67" s="67"/>
      <c r="C67" s="223"/>
      <c r="D67" s="223"/>
      <c r="E67" s="146">
        <v>6135</v>
      </c>
      <c r="F67" s="408">
        <v>0</v>
      </c>
      <c r="G67" s="146"/>
      <c r="H67" s="67"/>
      <c r="I67" s="227"/>
      <c r="J67" s="227"/>
      <c r="K67" s="146"/>
      <c r="L67" s="146"/>
      <c r="M67" s="146"/>
      <c r="N67" s="146"/>
      <c r="O67" s="146"/>
    </row>
    <row customHeight="1" ht="14.25">
      <c r="A68" s="297"/>
      <c r="B68" s="223"/>
      <c r="C68" s="223"/>
      <c r="D68" s="223"/>
      <c r="E68" s="227"/>
      <c r="F68" s="408">
        <v>3925.46</v>
      </c>
      <c r="G68" s="227"/>
      <c r="H68" s="146"/>
      <c r="I68" s="227"/>
      <c r="J68" s="227"/>
      <c r="K68" s="146"/>
      <c r="L68" s="146"/>
      <c r="M68" s="146"/>
      <c r="N68" s="146"/>
      <c r="O68" s="146"/>
    </row>
    <row customHeight="1" ht="14.25">
      <c r="A69" s="297"/>
      <c r="B69" s="221"/>
      <c r="C69" s="221"/>
      <c r="D69" s="221"/>
      <c r="E69" s="146">
        <v>2187</v>
      </c>
      <c r="F69" s="408">
        <v>0</v>
      </c>
      <c r="G69" s="67"/>
      <c r="H69" s="227"/>
      <c r="I69" s="227"/>
      <c r="J69" s="227"/>
      <c r="K69" s="146"/>
      <c r="L69" s="146"/>
      <c r="M69" s="146"/>
      <c r="N69" s="146"/>
      <c r="O69" s="146"/>
    </row>
    <row customHeight="1" ht="14.25">
      <c r="A70" s="297"/>
      <c r="B70" s="221"/>
      <c r="C70" s="221"/>
      <c r="D70" s="221"/>
      <c r="E70" s="227"/>
      <c r="F70" s="67"/>
      <c r="G70" s="67"/>
      <c r="H70" s="67">
        <v>4401</v>
      </c>
      <c r="I70" s="408"/>
      <c r="J70" s="227"/>
      <c r="K70" s="146"/>
      <c r="L70" s="146"/>
      <c r="M70" s="146"/>
      <c r="N70" s="146"/>
      <c r="O70" s="146"/>
    </row>
    <row customHeight="1" ht="14.25">
      <c r="A71" s="297"/>
      <c r="B71" s="221"/>
      <c r="C71" s="221"/>
      <c r="D71" s="221"/>
      <c r="E71" s="67">
        <v>3756</v>
      </c>
      <c r="F71" s="67">
        <v>49.1211110574057</v>
      </c>
      <c r="G71" s="67"/>
      <c r="H71" s="67"/>
      <c r="I71" s="67"/>
      <c r="J71" s="227"/>
      <c r="K71" s="146"/>
      <c r="L71" s="146"/>
      <c r="M71" s="146"/>
      <c r="N71" s="146"/>
      <c r="O71" s="146"/>
    </row>
    <row customHeight="1" ht="14.25">
      <c r="A72" s="297"/>
      <c r="B72" s="223"/>
      <c r="C72" s="220"/>
      <c r="D72" s="220"/>
      <c r="E72" s="67"/>
      <c r="F72" s="67">
        <v>71.197096134416</v>
      </c>
      <c r="G72" s="67"/>
      <c r="H72" s="67">
        <v>7442</v>
      </c>
      <c r="I72" s="67"/>
      <c r="J72" s="227"/>
      <c r="K72" s="146"/>
      <c r="L72" s="146"/>
      <c r="M72" s="146"/>
      <c r="N72" s="146"/>
      <c r="O72" s="146"/>
    </row>
    <row customHeight="1" ht="14.25">
      <c r="A73" s="297"/>
      <c r="B73" s="223"/>
      <c r="C73" s="220"/>
      <c r="D73" s="220"/>
      <c r="E73" s="67"/>
      <c r="F73" s="67">
        <v>16.023650039292</v>
      </c>
      <c r="G73" s="67"/>
      <c r="H73" s="67"/>
      <c r="I73" s="67"/>
      <c r="J73" s="227"/>
      <c r="K73" s="146"/>
      <c r="L73" s="146"/>
      <c r="M73" s="146"/>
      <c r="N73" s="146"/>
      <c r="O73" s="146"/>
    </row>
    <row customHeight="1" ht="14.25">
      <c r="A74" s="297"/>
      <c r="B74" s="223"/>
      <c r="C74" s="67"/>
      <c r="D74" s="220"/>
      <c r="E74" s="227"/>
      <c r="F74" s="67">
        <v>93.4599156118144</v>
      </c>
      <c r="G74" s="67"/>
      <c r="H74" s="67"/>
      <c r="I74" s="67"/>
      <c r="J74" s="227"/>
      <c r="K74" s="146"/>
      <c r="L74" s="146"/>
      <c r="M74" s="146"/>
      <c r="N74" s="146"/>
      <c r="O74" s="146"/>
    </row>
    <row customHeight="1" ht="14.25">
      <c r="A75" s="297"/>
      <c r="B75" s="223"/>
      <c r="C75" s="67"/>
      <c r="D75" s="220"/>
      <c r="E75" s="146">
        <v>2164</v>
      </c>
      <c r="F75" s="67"/>
      <c r="G75" s="67"/>
      <c r="H75" s="67"/>
      <c r="I75" s="227"/>
      <c r="J75" s="227"/>
      <c r="K75" s="146"/>
      <c r="L75" s="146"/>
      <c r="M75" s="146"/>
      <c r="N75" s="146"/>
      <c r="O75" s="146"/>
    </row>
    <row customHeight="1" ht="14.25">
      <c r="A76" s="297"/>
      <c r="B76" s="223"/>
      <c r="C76" s="67"/>
      <c r="D76" s="220"/>
      <c r="E76" s="227"/>
      <c r="F76" s="67"/>
      <c r="G76" s="67"/>
      <c r="H76" s="67"/>
      <c r="I76" s="146"/>
      <c r="J76" s="227"/>
      <c r="K76" s="146"/>
      <c r="L76" s="146"/>
      <c r="M76" s="146"/>
      <c r="N76" s="146"/>
      <c r="O76" s="146"/>
    </row>
    <row customHeight="1" ht="12.75">
      <c r="A77" s="297"/>
      <c r="B77" s="223"/>
      <c r="C77" s="67"/>
      <c r="D77" s="221"/>
      <c r="E77" s="146">
        <v>2564</v>
      </c>
      <c r="F77" s="67"/>
      <c r="G77" s="67"/>
      <c r="H77" s="67"/>
      <c r="I77" s="146"/>
      <c r="J77" s="227"/>
      <c r="K77" s="146"/>
      <c r="L77" s="146"/>
      <c r="M77" s="146"/>
      <c r="N77" s="146"/>
      <c r="O77" s="146"/>
    </row>
    <row customHeight="1" ht="14.25">
      <c r="A78" s="297"/>
      <c r="B78" s="223"/>
      <c r="C78" s="67"/>
      <c r="D78" s="221"/>
      <c r="E78" s="146"/>
      <c r="F78" s="67"/>
      <c r="G78" s="67"/>
      <c r="H78" s="227"/>
      <c r="I78" s="146"/>
      <c r="J78" s="227"/>
      <c r="K78" s="146"/>
      <c r="L78" s="146"/>
      <c r="M78" s="146"/>
      <c r="N78" s="146"/>
      <c r="O78" s="146"/>
    </row>
    <row customHeight="1" ht="14.25">
      <c r="A79" s="297"/>
      <c r="B79" s="223"/>
      <c r="C79" s="67"/>
      <c r="D79" s="221"/>
      <c r="E79" s="146"/>
      <c r="F79" s="67"/>
      <c r="G79" s="67"/>
      <c r="H79" s="67">
        <v>3976</v>
      </c>
      <c r="I79" s="146"/>
      <c r="J79" s="227"/>
      <c r="K79" s="146"/>
      <c r="L79" s="146"/>
      <c r="M79" s="146"/>
      <c r="N79" s="146"/>
      <c r="O79" s="146"/>
    </row>
    <row customHeight="1" ht="14.25">
      <c r="A80" s="297"/>
      <c r="B80" s="223"/>
      <c r="C80" s="67"/>
      <c r="D80" s="221"/>
      <c r="E80" s="227"/>
      <c r="F80" s="67"/>
      <c r="G80" s="67"/>
      <c r="H80" s="146"/>
      <c r="I80" s="227"/>
      <c r="J80" s="227"/>
      <c r="K80" s="146"/>
      <c r="L80" s="146"/>
      <c r="M80" s="146"/>
      <c r="N80" s="146"/>
      <c r="O80" s="146"/>
    </row>
    <row customHeight="1" ht="14.25">
      <c r="A81" s="297"/>
      <c r="B81" s="221"/>
      <c r="C81" s="67"/>
      <c r="D81" s="221"/>
      <c r="E81" s="67">
        <v>2974</v>
      </c>
      <c r="F81" s="67"/>
      <c r="G81" s="67"/>
      <c r="H81" s="227"/>
      <c r="I81" s="146"/>
      <c r="J81" s="227"/>
      <c r="K81" s="146"/>
      <c r="L81" s="146"/>
      <c r="M81" s="146"/>
      <c r="N81" s="146"/>
      <c r="O81" s="146"/>
    </row>
    <row customHeight="1" ht="14.25">
      <c r="A82" s="297"/>
      <c r="B82" s="67"/>
      <c r="C82" s="67"/>
      <c r="D82" s="221"/>
      <c r="E82" s="67"/>
      <c r="F82" s="67"/>
      <c r="G82" s="67"/>
      <c r="H82" s="67"/>
      <c r="I82" s="146"/>
      <c r="J82" s="227"/>
      <c r="K82" s="146"/>
      <c r="L82" s="146"/>
      <c r="M82" s="146"/>
      <c r="N82" s="146"/>
      <c r="O82" s="146"/>
    </row>
    <row customHeight="1" ht="14.25">
      <c r="A83" s="297"/>
      <c r="B83" s="67"/>
      <c r="C83" s="67"/>
      <c r="D83" s="221"/>
      <c r="E83" s="227"/>
      <c r="F83" s="67"/>
      <c r="G83" s="146"/>
      <c r="H83" s="67"/>
      <c r="I83" s="146"/>
      <c r="J83" s="227"/>
      <c r="K83" s="146"/>
      <c r="L83" s="146"/>
      <c r="M83" s="146"/>
      <c r="N83" s="146"/>
      <c r="O83" s="146"/>
    </row>
    <row customHeight="1" ht="14.25">
      <c r="A84" s="297"/>
      <c r="B84" s="67"/>
      <c r="C84" s="67"/>
      <c r="D84" s="221"/>
      <c r="E84" s="146">
        <v>611</v>
      </c>
      <c r="F84" s="67"/>
      <c r="G84" s="146"/>
      <c r="H84" s="67"/>
      <c r="I84" s="227"/>
      <c r="J84" s="227"/>
      <c r="K84" s="146"/>
      <c r="L84" s="146"/>
      <c r="M84" s="146"/>
      <c r="N84" s="146"/>
      <c r="O84" s="146"/>
    </row>
    <row customHeight="1" ht="14.25">
      <c r="A85" s="297"/>
      <c r="B85" s="67"/>
      <c r="C85" s="67"/>
      <c r="D85" s="221"/>
      <c r="E85" s="227"/>
      <c r="F85" s="433">
        <v>98.889060330196</v>
      </c>
      <c r="G85" s="67"/>
      <c r="H85" s="227"/>
      <c r="I85" s="227"/>
      <c r="J85" s="227"/>
      <c r="K85" s="146"/>
      <c r="L85" s="146"/>
      <c r="M85" s="146"/>
      <c r="N85" s="146"/>
      <c r="O85" s="146"/>
    </row>
    <row customHeight="1" ht="14.25">
      <c r="A86" s="297"/>
      <c r="B86" s="67"/>
      <c r="C86" s="67"/>
      <c r="D86" s="221"/>
      <c r="E86" s="67">
        <v>1155</v>
      </c>
      <c r="F86" s="433">
        <v>99.2078460958129</v>
      </c>
      <c r="G86" s="67"/>
      <c r="H86" s="67"/>
      <c r="I86" s="227"/>
      <c r="J86" s="227"/>
      <c r="K86" s="146"/>
      <c r="L86" s="146"/>
      <c r="M86" s="146"/>
      <c r="N86" s="146"/>
      <c r="O86" s="146"/>
    </row>
    <row customHeight="1" ht="14.25">
      <c r="A87" s="297"/>
      <c r="B87" s="67"/>
      <c r="C87" s="67"/>
      <c r="D87" s="221"/>
      <c r="E87" s="67"/>
      <c r="F87" s="433">
        <v>83.3325277522677</v>
      </c>
      <c r="G87" s="67"/>
      <c r="H87" s="67"/>
      <c r="I87" s="227"/>
      <c r="J87" s="227"/>
      <c r="K87" s="146"/>
      <c r="L87" s="146"/>
      <c r="M87" s="146"/>
      <c r="N87" s="146"/>
      <c r="O87" s="146"/>
    </row>
    <row customHeight="1" ht="14.25">
      <c r="A88" s="297"/>
      <c r="B88" s="221"/>
      <c r="C88" s="220"/>
      <c r="D88" s="221"/>
      <c r="E88" s="67"/>
      <c r="F88" s="67"/>
      <c r="G88" s="67"/>
      <c r="H88" s="227"/>
      <c r="I88" s="227"/>
      <c r="J88" s="227"/>
      <c r="K88" s="146"/>
      <c r="L88" s="146"/>
      <c r="M88" s="146"/>
      <c r="N88" s="146"/>
      <c r="O88" s="146"/>
    </row>
    <row customHeight="1" ht="14.25">
      <c r="A89" s="297"/>
      <c r="B89" s="220"/>
      <c r="C89" s="67"/>
      <c r="D89" s="220"/>
      <c r="E89" s="67">
        <v>16.4464141821112</v>
      </c>
      <c r="F89" s="67"/>
      <c r="G89" s="67"/>
      <c r="H89" s="67"/>
      <c r="I89" s="227"/>
      <c r="J89" s="227"/>
      <c r="K89" s="146"/>
      <c r="L89" s="146"/>
      <c r="M89" s="146"/>
      <c r="N89" s="146"/>
      <c r="O89" s="146"/>
    </row>
    <row customHeight="1" ht="14.25">
      <c r="A90" s="297"/>
      <c r="B90" s="220"/>
      <c r="C90" s="67"/>
      <c r="D90" s="220"/>
      <c r="E90" s="67"/>
      <c r="F90" s="67"/>
      <c r="G90" s="67"/>
      <c r="H90" s="67"/>
      <c r="I90" s="227"/>
      <c r="J90" s="227"/>
      <c r="K90" s="146"/>
      <c r="L90" s="146"/>
      <c r="M90" s="146"/>
      <c r="N90" s="146"/>
      <c r="O90" s="146"/>
    </row>
    <row customHeight="1" ht="14.25">
      <c r="A91" s="297"/>
      <c r="B91" s="67"/>
      <c r="C91" s="67"/>
      <c r="D91" s="221"/>
      <c r="E91" s="67"/>
      <c r="F91" s="67"/>
      <c r="G91" s="67"/>
      <c r="H91" s="67"/>
      <c r="I91" s="227"/>
      <c r="J91" s="227"/>
      <c r="K91" s="146"/>
      <c r="L91" s="146"/>
      <c r="M91" s="146"/>
      <c r="N91" s="146"/>
      <c r="O91" s="146"/>
    </row>
    <row customHeight="1" ht="14.25">
      <c r="A92" s="297"/>
      <c r="B92" s="67"/>
      <c r="C92" s="67"/>
      <c r="D92" s="221"/>
      <c r="E92" s="67">
        <v>71.4520547945205</v>
      </c>
      <c r="F92" s="67"/>
      <c r="G92" s="67"/>
      <c r="H92" s="67"/>
      <c r="I92" s="67"/>
      <c r="J92" s="67"/>
      <c r="K92" s="146"/>
      <c r="L92" s="146"/>
      <c r="M92" s="146"/>
      <c r="N92" s="146"/>
      <c r="O92" s="146"/>
    </row>
    <row customHeight="1" ht="14.25">
      <c r="A93" s="297"/>
      <c r="B93" s="67"/>
      <c r="C93" s="67"/>
      <c r="D93" s="221"/>
      <c r="E93" s="67"/>
      <c r="F93" s="67"/>
      <c r="G93" s="67"/>
      <c r="H93" s="67"/>
      <c r="I93" s="67"/>
      <c r="J93" s="67"/>
      <c r="K93" s="146"/>
      <c r="L93" s="146"/>
      <c r="M93" s="146"/>
      <c r="N93" s="146"/>
      <c r="O93" s="146"/>
    </row>
    <row customHeight="1" ht="14.25">
      <c r="A94" s="297"/>
      <c r="B94" s="67"/>
      <c r="C94" s="67"/>
      <c r="D94" s="221"/>
      <c r="E94" s="67"/>
      <c r="F94" s="67"/>
      <c r="G94" s="67"/>
      <c r="H94" s="146"/>
      <c r="I94" s="67"/>
      <c r="J94" s="67"/>
      <c r="K94" s="146"/>
      <c r="L94" s="146"/>
      <c r="M94" s="146"/>
      <c r="N94" s="146"/>
      <c r="O94" s="146"/>
    </row>
    <row customHeight="1" ht="14.25">
      <c r="A95" s="297"/>
      <c r="B95" s="67"/>
      <c r="C95" s="67"/>
      <c r="D95" s="221"/>
      <c r="E95" s="67"/>
      <c r="F95" s="67"/>
      <c r="G95" s="67"/>
      <c r="H95" s="227"/>
      <c r="I95" s="67"/>
      <c r="J95" s="67"/>
      <c r="K95" s="146"/>
      <c r="L95" s="146"/>
      <c r="M95" s="146"/>
      <c r="N95" s="146"/>
      <c r="O95" s="146"/>
    </row>
    <row customHeight="1" ht="14.25">
      <c r="A96" s="297"/>
      <c r="B96" s="67"/>
      <c r="C96" s="67"/>
      <c r="D96" s="221"/>
      <c r="E96" s="67"/>
      <c r="F96" s="67"/>
      <c r="G96" s="67"/>
      <c r="H96" s="67"/>
      <c r="I96" s="67"/>
      <c r="J96" s="67"/>
      <c r="K96" s="146"/>
      <c r="L96" s="146"/>
      <c r="M96" s="146"/>
      <c r="N96" s="146"/>
      <c r="O96" s="146"/>
    </row>
    <row customHeight="1" ht="14.25">
      <c r="A97" s="297"/>
      <c r="B97" s="223"/>
      <c r="C97" s="67"/>
      <c r="D97" s="220"/>
      <c r="E97" s="67"/>
      <c r="F97" s="67"/>
      <c r="G97" s="146"/>
      <c r="H97" s="67"/>
      <c r="I97" s="227"/>
      <c r="J97" s="227"/>
      <c r="K97" s="146"/>
      <c r="L97" s="146"/>
      <c r="M97" s="146"/>
      <c r="N97" s="146"/>
      <c r="O97" s="146"/>
    </row>
    <row customHeight="1" ht="14.25">
      <c r="A98" s="297"/>
      <c r="B98" s="223"/>
      <c r="C98" s="67"/>
      <c r="D98" s="220"/>
      <c r="E98" s="67">
        <v>99.6577017114914</v>
      </c>
      <c r="F98" s="67"/>
      <c r="G98" s="146">
        <v>0</v>
      </c>
      <c r="H98" s="67"/>
      <c r="I98" s="227"/>
      <c r="J98" s="227"/>
      <c r="K98" s="146"/>
      <c r="L98" s="146"/>
      <c r="M98" s="146"/>
      <c r="N98" s="146"/>
      <c r="O98" s="146"/>
    </row>
    <row customHeight="1" ht="14.25">
      <c r="A99" s="297"/>
      <c r="B99" s="223"/>
      <c r="C99" s="67"/>
      <c r="D99" s="220"/>
      <c r="E99" s="67"/>
      <c r="F99" s="67"/>
      <c r="G99" s="146">
        <v>0</v>
      </c>
      <c r="H99" s="67"/>
      <c r="I99" s="227"/>
      <c r="J99" s="227"/>
      <c r="K99" s="146"/>
      <c r="L99" s="146"/>
      <c r="M99" s="146"/>
      <c r="N99" s="146"/>
      <c r="O99" s="146"/>
    </row>
    <row customHeight="1" ht="14.25">
      <c r="A100" s="297"/>
      <c r="B100" s="223"/>
      <c r="C100" s="67"/>
      <c r="D100" s="220"/>
      <c r="E100" s="67"/>
      <c r="F100" s="67"/>
      <c r="G100" s="146"/>
      <c r="H100" s="227"/>
      <c r="I100" s="227"/>
      <c r="J100" s="227"/>
      <c r="K100" s="146"/>
      <c r="L100" s="146"/>
      <c r="M100" s="146"/>
      <c r="N100" s="146"/>
      <c r="O100" s="146"/>
    </row>
    <row customHeight="1" ht="14.25">
      <c r="A101" s="297"/>
      <c r="B101" s="223"/>
      <c r="C101" s="67"/>
      <c r="D101" s="220"/>
      <c r="E101" s="67"/>
      <c r="F101" s="67"/>
      <c r="G101" s="227"/>
      <c r="H101" s="67"/>
      <c r="I101" s="227"/>
      <c r="J101" s="227"/>
      <c r="K101" s="146"/>
      <c r="L101" s="146"/>
      <c r="M101" s="146"/>
      <c r="N101" s="146"/>
      <c r="O101" s="146"/>
    </row>
    <row customHeight="1" ht="14.25">
      <c r="A102" s="297"/>
      <c r="B102" s="67"/>
      <c r="C102" s="223"/>
      <c r="D102" s="220"/>
      <c r="E102" s="67"/>
      <c r="F102" s="67"/>
      <c r="G102" s="146">
        <v>1369.42</v>
      </c>
      <c r="H102" s="67"/>
      <c r="I102" s="227"/>
      <c r="J102" s="227"/>
      <c r="K102" s="146"/>
      <c r="L102" s="146"/>
      <c r="M102" s="146"/>
      <c r="N102" s="146"/>
      <c r="O102" s="146"/>
    </row>
    <row customHeight="1" ht="14.25">
      <c r="A103" s="297"/>
      <c r="B103" s="67"/>
      <c r="C103" s="223"/>
      <c r="D103" s="220"/>
      <c r="E103" s="67">
        <v>48.5474006116208</v>
      </c>
      <c r="F103" s="67"/>
      <c r="G103" s="227"/>
      <c r="H103" s="67"/>
      <c r="I103" s="227"/>
      <c r="J103" s="227"/>
      <c r="K103" s="146"/>
      <c r="L103" s="146"/>
      <c r="M103" s="146"/>
      <c r="N103" s="146"/>
      <c r="O103" s="146"/>
    </row>
    <row customHeight="1" ht="14.25">
      <c r="A104" s="297"/>
      <c r="B104" s="67"/>
      <c r="C104" s="223"/>
      <c r="D104" s="220"/>
      <c r="E104" s="67"/>
      <c r="F104" s="67"/>
      <c r="G104" s="146">
        <v>1369.42</v>
      </c>
      <c r="H104" s="67"/>
      <c r="I104" s="227"/>
      <c r="J104" s="227"/>
      <c r="K104" s="146"/>
      <c r="L104" s="146"/>
      <c r="M104" s="146"/>
      <c r="N104" s="146"/>
      <c r="O104" s="146"/>
    </row>
    <row customHeight="1" ht="14.25">
      <c r="A105" s="297"/>
      <c r="B105" s="67"/>
      <c r="C105" s="223"/>
      <c r="D105" s="220"/>
      <c r="E105" s="67"/>
      <c r="F105" s="67"/>
      <c r="G105" s="146">
        <v>1369.42</v>
      </c>
      <c r="H105" s="67"/>
      <c r="I105" s="227"/>
      <c r="J105" s="227"/>
      <c r="K105" s="146"/>
      <c r="L105" s="146"/>
      <c r="M105" s="146"/>
      <c r="N105" s="146"/>
      <c r="O105" s="146"/>
    </row>
    <row customHeight="1" ht="14.25">
      <c r="A106" s="297"/>
      <c r="B106" s="67"/>
      <c r="C106" s="223"/>
      <c r="D106" s="220"/>
      <c r="E106" s="67"/>
      <c r="F106" s="67"/>
      <c r="G106" s="146">
        <v>1369.42</v>
      </c>
      <c r="H106" s="67"/>
      <c r="I106" s="227"/>
      <c r="J106" s="227"/>
      <c r="K106" s="146"/>
      <c r="L106" s="146"/>
      <c r="M106" s="146"/>
      <c r="N106" s="146"/>
      <c r="O106" s="146"/>
    </row>
    <row customHeight="1" ht="14.25">
      <c r="A107" s="297"/>
      <c r="B107" s="67"/>
      <c r="C107" s="221"/>
      <c r="D107" s="221"/>
      <c r="E107" s="67"/>
      <c r="F107" s="67"/>
      <c r="G107" s="227"/>
      <c r="H107" s="67"/>
      <c r="I107" s="227"/>
      <c r="J107" s="227"/>
      <c r="K107" s="146"/>
      <c r="L107" s="146"/>
      <c r="M107" s="146"/>
      <c r="N107" s="146"/>
      <c r="O107" s="146"/>
    </row>
    <row customHeight="1" ht="14.25">
      <c r="A108" s="297"/>
      <c r="B108" s="67"/>
      <c r="C108" s="67"/>
      <c r="D108" s="220"/>
      <c r="E108" s="67"/>
      <c r="F108" s="67"/>
      <c r="G108" s="67"/>
      <c r="H108" s="67"/>
      <c r="I108" s="227"/>
      <c r="J108" s="227"/>
      <c r="K108" s="146"/>
      <c r="L108" s="146"/>
      <c r="M108" s="146"/>
      <c r="N108" s="146"/>
      <c r="O108" s="146"/>
    </row>
    <row customHeight="1" ht="14.25">
      <c r="A109" s="297"/>
      <c r="B109" s="67"/>
      <c r="C109" s="67"/>
      <c r="D109" s="220"/>
      <c r="E109" s="67"/>
      <c r="F109" s="67"/>
      <c r="G109" s="67"/>
      <c r="H109" s="67"/>
      <c r="I109" s="227"/>
      <c r="J109" s="227"/>
      <c r="K109" s="146"/>
      <c r="L109" s="146"/>
      <c r="M109" s="146"/>
      <c r="N109" s="146"/>
      <c r="O109" s="146"/>
    </row>
    <row customHeight="1" ht="14.25">
      <c r="A110" s="297"/>
      <c r="B110" s="67"/>
      <c r="C110" s="67"/>
      <c r="D110" s="220"/>
      <c r="E110" s="67"/>
      <c r="F110" s="67"/>
      <c r="G110" s="67"/>
      <c r="H110" s="67"/>
      <c r="I110" s="227"/>
      <c r="J110" s="227"/>
      <c r="K110" s="146"/>
      <c r="L110" s="146"/>
      <c r="M110" s="146"/>
      <c r="N110" s="146"/>
      <c r="O110" s="146"/>
    </row>
    <row customHeight="1" ht="14.25">
      <c r="A111" s="297"/>
      <c r="B111" s="67"/>
      <c r="C111" s="67"/>
      <c r="D111" s="220"/>
      <c r="E111" s="146"/>
      <c r="F111" s="67"/>
      <c r="G111" s="67"/>
      <c r="H111" s="67"/>
      <c r="I111" s="227"/>
      <c r="J111" s="227"/>
      <c r="K111" s="146"/>
      <c r="L111" s="146"/>
      <c r="M111" s="146"/>
      <c r="N111" s="146"/>
      <c r="O111" s="146"/>
    </row>
    <row customHeight="1" ht="14.25">
      <c r="A112" s="297"/>
      <c r="B112" s="67"/>
      <c r="C112" s="223"/>
      <c r="D112" s="221"/>
      <c r="E112" s="67">
        <v>18.3173588924388</v>
      </c>
      <c r="F112" s="67"/>
      <c r="G112" s="67">
        <v>94349</v>
      </c>
      <c r="H112" s="67"/>
      <c r="I112" s="227"/>
      <c r="J112" s="227"/>
      <c r="K112" s="146"/>
      <c r="L112" s="146"/>
      <c r="M112" s="146"/>
      <c r="N112" s="146"/>
      <c r="O112" s="146"/>
    </row>
    <row customHeight="1" ht="14.25">
      <c r="A113" s="297"/>
      <c r="B113" s="67"/>
      <c r="C113" s="223"/>
      <c r="D113" s="221"/>
      <c r="E113" s="146"/>
      <c r="F113" s="67"/>
      <c r="G113" s="67">
        <v>30986</v>
      </c>
      <c r="H113" s="67"/>
      <c r="I113" s="227"/>
      <c r="J113" s="227"/>
      <c r="K113" s="146"/>
      <c r="L113" s="146"/>
      <c r="M113" s="146"/>
      <c r="N113" s="146"/>
      <c r="O113" s="146"/>
    </row>
    <row customHeight="1" ht="14.25">
      <c r="A114" s="297"/>
      <c r="B114" s="67"/>
      <c r="C114" s="223"/>
      <c r="D114" s="221"/>
      <c r="E114" s="67">
        <v>96.0219478737997</v>
      </c>
      <c r="F114" s="67"/>
      <c r="G114" s="146">
        <v>30175</v>
      </c>
      <c r="H114" s="67"/>
      <c r="I114" s="227"/>
      <c r="J114" s="227"/>
      <c r="K114" s="146"/>
      <c r="L114" s="146"/>
      <c r="M114" s="146"/>
      <c r="N114" s="146"/>
      <c r="O114" s="146"/>
    </row>
    <row customHeight="1" ht="14.25">
      <c r="A115" s="297"/>
      <c r="B115" s="67"/>
      <c r="C115" s="223"/>
      <c r="D115" s="221"/>
      <c r="E115" s="67"/>
      <c r="F115" s="67"/>
      <c r="G115" s="67">
        <v>23339</v>
      </c>
      <c r="H115" s="67"/>
      <c r="I115" s="227"/>
      <c r="J115" s="227"/>
      <c r="K115" s="146"/>
      <c r="L115" s="146"/>
      <c r="M115" s="146"/>
      <c r="N115" s="146"/>
      <c r="O115" s="146"/>
    </row>
    <row customHeight="1" ht="14.25">
      <c r="A116" s="297"/>
      <c r="B116" s="67"/>
      <c r="C116" s="221"/>
      <c r="D116" s="221"/>
      <c r="E116" s="67"/>
      <c r="F116" s="67"/>
      <c r="G116" s="67">
        <v>6112</v>
      </c>
      <c r="H116" s="67"/>
      <c r="I116" s="67"/>
      <c r="J116" s="227"/>
      <c r="K116" s="146"/>
      <c r="L116" s="146"/>
      <c r="M116" s="146"/>
      <c r="N116" s="146"/>
      <c r="O116" s="146"/>
    </row>
    <row customHeight="1" ht="14.25">
      <c r="A117" s="297"/>
      <c r="B117" s="67"/>
      <c r="C117" s="221"/>
      <c r="D117" s="221"/>
      <c r="E117" s="67"/>
      <c r="F117" s="67"/>
      <c r="G117" s="67">
        <v>3189</v>
      </c>
      <c r="H117" s="146"/>
      <c r="I117" s="67"/>
      <c r="J117" s="227"/>
      <c r="K117" s="146"/>
      <c r="L117" s="146"/>
      <c r="M117" s="146"/>
      <c r="N117" s="146"/>
      <c r="O117" s="146"/>
    </row>
    <row customHeight="1" ht="14.25">
      <c r="A118" s="297"/>
      <c r="B118" s="67"/>
      <c r="C118" s="221"/>
      <c r="D118" s="221"/>
      <c r="E118" s="67"/>
      <c r="F118" s="67"/>
      <c r="G118" s="67">
        <v>14313</v>
      </c>
      <c r="H118" s="67"/>
      <c r="I118" s="67"/>
      <c r="J118" s="227"/>
      <c r="K118" s="146"/>
      <c r="L118" s="146"/>
      <c r="M118" s="146"/>
      <c r="N118" s="146"/>
      <c r="O118" s="146"/>
    </row>
    <row customHeight="1" ht="14.25">
      <c r="A119" s="297"/>
      <c r="B119" s="223"/>
      <c r="C119" s="221"/>
      <c r="D119" s="221"/>
      <c r="E119" s="67"/>
      <c r="F119" s="67"/>
      <c r="G119" s="67">
        <v>33634</v>
      </c>
      <c r="H119" s="67"/>
      <c r="I119" s="67"/>
      <c r="J119" s="227"/>
      <c r="K119" s="146"/>
      <c r="L119" s="146"/>
      <c r="M119" s="146"/>
      <c r="N119" s="146"/>
      <c r="O119" s="146"/>
    </row>
    <row customHeight="1" ht="14.25">
      <c r="A120" s="297"/>
      <c r="B120" s="67"/>
      <c r="C120" s="221"/>
      <c r="D120" s="221"/>
      <c r="E120" s="67"/>
      <c r="F120" s="67"/>
      <c r="G120" s="67">
        <v>0</v>
      </c>
      <c r="H120" s="146"/>
      <c r="I120" s="67"/>
      <c r="J120" s="227"/>
      <c r="K120" s="146"/>
      <c r="L120" s="146"/>
      <c r="M120" s="146"/>
      <c r="N120" s="146"/>
      <c r="O120" s="146"/>
    </row>
    <row customHeight="1" ht="14.25">
      <c r="A121" s="297"/>
      <c r="B121" s="67"/>
      <c r="C121" s="221"/>
      <c r="D121" s="221"/>
      <c r="E121" s="67">
        <v>43.8767550702028</v>
      </c>
      <c r="F121" s="67"/>
      <c r="G121" s="67"/>
      <c r="H121" s="67"/>
      <c r="I121" s="67"/>
      <c r="J121" s="227"/>
      <c r="K121" s="146"/>
      <c r="L121" s="146"/>
      <c r="M121" s="146"/>
      <c r="N121" s="146"/>
      <c r="O121" s="146"/>
    </row>
    <row customHeight="1" ht="14.25">
      <c r="A122" s="297"/>
      <c r="B122" s="67"/>
      <c r="C122" s="221"/>
      <c r="D122" s="221"/>
      <c r="E122" s="67"/>
      <c r="F122" s="67"/>
      <c r="G122" s="67"/>
      <c r="H122" s="146"/>
      <c r="I122" s="67"/>
      <c r="J122" s="227"/>
      <c r="K122" s="146"/>
      <c r="L122" s="146"/>
      <c r="M122" s="146"/>
      <c r="N122" s="146"/>
      <c r="O122" s="146"/>
    </row>
    <row customHeight="1" ht="14.25">
      <c r="A123" s="297"/>
      <c r="B123" s="67"/>
      <c r="C123" s="223"/>
      <c r="D123" s="223"/>
      <c r="E123" s="146">
        <v>0</v>
      </c>
      <c r="F123" s="67"/>
      <c r="G123" s="408"/>
      <c r="H123" s="67"/>
      <c r="I123" s="67"/>
      <c r="J123" s="227"/>
      <c r="K123" s="146"/>
      <c r="L123" s="146"/>
      <c r="M123" s="146"/>
      <c r="N123" s="146"/>
      <c r="O123" s="146"/>
    </row>
    <row customHeight="1" ht="14.25">
      <c r="A124" s="297"/>
      <c r="B124" s="67"/>
      <c r="C124" s="223"/>
      <c r="D124" s="223"/>
      <c r="E124" s="67"/>
      <c r="F124" s="67"/>
      <c r="G124" s="408"/>
      <c r="H124" s="67"/>
      <c r="I124" s="67"/>
      <c r="J124" s="227"/>
      <c r="K124" s="146"/>
      <c r="L124" s="146"/>
      <c r="M124" s="146"/>
      <c r="N124" s="146"/>
      <c r="O124" s="146"/>
    </row>
    <row customHeight="1" ht="14.25">
      <c r="A125" s="297"/>
      <c r="B125" s="67"/>
      <c r="C125" s="223"/>
      <c r="D125" s="223"/>
      <c r="E125" s="146">
        <v>0</v>
      </c>
      <c r="F125" s="67"/>
      <c r="G125" s="408"/>
      <c r="H125" s="67"/>
      <c r="I125" s="67"/>
      <c r="J125" s="227"/>
      <c r="K125" s="146"/>
      <c r="L125" s="146"/>
      <c r="M125" s="146"/>
      <c r="N125" s="146"/>
      <c r="O125" s="146"/>
    </row>
    <row customHeight="1" ht="14.25">
      <c r="A126" s="297"/>
      <c r="B126" s="67"/>
      <c r="C126" s="223"/>
      <c r="D126" s="223"/>
      <c r="E126" s="146"/>
      <c r="F126" s="67"/>
      <c r="G126" s="67"/>
      <c r="H126" s="67"/>
      <c r="I126" s="67"/>
      <c r="J126" s="227"/>
      <c r="K126" s="146"/>
      <c r="L126" s="146"/>
      <c r="M126" s="146"/>
      <c r="N126" s="146"/>
      <c r="O126" s="146"/>
    </row>
    <row customHeight="1" ht="14.25">
      <c r="A127" s="297"/>
      <c r="B127" s="67"/>
      <c r="C127" s="221"/>
      <c r="D127" s="221"/>
      <c r="E127" s="146"/>
      <c r="F127" s="67"/>
      <c r="G127" s="67"/>
      <c r="H127" s="227"/>
      <c r="I127" s="67"/>
      <c r="J127" s="227"/>
      <c r="K127" s="146"/>
      <c r="L127" s="146"/>
      <c r="M127" s="146"/>
      <c r="N127" s="146"/>
      <c r="O127" s="146"/>
    </row>
    <row customHeight="1" ht="14.25">
      <c r="A128" s="297"/>
      <c r="B128" s="67"/>
      <c r="C128" s="221"/>
      <c r="D128" s="221"/>
      <c r="E128" s="67"/>
      <c r="F128" s="67"/>
      <c r="G128" s="67"/>
      <c r="H128" s="67"/>
      <c r="I128" s="67"/>
      <c r="J128" s="227"/>
      <c r="K128" s="146"/>
      <c r="L128" s="146"/>
      <c r="M128" s="146"/>
      <c r="N128" s="146"/>
      <c r="O128" s="146"/>
    </row>
    <row customHeight="1" ht="14.25">
      <c r="A129" s="297"/>
      <c r="B129" s="67"/>
      <c r="C129" s="221"/>
      <c r="D129" s="221"/>
      <c r="E129" s="146"/>
      <c r="F129" s="67"/>
      <c r="G129" s="227"/>
      <c r="H129" s="67"/>
      <c r="I129" s="67"/>
      <c r="J129" s="227"/>
      <c r="K129" s="146"/>
      <c r="L129" s="146"/>
      <c r="M129" s="146"/>
      <c r="N129" s="146"/>
      <c r="O129" s="146"/>
    </row>
    <row customHeight="1" ht="14.25">
      <c r="A130" s="297"/>
      <c r="B130" s="67"/>
      <c r="C130" s="221"/>
      <c r="D130" s="221"/>
      <c r="E130" s="67"/>
      <c r="F130" s="67"/>
      <c r="G130" s="227"/>
      <c r="H130" s="67"/>
      <c r="I130" s="67"/>
      <c r="J130" s="227"/>
      <c r="K130" s="146"/>
      <c r="L130" s="146"/>
      <c r="M130" s="146"/>
      <c r="N130" s="146"/>
      <c r="O130" s="146"/>
    </row>
    <row customHeight="1" ht="14.25">
      <c r="A131" s="297"/>
      <c r="B131" s="67"/>
      <c r="C131" s="221"/>
      <c r="D131" s="221"/>
      <c r="E131" s="67">
        <v>27.6283618581907</v>
      </c>
      <c r="F131" s="67"/>
      <c r="G131" s="67"/>
      <c r="H131" s="67"/>
      <c r="I131" s="67"/>
      <c r="J131" s="227"/>
      <c r="K131" s="146"/>
      <c r="L131" s="146"/>
      <c r="M131" s="146"/>
      <c r="N131" s="146"/>
      <c r="O131" s="146"/>
    </row>
    <row customHeight="1" ht="14.25">
      <c r="A132" s="297"/>
      <c r="B132" s="67"/>
      <c r="C132" s="221"/>
      <c r="D132" s="221"/>
      <c r="E132" s="146"/>
      <c r="F132" s="67"/>
      <c r="G132" s="67"/>
      <c r="H132" s="67"/>
      <c r="I132" s="67"/>
      <c r="J132" s="227"/>
      <c r="K132" s="146"/>
      <c r="L132" s="146"/>
      <c r="M132" s="146"/>
      <c r="N132" s="146"/>
      <c r="O132" s="146"/>
    </row>
    <row customHeight="1" ht="14.25">
      <c r="A133" s="297"/>
      <c r="B133" s="67"/>
      <c r="C133" s="221"/>
      <c r="D133" s="221"/>
      <c r="E133" s="146"/>
      <c r="F133" s="67"/>
      <c r="G133" s="408"/>
      <c r="H133" s="67"/>
      <c r="I133" s="227"/>
      <c r="J133" s="227"/>
      <c r="K133" s="146"/>
      <c r="L133" s="146"/>
      <c r="M133" s="146"/>
      <c r="N133" s="146"/>
      <c r="O133" s="146"/>
    </row>
    <row customHeight="1" ht="14.25">
      <c r="A134" s="297"/>
      <c r="B134" s="67"/>
      <c r="C134" s="221"/>
      <c r="D134" s="221"/>
      <c r="E134" s="67">
        <v>37.9287155346335</v>
      </c>
      <c r="F134" s="67"/>
      <c r="G134" s="408"/>
      <c r="H134" s="67"/>
      <c r="I134" s="227"/>
      <c r="J134" s="227"/>
      <c r="K134" s="146"/>
      <c r="L134" s="146"/>
      <c r="M134" s="146"/>
      <c r="N134" s="146"/>
      <c r="O134" s="146"/>
    </row>
    <row customHeight="1" ht="14.25">
      <c r="A135" s="297"/>
      <c r="B135" s="67"/>
      <c r="C135" s="221"/>
      <c r="D135" s="221"/>
      <c r="E135" s="146"/>
      <c r="F135" s="67"/>
      <c r="G135" s="67"/>
      <c r="H135" s="146"/>
      <c r="I135" s="227"/>
      <c r="J135" s="227"/>
      <c r="K135" s="146"/>
      <c r="L135" s="146"/>
      <c r="M135" s="146"/>
      <c r="N135" s="146"/>
      <c r="O135" s="146"/>
    </row>
    <row customHeight="1" ht="14.25">
      <c r="A136" s="297"/>
      <c r="B136" s="67"/>
      <c r="C136" s="221"/>
      <c r="D136" s="221"/>
      <c r="E136" s="67">
        <v>94.8785253143051</v>
      </c>
      <c r="F136" s="67"/>
      <c r="G136" s="67"/>
      <c r="H136" s="146"/>
      <c r="I136" s="227"/>
      <c r="J136" s="227"/>
      <c r="K136" s="146"/>
      <c r="L136" s="146"/>
      <c r="M136" s="146"/>
      <c r="N136" s="146"/>
      <c r="O136" s="146"/>
    </row>
    <row customHeight="1" ht="14.25">
      <c r="A137" s="297"/>
      <c r="B137" s="67"/>
      <c r="C137" s="221"/>
      <c r="D137" s="221"/>
      <c r="E137" s="67"/>
      <c r="F137" s="67"/>
      <c r="G137" s="67"/>
      <c r="H137" s="146"/>
      <c r="I137" s="227"/>
      <c r="J137" s="227"/>
      <c r="K137" s="146"/>
      <c r="L137" s="146"/>
      <c r="M137" s="146"/>
      <c r="N137" s="146"/>
      <c r="O137" s="146"/>
    </row>
    <row customHeight="1" ht="13.5">
      <c r="A138" s="297"/>
      <c r="B138" s="220"/>
      <c r="C138" s="220"/>
      <c r="D138" s="220"/>
      <c r="E138" s="67">
        <v>19355</v>
      </c>
      <c r="F138" s="67"/>
      <c r="G138" s="408"/>
      <c r="H138" s="146"/>
      <c r="I138" s="67"/>
      <c r="J138" s="67"/>
      <c r="K138" s="146"/>
      <c r="L138" s="146"/>
      <c r="M138" s="146"/>
      <c r="N138" s="146"/>
      <c r="O138" s="146"/>
    </row>
    <row customHeight="1" ht="13.5">
      <c r="A139" s="297"/>
      <c r="B139" s="220"/>
      <c r="C139" s="220"/>
      <c r="D139" s="220"/>
      <c r="E139" s="67"/>
      <c r="F139" s="67"/>
      <c r="G139" s="67"/>
      <c r="H139" s="146"/>
      <c r="I139" s="67"/>
      <c r="J139" s="67"/>
      <c r="K139" s="146"/>
      <c r="L139" s="146"/>
      <c r="M139" s="146"/>
      <c r="N139" s="146"/>
      <c r="O139" s="146"/>
    </row>
    <row customHeight="1" ht="13.5">
      <c r="A140" s="297"/>
      <c r="B140" s="220"/>
      <c r="C140" s="220"/>
      <c r="D140" s="220"/>
      <c r="E140" s="67"/>
      <c r="F140" s="67"/>
      <c r="G140" s="146">
        <v>0</v>
      </c>
      <c r="H140" s="146"/>
      <c r="I140" s="67"/>
      <c r="J140" s="67"/>
      <c r="K140" s="146"/>
      <c r="L140" s="146"/>
      <c r="M140" s="146"/>
      <c r="N140" s="146"/>
      <c r="O140" s="146"/>
    </row>
    <row customHeight="1" ht="13.5">
      <c r="A141" s="297"/>
      <c r="B141" s="67"/>
      <c r="C141" s="220"/>
      <c r="D141" s="220"/>
      <c r="E141" s="67"/>
      <c r="F141" s="67"/>
      <c r="G141" s="67"/>
      <c r="H141" s="146"/>
      <c r="I141" s="67"/>
      <c r="J141" s="67"/>
      <c r="K141" s="146"/>
      <c r="L141" s="146"/>
      <c r="M141" s="146"/>
      <c r="N141" s="146"/>
      <c r="O141" s="146"/>
    </row>
    <row customHeight="1" ht="13.5">
      <c r="A142" s="297"/>
      <c r="B142" s="67"/>
      <c r="C142" s="220"/>
      <c r="D142" s="220"/>
      <c r="E142" s="67"/>
      <c r="F142" s="67"/>
      <c r="G142" s="67">
        <v>52.8378679159291</v>
      </c>
      <c r="H142" s="146"/>
      <c r="I142" s="67"/>
      <c r="J142" s="67"/>
      <c r="K142" s="146"/>
      <c r="L142" s="146"/>
      <c r="M142" s="146"/>
      <c r="N142" s="146"/>
      <c r="O142" s="146"/>
    </row>
    <row customHeight="1" ht="13.5">
      <c r="A143" s="297"/>
      <c r="B143" s="220"/>
      <c r="C143" s="220"/>
      <c r="D143" s="220"/>
      <c r="E143" s="67"/>
      <c r="F143" s="67"/>
      <c r="G143" s="67">
        <v>70.180081327051</v>
      </c>
      <c r="H143" s="146"/>
      <c r="I143" s="67"/>
      <c r="J143" s="67"/>
      <c r="K143" s="146"/>
      <c r="L143" s="146"/>
      <c r="M143" s="146"/>
      <c r="N143" s="146"/>
      <c r="O143" s="146"/>
    </row>
    <row customHeight="1" ht="13.5">
      <c r="A144" s="297"/>
      <c r="B144" s="67"/>
      <c r="C144" s="220"/>
      <c r="D144" s="220"/>
      <c r="E144" s="67"/>
      <c r="F144" s="67"/>
      <c r="G144" s="67">
        <v>14.7550506680436</v>
      </c>
      <c r="H144" s="67"/>
      <c r="I144" s="67"/>
      <c r="J144" s="67"/>
      <c r="K144" s="146"/>
      <c r="L144" s="146"/>
      <c r="M144" s="146"/>
      <c r="N144" s="146"/>
      <c r="O144" s="146"/>
    </row>
    <row customHeight="1" ht="13.5">
      <c r="A145" s="297"/>
      <c r="B145" s="67"/>
      <c r="C145" s="220"/>
      <c r="D145" s="220"/>
      <c r="E145" s="67"/>
      <c r="F145" s="67"/>
      <c r="G145" s="67">
        <v>93.2087921504777</v>
      </c>
      <c r="H145" s="146"/>
      <c r="I145" s="67"/>
      <c r="J145" s="67"/>
      <c r="K145" s="146"/>
      <c r="L145" s="146"/>
      <c r="M145" s="146"/>
      <c r="N145" s="146"/>
      <c r="O145" s="146"/>
    </row>
    <row customHeight="1" ht="13.5">
      <c r="A146" s="297"/>
      <c r="B146" s="220"/>
      <c r="C146" s="220"/>
      <c r="D146" s="220"/>
      <c r="E146" s="67"/>
      <c r="F146" s="67"/>
      <c r="G146" s="67"/>
      <c r="H146" s="146"/>
      <c r="I146" s="67"/>
      <c r="J146" s="67"/>
      <c r="K146" s="146"/>
      <c r="L146" s="146"/>
      <c r="M146" s="146"/>
      <c r="N146" s="146"/>
      <c r="O146" s="146"/>
    </row>
    <row customHeight="1" ht="13.5">
      <c r="A147" s="297"/>
      <c r="B147" s="220"/>
      <c r="C147" s="220"/>
      <c r="D147" s="220"/>
      <c r="E147" s="67"/>
      <c r="F147" s="67"/>
      <c r="G147" s="67"/>
      <c r="H147" s="146"/>
      <c r="I147" s="67"/>
      <c r="J147" s="67"/>
      <c r="K147" s="146"/>
      <c r="L147" s="146"/>
      <c r="M147" s="146"/>
      <c r="N147" s="146"/>
      <c r="O147" s="146"/>
    </row>
    <row customHeight="1" ht="13.5">
      <c r="A148" s="297"/>
      <c r="B148" s="220"/>
      <c r="C148" s="220"/>
      <c r="D148" s="220"/>
      <c r="E148" s="67"/>
      <c r="F148" s="67"/>
      <c r="G148" s="67"/>
      <c r="H148" s="67"/>
      <c r="I148" s="67"/>
      <c r="J148" s="67"/>
      <c r="K148" s="146"/>
      <c r="L148" s="146"/>
      <c r="M148" s="146"/>
      <c r="N148" s="146"/>
      <c r="O148" s="146"/>
    </row>
    <row customHeight="1" ht="13.5">
      <c r="A149" s="297"/>
      <c r="B149" s="220"/>
      <c r="C149" s="220"/>
      <c r="D149" s="220"/>
      <c r="E149" s="67"/>
      <c r="F149" s="67"/>
      <c r="G149" s="67"/>
      <c r="H149" s="67"/>
      <c r="I149" s="67"/>
      <c r="J149" s="67"/>
      <c r="K149" s="146"/>
      <c r="L149" s="146"/>
      <c r="M149" s="146"/>
      <c r="N149" s="146"/>
      <c r="O149" s="146"/>
    </row>
    <row customHeight="1" ht="13.5">
      <c r="A150" s="297"/>
      <c r="B150" s="220"/>
      <c r="C150" s="220"/>
      <c r="D150" s="220"/>
      <c r="E150" s="67"/>
      <c r="F150" s="67"/>
      <c r="G150" s="67"/>
      <c r="H150" s="67"/>
      <c r="I150" s="67"/>
      <c r="J150" s="67"/>
      <c r="K150" s="146"/>
      <c r="L150" s="146"/>
      <c r="M150" s="146"/>
      <c r="N150" s="146"/>
      <c r="O150" s="146"/>
    </row>
    <row customHeight="1" ht="13.5">
      <c r="A151" s="297"/>
      <c r="B151" s="220"/>
      <c r="C151" s="220"/>
      <c r="D151" s="220"/>
      <c r="E151" s="67"/>
      <c r="F151" s="67"/>
      <c r="G151" s="67"/>
      <c r="H151" s="67"/>
      <c r="I151" s="67"/>
      <c r="J151" s="67"/>
      <c r="K151" s="146"/>
      <c r="L151" s="146"/>
      <c r="M151" s="146"/>
      <c r="N151" s="146"/>
      <c r="O151" s="146"/>
    </row>
    <row customHeight="1" ht="13.5">
      <c r="A152" s="297"/>
      <c r="B152" s="220"/>
      <c r="C152" s="220"/>
      <c r="D152" s="220"/>
      <c r="E152" s="67"/>
      <c r="F152" s="67"/>
      <c r="G152" s="67">
        <v>94.0420194418313</v>
      </c>
      <c r="H152" s="67"/>
      <c r="I152" s="67"/>
      <c r="J152" s="67"/>
      <c r="K152" s="146"/>
      <c r="L152" s="146"/>
      <c r="M152" s="146"/>
      <c r="N152" s="146"/>
      <c r="O152" s="146"/>
    </row>
    <row customHeight="1" ht="13.5">
      <c r="A153" s="297"/>
      <c r="B153" s="220"/>
      <c r="C153" s="220"/>
      <c r="D153" s="220"/>
      <c r="E153" s="67"/>
      <c r="F153" s="67"/>
      <c r="G153" s="67"/>
      <c r="H153" s="67"/>
      <c r="I153" s="67"/>
      <c r="J153" s="67"/>
      <c r="K153" s="146"/>
      <c r="L153" s="146"/>
      <c r="M153" s="146"/>
      <c r="N153" s="146"/>
      <c r="O153" s="146"/>
    </row>
    <row customHeight="1" ht="13.5">
      <c r="A154" s="297"/>
      <c r="B154" s="220"/>
      <c r="C154" s="220"/>
      <c r="D154" s="220"/>
      <c r="E154" s="67"/>
      <c r="F154" s="67"/>
      <c r="G154" s="67"/>
      <c r="H154" s="67"/>
      <c r="I154" s="67"/>
      <c r="J154" s="67"/>
      <c r="K154" s="146"/>
      <c r="L154" s="146"/>
      <c r="M154" s="146"/>
      <c r="N154" s="146"/>
      <c r="O154" s="146"/>
    </row>
    <row customHeight="1" ht="13.5">
      <c r="A155" s="297"/>
      <c r="B155" s="220"/>
      <c r="C155" s="220"/>
      <c r="D155" s="220"/>
      <c r="E155" s="67"/>
      <c r="F155" s="67"/>
      <c r="G155" s="67"/>
      <c r="H155" s="67"/>
      <c r="I155" s="67"/>
      <c r="J155" s="67"/>
      <c r="K155" s="146"/>
      <c r="L155" s="146"/>
      <c r="M155" s="146"/>
      <c r="N155" s="146"/>
      <c r="O155" s="146"/>
    </row>
    <row customHeight="1" ht="13.5">
      <c r="A156" s="297"/>
      <c r="B156" s="220"/>
      <c r="C156" s="220"/>
      <c r="D156" s="220"/>
      <c r="E156" s="67"/>
      <c r="F156" s="67"/>
      <c r="G156" s="67">
        <v>99.22448124083</v>
      </c>
      <c r="H156" s="67"/>
      <c r="I156" s="67"/>
      <c r="J156" s="67"/>
      <c r="K156" s="146"/>
      <c r="L156" s="146"/>
      <c r="M156" s="146"/>
      <c r="N156" s="146"/>
      <c r="O156" s="146"/>
    </row>
    <row customHeight="1" ht="13.5">
      <c r="A157" s="297"/>
      <c r="B157" s="146"/>
      <c r="C157" s="220"/>
      <c r="D157" s="220"/>
      <c r="E157" s="67"/>
      <c r="F157" s="67"/>
      <c r="G157" s="67">
        <v>99.1675090682049</v>
      </c>
      <c r="H157" s="67"/>
      <c r="I157" s="67"/>
      <c r="J157" s="67"/>
      <c r="K157" s="146"/>
      <c r="L157" s="146"/>
      <c r="M157" s="146"/>
      <c r="N157" s="146"/>
      <c r="O157" s="146"/>
    </row>
    <row customHeight="1" ht="13.5">
      <c r="A158" s="297"/>
      <c r="B158" s="146"/>
      <c r="C158" s="220"/>
      <c r="D158" s="220"/>
      <c r="E158" s="67"/>
      <c r="F158" s="67"/>
      <c r="G158" s="67">
        <v>75.822743219324</v>
      </c>
      <c r="H158" s="67"/>
      <c r="I158" s="67"/>
      <c r="J158" s="67"/>
      <c r="K158" s="146"/>
      <c r="L158" s="146"/>
      <c r="M158" s="146"/>
      <c r="N158" s="146"/>
      <c r="O158" s="146"/>
    </row>
    <row customHeight="1" ht="13.5">
      <c r="A159" s="297"/>
      <c r="B159" s="220"/>
      <c r="C159" s="220"/>
      <c r="D159" s="220"/>
      <c r="E159" s="67"/>
      <c r="F159" s="67"/>
      <c r="G159" s="67"/>
      <c r="H159" s="67"/>
      <c r="I159" s="67"/>
      <c r="J159" s="67"/>
      <c r="K159" s="146"/>
      <c r="L159" s="146"/>
      <c r="M159" s="146"/>
      <c r="N159" s="146"/>
      <c r="O159" s="146"/>
    </row>
    <row customHeight="1" ht="13.5">
      <c r="A160" s="297"/>
      <c r="B160" s="220"/>
      <c r="C160" s="220"/>
      <c r="D160" s="220"/>
      <c r="E160" s="67"/>
      <c r="F160" s="67"/>
      <c r="G160" s="67"/>
      <c r="H160" s="67"/>
      <c r="I160" s="67"/>
      <c r="J160" s="67"/>
      <c r="K160" s="146"/>
      <c r="L160" s="146"/>
      <c r="M160" s="146"/>
      <c r="N160" s="146"/>
      <c r="O160" s="146"/>
    </row>
    <row customHeight="1" ht="13.5">
      <c r="A161" s="297"/>
      <c r="B161" s="220"/>
      <c r="C161" s="220"/>
      <c r="D161" s="220"/>
      <c r="E161" s="67"/>
      <c r="F161" s="67"/>
      <c r="G161" s="67"/>
      <c r="H161" s="67"/>
      <c r="I161" s="67"/>
      <c r="J161" s="67"/>
      <c r="K161" s="146"/>
      <c r="L161" s="146"/>
      <c r="M161" s="146"/>
      <c r="N161" s="146"/>
      <c r="O161" s="146"/>
    </row>
    <row customHeight="1" ht="13.5">
      <c r="A162" s="297"/>
      <c r="B162" s="220"/>
      <c r="C162" s="220"/>
      <c r="D162" s="220"/>
      <c r="E162" s="67"/>
      <c r="F162" s="67"/>
      <c r="G162" s="67"/>
      <c r="H162" s="67"/>
      <c r="I162" s="67"/>
      <c r="J162" s="67"/>
      <c r="K162" s="146"/>
      <c r="L162" s="146"/>
      <c r="M162" s="146"/>
      <c r="N162" s="146"/>
      <c r="O162" s="146"/>
    </row>
    <row customHeight="1" ht="13.5">
      <c r="A163" s="297"/>
      <c r="B163" s="220"/>
      <c r="C163" s="220"/>
      <c r="D163" s="220"/>
      <c r="E163" s="67"/>
      <c r="F163" s="67"/>
      <c r="G163" s="67"/>
      <c r="H163" s="67"/>
      <c r="I163" s="67"/>
      <c r="J163" s="67"/>
      <c r="K163" s="146"/>
      <c r="L163" s="146"/>
      <c r="M163" s="146"/>
      <c r="N163" s="146"/>
      <c r="O163" s="146"/>
    </row>
    <row customHeight="1" ht="13.5">
      <c r="A164" s="297"/>
      <c r="B164" s="220"/>
      <c r="C164" s="220"/>
      <c r="D164" s="220"/>
      <c r="E164" s="67"/>
      <c r="F164" s="67"/>
      <c r="G164" s="67"/>
      <c r="H164" s="433">
        <v>93.2164914037723</v>
      </c>
      <c r="I164" s="67"/>
      <c r="J164" s="67"/>
      <c r="K164" s="146"/>
      <c r="L164" s="146"/>
      <c r="M164" s="146"/>
      <c r="N164" s="146"/>
      <c r="O164" s="146"/>
    </row>
    <row customHeight="1" ht="13.5">
      <c r="A165" s="297"/>
      <c r="B165" s="220"/>
      <c r="C165" s="220"/>
      <c r="D165" s="220"/>
      <c r="E165" s="67"/>
      <c r="F165" s="67"/>
      <c r="G165" s="67"/>
      <c r="H165" s="433">
        <v>99.7281484545831</v>
      </c>
      <c r="I165" s="67"/>
      <c r="J165" s="67"/>
      <c r="K165" s="146"/>
      <c r="L165" s="146"/>
      <c r="M165" s="146"/>
      <c r="N165" s="146"/>
      <c r="O165" s="146"/>
    </row>
    <row customHeight="1" ht="13.5">
      <c r="A166" s="297"/>
      <c r="B166" s="220"/>
      <c r="C166" s="220"/>
      <c r="D166" s="220"/>
      <c r="E166" s="67"/>
      <c r="F166" s="67"/>
      <c r="G166" s="67"/>
      <c r="H166" s="433">
        <v>97.9520802978792</v>
      </c>
      <c r="I166" s="67"/>
      <c r="J166" s="67"/>
      <c r="K166" s="146"/>
      <c r="L166" s="146"/>
      <c r="M166" s="146"/>
      <c r="N166" s="146"/>
      <c r="O166" s="146"/>
    </row>
    <row customHeight="1" ht="13.5">
      <c r="A167" s="297"/>
      <c r="B167" s="67"/>
      <c r="C167" s="67"/>
      <c r="D167" s="67"/>
      <c r="E167" s="67"/>
      <c r="F167" s="67"/>
      <c r="G167" s="67"/>
      <c r="H167" s="433">
        <v>26.7443742917274</v>
      </c>
      <c r="I167" s="67"/>
      <c r="J167" s="67"/>
      <c r="K167" s="146"/>
      <c r="L167" s="146"/>
      <c r="M167" s="146"/>
      <c r="N167" s="146"/>
      <c r="O167" s="146"/>
    </row>
    <row customHeight="1" ht="13.5">
      <c r="A168" s="297"/>
      <c r="B168" s="67"/>
      <c r="C168" s="67"/>
      <c r="D168" s="67"/>
      <c r="E168" s="67"/>
      <c r="F168" s="67"/>
      <c r="G168" s="67"/>
      <c r="H168" s="433">
        <v>97.0020449897751</v>
      </c>
      <c r="I168" s="67"/>
      <c r="J168" s="67"/>
      <c r="K168" s="146"/>
      <c r="L168" s="146"/>
      <c r="M168" s="146"/>
      <c r="N168" s="146"/>
      <c r="O168" s="146"/>
    </row>
    <row customHeight="1" ht="13.5">
      <c r="A169" s="297"/>
      <c r="B169" s="67"/>
      <c r="C169" s="67"/>
      <c r="D169" s="67"/>
      <c r="E169" s="67"/>
      <c r="F169" s="67"/>
      <c r="G169" s="67"/>
      <c r="H169" s="433">
        <v>15.6678312281645</v>
      </c>
      <c r="I169" s="67"/>
      <c r="J169" s="67"/>
      <c r="K169" s="146"/>
      <c r="L169" s="146"/>
      <c r="M169" s="146"/>
      <c r="N169" s="146"/>
      <c r="O169" s="146"/>
    </row>
    <row customHeight="1" ht="13.5">
      <c r="A170" s="297"/>
      <c r="B170" s="67"/>
      <c r="C170" s="67"/>
      <c r="D170" s="67"/>
      <c r="E170" s="67"/>
      <c r="F170" s="67"/>
      <c r="G170" s="67"/>
      <c r="H170" s="67"/>
      <c r="I170" s="67"/>
      <c r="J170" s="67"/>
      <c r="K170" s="146"/>
      <c r="L170" s="146"/>
      <c r="M170" s="146"/>
      <c r="N170" s="146"/>
      <c r="O170" s="146"/>
    </row>
    <row customHeight="1" ht="13.5">
      <c r="A171" s="297"/>
      <c r="B171" s="67"/>
      <c r="C171" s="67"/>
      <c r="D171" s="67"/>
      <c r="E171" s="67"/>
      <c r="F171" s="67"/>
      <c r="G171" s="67"/>
      <c r="H171" s="433">
        <v>99.4718309859155</v>
      </c>
      <c r="I171" s="67"/>
      <c r="J171" s="67"/>
      <c r="K171" s="146"/>
      <c r="L171" s="146"/>
      <c r="M171" s="146"/>
      <c r="N171" s="146"/>
      <c r="O171" s="146"/>
    </row>
    <row customHeight="1" ht="13.5">
      <c r="A172" s="297"/>
      <c r="B172" s="67"/>
      <c r="C172" s="67"/>
      <c r="D172" s="67"/>
      <c r="E172" s="67"/>
      <c r="F172" s="67"/>
      <c r="G172" s="67"/>
      <c r="H172" s="67"/>
      <c r="I172" s="67"/>
      <c r="J172" s="67"/>
      <c r="K172" s="146"/>
      <c r="L172" s="146"/>
      <c r="M172" s="146"/>
      <c r="N172" s="146"/>
      <c r="O172" s="146"/>
    </row>
    <row customHeight="1" ht="13.5">
      <c r="A173" s="297"/>
      <c r="B173" s="67"/>
      <c r="C173" s="67"/>
      <c r="D173" s="67"/>
      <c r="E173" s="67"/>
      <c r="F173" s="67"/>
      <c r="G173" s="67"/>
      <c r="H173" s="67"/>
      <c r="I173" s="67"/>
      <c r="J173" s="67"/>
      <c r="K173" s="146"/>
      <c r="L173" s="146"/>
      <c r="M173" s="146"/>
      <c r="N173" s="146"/>
      <c r="O173" s="146"/>
    </row>
    <row customHeight="1" ht="13.5">
      <c r="A174" s="297"/>
      <c r="B174" s="67"/>
      <c r="C174" s="67"/>
      <c r="D174" s="67"/>
      <c r="E174" s="67"/>
      <c r="F174" s="67"/>
      <c r="G174" s="67"/>
      <c r="H174" s="67"/>
      <c r="I174" s="67"/>
      <c r="J174" s="67"/>
      <c r="K174" s="146"/>
      <c r="L174" s="146"/>
      <c r="M174" s="146"/>
      <c r="N174" s="146"/>
      <c r="O174" s="146"/>
    </row>
    <row customHeight="1" ht="13.5">
      <c r="A175" s="297"/>
      <c r="B175" s="67"/>
      <c r="C175" s="67"/>
      <c r="D175" s="67"/>
      <c r="E175" s="67"/>
      <c r="F175" s="67"/>
      <c r="G175" s="67"/>
      <c r="H175" s="433">
        <v>99.0084062446389</v>
      </c>
      <c r="I175" s="67"/>
      <c r="J175" s="67"/>
      <c r="K175" s="146"/>
      <c r="L175" s="146"/>
      <c r="M175" s="146"/>
      <c r="N175" s="146"/>
      <c r="O175" s="146"/>
    </row>
    <row customHeight="1" ht="13.5">
      <c r="A176" s="297"/>
      <c r="B176" s="67"/>
      <c r="C176" s="67"/>
      <c r="D176" s="67"/>
      <c r="E176" s="67"/>
      <c r="F176" s="67"/>
      <c r="G176" s="67"/>
      <c r="H176" s="433">
        <v>99.1439802009026</v>
      </c>
      <c r="I176" s="67"/>
      <c r="J176" s="67"/>
      <c r="K176" s="146"/>
      <c r="L176" s="146"/>
      <c r="M176" s="146"/>
      <c r="N176" s="146"/>
      <c r="O176" s="146"/>
    </row>
    <row customHeight="1" ht="13.5">
      <c r="A177" s="297"/>
      <c r="B177" s="67"/>
      <c r="C177" s="67"/>
      <c r="D177" s="67"/>
      <c r="E177" s="67"/>
      <c r="F177" s="67"/>
      <c r="G177" s="67"/>
      <c r="H177" s="67"/>
      <c r="I177" s="67"/>
      <c r="J177" s="67"/>
      <c r="K177" s="146"/>
      <c r="L177" s="146"/>
      <c r="M177" s="146"/>
      <c r="N177" s="146"/>
      <c r="O177" s="146"/>
    </row>
    <row customHeight="1" ht="13.5">
      <c r="A178" s="297"/>
      <c r="B178" s="67"/>
      <c r="C178" s="67"/>
      <c r="D178" s="67"/>
      <c r="E178" s="67"/>
      <c r="F178" s="67"/>
      <c r="G178" s="67"/>
      <c r="H178" s="67"/>
      <c r="I178" s="67"/>
      <c r="J178" s="67"/>
      <c r="K178" s="146"/>
      <c r="L178" s="146"/>
      <c r="M178" s="146"/>
      <c r="N178" s="146"/>
      <c r="O178" s="146"/>
    </row>
    <row customHeight="1" ht="13.5">
      <c r="A179" s="297"/>
      <c r="B179" s="67"/>
      <c r="C179" s="67"/>
      <c r="D179" s="67"/>
      <c r="E179" s="67"/>
      <c r="F179" s="67"/>
      <c r="G179" s="67"/>
      <c r="H179" s="433">
        <v>19355</v>
      </c>
      <c r="I179" s="67"/>
      <c r="J179" s="67"/>
      <c r="K179" s="146"/>
      <c r="L179" s="146"/>
      <c r="M179" s="146"/>
      <c r="N179" s="146"/>
      <c r="O179" s="146"/>
    </row>
    <row customHeight="1" ht="13.5">
      <c r="A180" s="297"/>
      <c r="B180" s="67"/>
      <c r="C180" s="67"/>
      <c r="D180" s="67"/>
      <c r="E180" s="67"/>
      <c r="F180" s="67"/>
      <c r="G180" s="67"/>
      <c r="H180" s="433">
        <v>3732.06</v>
      </c>
      <c r="I180" s="67"/>
      <c r="J180" s="67"/>
      <c r="K180" s="146"/>
      <c r="L180" s="146"/>
      <c r="M180" s="146"/>
      <c r="N180" s="146"/>
      <c r="O180" s="146"/>
    </row>
    <row customHeight="1" ht="13.5">
      <c r="A181" s="297"/>
      <c r="B181" s="67"/>
      <c r="C181" s="67"/>
      <c r="D181" s="67"/>
      <c r="E181" s="67"/>
      <c r="F181" s="67"/>
      <c r="G181" s="67"/>
      <c r="H181" s="433">
        <v>1365.38</v>
      </c>
      <c r="I181" s="67"/>
      <c r="J181" s="67"/>
      <c r="K181" s="146"/>
      <c r="L181" s="146"/>
      <c r="M181" s="146"/>
      <c r="N181" s="146"/>
      <c r="O181" s="146"/>
    </row>
    <row customHeight="1" ht="13.5">
      <c r="A182" s="297"/>
      <c r="B182" s="67"/>
      <c r="C182" s="67"/>
      <c r="D182" s="67"/>
      <c r="E182" s="67"/>
      <c r="F182" s="67"/>
      <c r="G182" s="67"/>
      <c r="H182" s="67"/>
      <c r="I182" s="67"/>
      <c r="J182" s="67"/>
      <c r="K182" s="146"/>
      <c r="L182" s="146"/>
      <c r="M182" s="146"/>
      <c r="N182" s="146"/>
      <c r="O182" s="146"/>
    </row>
    <row customHeight="1" ht="13.5">
      <c r="A183" s="297"/>
      <c r="B183" s="67"/>
      <c r="C183" s="67"/>
      <c r="D183" s="67"/>
      <c r="E183" s="67"/>
      <c r="F183" s="67"/>
      <c r="G183" s="67"/>
      <c r="H183" s="67"/>
      <c r="I183" s="67"/>
      <c r="J183" s="67"/>
      <c r="K183" s="146"/>
      <c r="L183" s="146"/>
      <c r="M183" s="146"/>
      <c r="N183" s="146"/>
      <c r="O183" s="146"/>
    </row>
    <row customHeight="1" ht="13.5">
      <c r="A184" s="297"/>
      <c r="B184" s="67"/>
      <c r="C184" s="67"/>
      <c r="D184" s="67"/>
      <c r="E184" s="67"/>
      <c r="F184" s="67"/>
      <c r="G184" s="67"/>
      <c r="H184" s="220">
        <v>0.18</v>
      </c>
      <c r="I184" s="67"/>
      <c r="J184" s="67"/>
      <c r="K184" s="146"/>
      <c r="L184" s="146"/>
      <c r="M184" s="146"/>
      <c r="N184" s="146"/>
      <c r="O184" s="146"/>
    </row>
    <row customHeight="1" ht="13.5">
      <c r="A185" s="297"/>
      <c r="B185" s="67"/>
      <c r="C185" s="67"/>
      <c r="D185" s="67"/>
      <c r="E185" s="67"/>
      <c r="F185" s="67"/>
      <c r="G185" s="67"/>
      <c r="H185" s="220">
        <v>6257</v>
      </c>
      <c r="I185" s="67"/>
      <c r="J185" s="67"/>
      <c r="K185" s="146"/>
      <c r="L185" s="146"/>
      <c r="M185" s="146"/>
      <c r="N185" s="146"/>
      <c r="O185" s="146"/>
    </row>
    <row customHeight="1" ht="13.5">
      <c r="A186" s="297"/>
      <c r="B186" s="67"/>
      <c r="C186" s="67"/>
      <c r="D186" s="67"/>
      <c r="E186" s="67"/>
      <c r="F186" s="67"/>
      <c r="G186" s="67"/>
      <c r="H186" s="434"/>
      <c r="I186" s="67"/>
      <c r="J186" s="67"/>
      <c r="K186" s="146"/>
      <c r="L186" s="146"/>
      <c r="M186" s="146"/>
      <c r="N186" s="146"/>
      <c r="O186" s="146"/>
    </row>
    <row customHeight="1" ht="13.5">
      <c r="A187" s="297"/>
      <c r="B187" s="67"/>
      <c r="C187" s="67"/>
      <c r="D187" s="67"/>
      <c r="E187" s="67"/>
      <c r="F187" s="67"/>
      <c r="G187" s="67"/>
      <c r="H187" s="220">
        <v>81.21</v>
      </c>
      <c r="I187" s="67"/>
      <c r="J187" s="67"/>
      <c r="K187" s="392"/>
      <c r="L187" s="392"/>
      <c r="M187" s="392"/>
      <c r="N187" s="392"/>
      <c r="O187" s="392"/>
    </row>
    <row customHeight="1" ht="13.5">
      <c r="A188" s="297"/>
      <c r="B188" s="67"/>
      <c r="C188" s="67"/>
      <c r="D188" s="67"/>
      <c r="E188" s="67"/>
      <c r="F188" s="67"/>
      <c r="G188" s="67"/>
      <c r="H188" s="220">
        <v>7012</v>
      </c>
      <c r="I188" s="67"/>
      <c r="J188" s="67"/>
      <c r="K188" s="392"/>
      <c r="L188" s="392"/>
      <c r="M188" s="392"/>
      <c r="N188" s="392"/>
      <c r="O188" s="392"/>
    </row>
    <row customHeight="1" ht="13.5">
      <c r="A189" s="297"/>
      <c r="B189" s="67"/>
      <c r="C189" s="67"/>
      <c r="D189" s="67"/>
      <c r="E189" s="67"/>
      <c r="F189" s="67"/>
      <c r="G189" s="67"/>
      <c r="H189" s="434"/>
      <c r="I189" s="67"/>
      <c r="J189" s="67"/>
      <c r="K189" s="392"/>
      <c r="L189" s="392"/>
      <c r="M189" s="392"/>
      <c r="N189" s="392"/>
      <c r="O189" s="392"/>
    </row>
    <row customHeight="1" ht="13.5">
      <c r="A190" s="297"/>
      <c r="B190" s="67"/>
      <c r="C190" s="67"/>
      <c r="D190" s="67"/>
      <c r="E190" s="67"/>
      <c r="F190" s="67"/>
      <c r="G190" s="67"/>
      <c r="H190" s="434">
        <f>H184*H185</f>
        <v>1126.26</v>
      </c>
      <c r="I190" s="67"/>
      <c r="J190" s="67"/>
      <c r="K190" s="392"/>
      <c r="L190" s="392"/>
      <c r="M190" s="392"/>
      <c r="N190" s="392"/>
      <c r="O190" s="392"/>
    </row>
    <row customHeight="1" ht="13.5">
      <c r="A191" s="297"/>
      <c r="B191" s="67"/>
      <c r="C191" s="67"/>
      <c r="D191" s="67"/>
      <c r="E191" s="67"/>
      <c r="F191" s="67"/>
      <c r="G191" s="67"/>
      <c r="H191" s="434">
        <f>H187*H188</f>
        <v>569444.52</v>
      </c>
      <c r="I191" s="67"/>
      <c r="J191" s="67"/>
      <c r="K191" s="392"/>
      <c r="L191" s="392"/>
      <c r="M191" s="392"/>
      <c r="N191" s="392"/>
      <c r="O191" s="392"/>
    </row>
    <row customHeight="1" ht="13.5">
      <c r="A192" s="297"/>
      <c r="B192" s="67"/>
      <c r="C192" s="67"/>
      <c r="D192" s="67"/>
      <c r="E192" s="67"/>
      <c r="F192" s="67"/>
      <c r="G192" s="67"/>
      <c r="H192" s="434"/>
      <c r="I192" s="67"/>
      <c r="J192" s="67"/>
      <c r="K192" s="392"/>
      <c r="L192" s="392"/>
      <c r="M192" s="392"/>
      <c r="N192" s="392"/>
      <c r="O192" s="392"/>
    </row>
    <row customHeight="1" ht="13.5">
      <c r="A193" s="297"/>
      <c r="B193" s="67"/>
      <c r="C193" s="67"/>
      <c r="D193" s="67"/>
      <c r="E193" s="67"/>
      <c r="F193" s="67"/>
      <c r="G193" s="67"/>
      <c r="H193" s="434">
        <f>1-(H190/H191)</f>
        <v>0.998022177823399</v>
      </c>
      <c r="I193" s="67"/>
      <c r="J193" s="67"/>
      <c r="K193" s="392"/>
      <c r="L193" s="392"/>
      <c r="M193" s="392"/>
      <c r="N193" s="392"/>
      <c r="O193" s="392"/>
    </row>
    <row customHeight="1" ht="13.5">
      <c r="A194" s="297"/>
      <c r="B194" s="67"/>
      <c r="C194" s="67"/>
      <c r="D194" s="67"/>
      <c r="E194" s="67"/>
      <c r="F194" s="67"/>
      <c r="G194" s="67"/>
      <c r="H194" s="434">
        <f>H193*100</f>
        <v>99.8022177823399</v>
      </c>
      <c r="I194" s="67"/>
      <c r="J194" s="67"/>
      <c r="K194" s="392"/>
      <c r="L194" s="392"/>
      <c r="M194" s="392"/>
      <c r="N194" s="392"/>
      <c r="O194" s="392"/>
    </row>
  </sheetData>
  <mergeCells count="55">
    <mergeCell ref="B1:J1"/>
    <mergeCell ref="C2:D2"/>
    <mergeCell ref="I2:J2"/>
    <mergeCell ref="B5:C5"/>
    <mergeCell ref="D5:J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D23:J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D41:J41"/>
    <mergeCell ref="B42:C42"/>
    <mergeCell ref="B43:C43"/>
    <mergeCell ref="B44:C44"/>
    <mergeCell ref="B45:C45"/>
    <mergeCell ref="B46:I46"/>
    <mergeCell ref="D3:D4"/>
    <mergeCell ref="D48:D49"/>
    <mergeCell ref="I3:I4"/>
    <mergeCell ref="I48:I49"/>
    <mergeCell ref="J3:J4"/>
    <mergeCell ref="B3:C4"/>
    <mergeCell ref="B48:C49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869BC98-3A89-8AA8-E448-E12C3ABDB008}" mc:Ignorable="x14ac xr xr2 xr3">
  <dimension ref="A1:Q54"/>
  <sheetViews>
    <sheetView defaultGridColor="0" colorId="31" showGridLines="0" workbookViewId="0">
      <pane xSplit="3" ySplit="4" topLeftCell="D44" activePane="bottomRight" state="frozen"/>
      <selection pane="bottomLeft" activeCell="A5" sqref="A5"/>
      <selection pane="topRight" activeCell="D1" sqref="D1"/>
      <selection pane="bottomRight" activeCell="E54" sqref="E54"/>
    </sheetView>
  </sheetViews>
  <sheetFormatPr defaultColWidth="10.00390625" customHeight="1" defaultRowHeight="13.5"/>
  <cols>
    <col min="1" max="1" style="74" width="2.7109375" customWidth="1"/>
    <col min="2" max="2" style="51" width="15.7109375" customWidth="1"/>
    <col min="3" max="3" style="51" width="14.7109375" customWidth="1"/>
    <col min="4" max="15" style="51" width="10.7109375" customWidth="1"/>
    <col min="16" max="17" style="74" width="10.00390625" hidden="1"/>
  </cols>
  <sheetData>
    <row customHeight="1" ht="27">
      <c r="A1" s="297"/>
      <c r="B1" s="75" t="s">
        <v>123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297"/>
      <c r="Q1" s="297"/>
    </row>
    <row s="270" customFormat="1" customHeight="1" ht="18.75">
      <c r="A2" s="493"/>
      <c r="B2" s="76" t="s">
        <v>124</v>
      </c>
      <c r="C2" s="76"/>
      <c r="D2" s="229" t="s">
        <v>2</v>
      </c>
      <c r="E2" s="436"/>
      <c r="F2" s="166" t="str">
        <f>P2</f>
        <v>2026-01-06</v>
      </c>
      <c r="G2" s="166"/>
      <c r="H2" s="271" t="s">
        <v>4</v>
      </c>
      <c r="I2" s="271"/>
      <c r="J2" s="280" t="str">
        <f>Q2</f>
        <v>2026-01-07</v>
      </c>
      <c r="K2" s="280"/>
      <c r="L2" s="166"/>
      <c r="M2" s="436" t="s">
        <v>6</v>
      </c>
      <c r="N2" s="436"/>
      <c r="O2" s="436"/>
      <c r="P2" s="497" t="s">
        <v>3</v>
      </c>
      <c r="Q2" s="498" t="s">
        <v>5</v>
      </c>
    </row>
    <row customHeight="1" ht="15.75">
      <c r="A3" s="297"/>
      <c r="B3" s="272" t="s">
        <v>7</v>
      </c>
      <c r="C3" s="273"/>
      <c r="D3" s="274" t="s">
        <v>8</v>
      </c>
      <c r="E3" s="191" t="s">
        <v>9</v>
      </c>
      <c r="F3" s="191"/>
      <c r="G3" s="191" t="s">
        <v>10</v>
      </c>
      <c r="H3" s="191"/>
      <c r="I3" s="191" t="s">
        <v>11</v>
      </c>
      <c r="J3" s="191"/>
      <c r="K3" s="191" t="s">
        <v>12</v>
      </c>
      <c r="L3" s="191"/>
      <c r="M3" s="80" t="s">
        <v>13</v>
      </c>
      <c r="N3" s="80" t="s">
        <v>14</v>
      </c>
      <c r="O3" s="80" t="s">
        <v>125</v>
      </c>
      <c r="P3" s="297"/>
      <c r="Q3" s="297"/>
    </row>
    <row customHeight="1" ht="15.75">
      <c r="A4" s="297"/>
      <c r="B4" s="275"/>
      <c r="C4" s="276"/>
      <c r="D4" s="277"/>
      <c r="E4" s="80" t="s">
        <v>126</v>
      </c>
      <c r="F4" s="80" t="s">
        <v>17</v>
      </c>
      <c r="G4" s="80" t="s">
        <v>126</v>
      </c>
      <c r="H4" s="80" t="s">
        <v>17</v>
      </c>
      <c r="I4" s="80" t="s">
        <v>126</v>
      </c>
      <c r="J4" s="80" t="s">
        <v>17</v>
      </c>
      <c r="K4" s="80" t="s">
        <v>126</v>
      </c>
      <c r="L4" s="80" t="s">
        <v>17</v>
      </c>
      <c r="M4" s="80"/>
      <c r="N4" s="80"/>
      <c r="O4" s="80"/>
      <c r="P4" s="297"/>
      <c r="Q4" s="297"/>
    </row>
    <row customHeight="1" ht="15.75">
      <c r="A5" s="297"/>
      <c r="B5" s="278" t="s">
        <v>127</v>
      </c>
      <c r="C5" s="278"/>
      <c r="D5" s="260" t="str">
        <f>IF(生产日报3取值!D5=0,"",生产日报3取值!D5)</f>
        <v/>
      </c>
      <c r="E5" s="260">
        <f>IF(生产日报3取值!E5=0,"",生产日报3取值!E5)</f>
        <v>2447</v>
      </c>
      <c r="F5" s="260">
        <f>IF(生产日报3取值!F5=0,"",生产日报3取值!F5)</f>
        <v>15104</v>
      </c>
      <c r="G5" s="260" t="str">
        <f>IF(生产日报3取值!G5=0,"",生产日报3取值!G5)</f>
        <v/>
      </c>
      <c r="H5" s="260" t="str">
        <f>IF(生产日报3取值!H5=0,"",生产日报3取值!H5)</f>
        <v/>
      </c>
      <c r="I5" s="260" t="str">
        <f>IF(生产日报3取值!I5=0,"",生产日报3取值!I5)</f>
        <v/>
      </c>
      <c r="J5" s="260" t="str">
        <f>IF(生产日报3取值!J5=0,"",生产日报3取值!J5)</f>
        <v/>
      </c>
      <c r="K5" s="260" t="str">
        <f>IF(生产日报3取值!K5=0,"",生产日报3取值!K5)</f>
        <v/>
      </c>
      <c r="L5" s="260" t="str">
        <f>IF(生产日报3取值!L5=0,"",生产日报3取值!L5)</f>
        <v/>
      </c>
      <c r="M5" s="260">
        <f>IF(生产日报3取值!M5=0,"",生产日报3取值!M5)</f>
        <v>2447</v>
      </c>
      <c r="N5" s="260">
        <f>IF(生产日报3取值!N5=0,"",生产日报3取值!N5)</f>
        <v>15104</v>
      </c>
      <c r="O5" s="260"/>
      <c r="P5" s="297"/>
      <c r="Q5" s="297"/>
    </row>
    <row customHeight="1" ht="15.75">
      <c r="A6" s="297"/>
      <c r="B6" s="247" t="s">
        <v>128</v>
      </c>
      <c r="C6" s="247"/>
      <c r="D6" s="260" t="str">
        <f>IF(生产日报3取值!D6=0,"",生产日报3取值!D6)</f>
        <v/>
      </c>
      <c r="E6" s="260" t="str">
        <f>IF(生产日报3取值!E6=0,"",生产日报3取值!E6)</f>
        <v/>
      </c>
      <c r="F6" s="260" t="str">
        <f>IF(生产日报3取值!F6=0,"",生产日报3取值!F6)</f>
        <v/>
      </c>
      <c r="G6" s="260" t="str">
        <f>IF(生产日报3取值!G6=0,"",生产日报3取值!G6)</f>
        <v/>
      </c>
      <c r="H6" s="260" t="str">
        <f>IF(生产日报3取值!H6=0,"",生产日报3取值!H6)</f>
        <v/>
      </c>
      <c r="I6" s="260" t="str">
        <f>IF(生产日报3取值!I6=0,"",生产日报3取值!I6)</f>
        <v/>
      </c>
      <c r="J6" s="260" t="str">
        <f>IF(生产日报3取值!J6=0,"",生产日报3取值!J6)</f>
        <v/>
      </c>
      <c r="K6" s="260">
        <f>IF(生产日报3取值!K6=0,"",生产日报3取值!K6)</f>
        <v>2447</v>
      </c>
      <c r="L6" s="260">
        <f>IF(生产日报3取值!L6=0,"",生产日报3取值!L6)</f>
        <v>15427.98</v>
      </c>
      <c r="M6" s="260">
        <f>IF(生产日报3取值!M6=0,"",生产日报3取值!M6)</f>
        <v>2447</v>
      </c>
      <c r="N6" s="260">
        <f>IF(生产日报3取值!N6=0,"",生产日报3取值!N6)</f>
        <v>15427.98</v>
      </c>
      <c r="O6" s="260"/>
      <c r="P6" s="297"/>
      <c r="Q6" s="297"/>
    </row>
    <row customHeight="1" ht="15.75">
      <c r="A7" s="297"/>
      <c r="B7" s="247" t="s">
        <v>129</v>
      </c>
      <c r="C7" s="247"/>
      <c r="D7" s="260" t="str">
        <f>IF(生产日报3取值!D7=0,"",生产日报3取值!D7)</f>
        <v/>
      </c>
      <c r="E7" s="260">
        <f>IF(生产日报3取值!E7=0,"",生产日报3取值!E7)</f>
        <v>1632</v>
      </c>
      <c r="F7" s="260">
        <f>IF(生产日报3取值!F7=0,"",生产日报3取值!F7)</f>
        <v>10912</v>
      </c>
      <c r="G7" s="260">
        <f>IF(生产日报3取值!G7=0,"",生产日报3取值!G7)</f>
        <v>709</v>
      </c>
      <c r="H7" s="260">
        <f>IF(生产日报3取值!H7=0,"",生产日报3取值!H7)</f>
        <v>3190</v>
      </c>
      <c r="I7" s="260">
        <f>IF(生产日报3取值!I7=0,"",生产日报3取值!I7)</f>
        <v>536.32</v>
      </c>
      <c r="J7" s="260">
        <f>IF(生产日报3取值!J7=0,"",生产日报3取值!J7)</f>
        <v>3055.94</v>
      </c>
      <c r="K7" s="260" t="str">
        <f>IF(生产日报3取值!K7=0,"",生产日报3取值!K7)</f>
        <v/>
      </c>
      <c r="L7" s="260" t="str">
        <f>IF(生产日报3取值!L7=0,"",生产日报3取值!L7)</f>
        <v/>
      </c>
      <c r="M7" s="260">
        <f>IF(生产日报3取值!M7=0,"",生产日报3取值!M7)</f>
        <v>2877.32</v>
      </c>
      <c r="N7" s="260">
        <f>IF(生产日报3取值!N7=0,"",生产日报3取值!N7)</f>
        <v>17157.94</v>
      </c>
      <c r="O7" s="260"/>
      <c r="P7" s="297"/>
      <c r="Q7" s="297"/>
    </row>
    <row customHeight="1" ht="15.75">
      <c r="A8" s="297"/>
      <c r="B8" s="247" t="s">
        <v>130</v>
      </c>
      <c r="C8" s="247"/>
      <c r="D8" s="260" t="str">
        <f>IF(生产日报3取值!D8=0,"",生产日报3取值!D8)</f>
        <v/>
      </c>
      <c r="E8" s="260">
        <f>IF(生产日报3取值!E8=0,"",生产日报3取值!E8)</f>
        <v>1056.16</v>
      </c>
      <c r="F8" s="260">
        <f>IF(生产日报3取值!F8=0,"",生产日报3取值!F8)</f>
        <v>6778.44</v>
      </c>
      <c r="G8" s="260" t="str">
        <f>IF(生产日报3取值!G8=0,"",生产日报3取值!G8)</f>
        <v/>
      </c>
      <c r="H8" s="260" t="str">
        <f>IF(生产日报3取值!H8=0,"",生产日报3取值!H8)</f>
        <v/>
      </c>
      <c r="I8" s="260" t="str">
        <f>IF(生产日报3取值!I8=0,"",生产日报3取值!I8)</f>
        <v/>
      </c>
      <c r="J8" s="260" t="str">
        <f>IF(生产日报3取值!J8=0,"",生产日报3取值!J8)</f>
        <v/>
      </c>
      <c r="K8" s="260">
        <f>IF(生产日报3取值!K8=0,"",生产日报3取值!K8)</f>
        <v>1632</v>
      </c>
      <c r="L8" s="260">
        <f>IF(生产日报3取值!L8=0,"",生产日报3取值!L8)</f>
        <v>10912</v>
      </c>
      <c r="M8" s="260">
        <f>IF(生产日报3取值!M8=0,"",生产日报3取值!M8)</f>
        <v>2688.16</v>
      </c>
      <c r="N8" s="260">
        <f>IF(生产日报3取值!N8=0,"",生产日报3取值!N8)</f>
        <v>17690.44</v>
      </c>
      <c r="O8" s="260"/>
      <c r="P8" s="297"/>
      <c r="Q8" s="297"/>
    </row>
    <row customHeight="1" ht="15.75">
      <c r="A9" s="297"/>
      <c r="B9" s="247" t="s">
        <v>131</v>
      </c>
      <c r="C9" s="247"/>
      <c r="D9" s="260" t="str">
        <f>IF(生产日报3取值!D9=0,"",生产日报3取值!D9)</f>
        <v/>
      </c>
      <c r="E9" s="260">
        <f>IF(生产日报3取值!E9=0,"",生产日报3取值!E9)</f>
        <v>95.22</v>
      </c>
      <c r="F9" s="260">
        <f>IF(生产日报3取值!F9=0,"",生产日报3取值!F9)</f>
        <v>571.28</v>
      </c>
      <c r="G9" s="260" t="str">
        <f>IF(生产日报3取值!G9=0,"",生产日报3取值!G9)</f>
        <v/>
      </c>
      <c r="H9" s="260" t="str">
        <f>IF(生产日报3取值!H9=0,"",生产日报3取值!H9)</f>
        <v/>
      </c>
      <c r="I9" s="260" t="str">
        <f>IF(生产日报3取值!I9=0,"",生产日报3取值!I9)</f>
        <v/>
      </c>
      <c r="J9" s="260" t="str">
        <f>IF(生产日报3取值!J9=0,"",生产日报3取值!J9)</f>
        <v/>
      </c>
      <c r="K9" s="260" t="str">
        <f>IF(生产日报3取值!K9=0,"",生产日报3取值!K9)</f>
        <v/>
      </c>
      <c r="L9" s="260" t="str">
        <f>IF(生产日报3取值!L9=0,"",生产日报3取值!L9)</f>
        <v/>
      </c>
      <c r="M9" s="260">
        <f>IF(生产日报3取值!M9=0,"",生产日报3取值!M9)</f>
        <v>95.22</v>
      </c>
      <c r="N9" s="260">
        <f>IF(生产日报3取值!N9=0,"",生产日报3取值!N9)</f>
        <v>571.28</v>
      </c>
      <c r="O9" s="260"/>
      <c r="P9" s="297"/>
      <c r="Q9" s="297"/>
    </row>
    <row customHeight="1" ht="15.75">
      <c r="A10" s="297"/>
      <c r="B10" s="247" t="s">
        <v>132</v>
      </c>
      <c r="C10" s="247"/>
      <c r="D10" s="260" t="str">
        <f>IF(生产日报3取值!D10=0,"",生产日报3取值!D10)</f>
        <v/>
      </c>
      <c r="E10" s="260">
        <f>IF(生产日报3取值!E10=0,"",生产日报3取值!E10)</f>
        <v>296</v>
      </c>
      <c r="F10" s="260">
        <f>IF(生产日报3取值!F10=0,"",生产日报3取值!F10)</f>
        <v>1527</v>
      </c>
      <c r="G10" s="260" t="str">
        <f>IF(生产日报3取值!G10=0,"",生产日报3取值!G10)</f>
        <v/>
      </c>
      <c r="H10" s="260" t="str">
        <f>IF(生产日报3取值!H10=0,"",生产日报3取值!H10)</f>
        <v/>
      </c>
      <c r="I10" s="260" t="str">
        <f>IF(生产日报3取值!I10=0,"",生产日报3取值!I10)</f>
        <v/>
      </c>
      <c r="J10" s="260" t="str">
        <f>IF(生产日报3取值!J10=0,"",生产日报3取值!J10)</f>
        <v/>
      </c>
      <c r="K10" s="260" t="str">
        <f>IF(生产日报3取值!K10=0,"",生产日报3取值!K10)</f>
        <v/>
      </c>
      <c r="L10" s="260" t="str">
        <f>IF(生产日报3取值!L10=0,"",生产日报3取值!L10)</f>
        <v/>
      </c>
      <c r="M10" s="260">
        <f>IF(生产日报3取值!M10=0,"",生产日报3取值!M10)</f>
        <v>296</v>
      </c>
      <c r="N10" s="260">
        <f>IF(生产日报3取值!N10=0,"",生产日报3取值!N10)</f>
        <v>1527</v>
      </c>
      <c r="O10" s="260"/>
      <c r="P10" s="297"/>
      <c r="Q10" s="297"/>
    </row>
    <row customHeight="1" ht="15.75">
      <c r="A11" s="297"/>
      <c r="B11" s="247" t="s">
        <v>133</v>
      </c>
      <c r="C11" s="247"/>
      <c r="D11" s="260" t="str">
        <f>IF(生产日报3取值!D11=0,"",生产日报3取值!D11)</f>
        <v/>
      </c>
      <c r="E11" s="260">
        <f>IF(生产日报3取值!E11=0,"",生产日报3取值!E11)</f>
        <v>4106</v>
      </c>
      <c r="F11" s="260">
        <f>IF(生产日报3取值!F11=0,"",生产日报3取值!F11)</f>
        <v>29162</v>
      </c>
      <c r="G11" s="260" t="str">
        <f>IF(生产日报3取值!G11=0,"",生产日报3取值!G11)</f>
        <v/>
      </c>
      <c r="H11" s="260" t="str">
        <f>IF(生产日报3取值!H11=0,"",生产日报3取值!H11)</f>
        <v/>
      </c>
      <c r="I11" s="260" t="str">
        <f>IF(生产日报3取值!I11=0,"",生产日报3取值!I11)</f>
        <v/>
      </c>
      <c r="J11" s="260" t="str">
        <f>IF(生产日报3取值!J11=0,"",生产日报3取值!J11)</f>
        <v/>
      </c>
      <c r="K11" s="260" t="str">
        <f>IF(生产日报3取值!K11=0,"",生产日报3取值!K11)</f>
        <v/>
      </c>
      <c r="L11" s="260" t="str">
        <f>IF(生产日报3取值!L11=0,"",生产日报3取值!L11)</f>
        <v/>
      </c>
      <c r="M11" s="260">
        <f>IF(生产日报3取值!M11=0,"",生产日报3取值!M11)</f>
        <v>4106</v>
      </c>
      <c r="N11" s="260">
        <f>IF(生产日报3取值!N11=0,"",生产日报3取值!N11)</f>
        <v>29162</v>
      </c>
      <c r="O11" s="260"/>
      <c r="P11" s="297"/>
      <c r="Q11" s="297"/>
    </row>
    <row customHeight="1" ht="15.75">
      <c r="A12" s="297"/>
      <c r="B12" s="247" t="s">
        <v>134</v>
      </c>
      <c r="C12" s="247"/>
      <c r="D12" s="260" t="str">
        <f>IF(生产日报3取值!D12=0,"",生产日报3取值!D12)</f>
        <v/>
      </c>
      <c r="E12" s="260" t="str">
        <f>IF(生产日报3取值!E12=0,"",生产日报3取值!E12)</f>
        <v/>
      </c>
      <c r="F12" s="260" t="str">
        <f>IF(生产日报3取值!F12=0,"",生产日报3取值!F12)</f>
        <v/>
      </c>
      <c r="G12" s="260" t="str">
        <f>IF(生产日报3取值!G12=0,"",生产日报3取值!G12)</f>
        <v/>
      </c>
      <c r="H12" s="260" t="str">
        <f>IF(生产日报3取值!H12=0,"",生产日报3取值!H12)</f>
        <v/>
      </c>
      <c r="I12" s="260" t="str">
        <f>IF(生产日报3取值!I12=0,"",生产日报3取值!I12)</f>
        <v/>
      </c>
      <c r="J12" s="260" t="str">
        <f>IF(生产日报3取值!J12=0,"",生产日报3取值!J12)</f>
        <v/>
      </c>
      <c r="K12" s="260">
        <f>IF(生产日报3取值!K12=0,"",生产日报3取值!K12)</f>
        <v>4106</v>
      </c>
      <c r="L12" s="260">
        <f>IF(生产日报3取值!L12=0,"",生产日报3取值!L12)</f>
        <v>29162</v>
      </c>
      <c r="M12" s="260">
        <f>IF(生产日报3取值!M12=0,"",生产日报3取值!M12)</f>
        <v>4106</v>
      </c>
      <c r="N12" s="260">
        <f>IF(生产日报3取值!N12=0,"",生产日报3取值!N12)</f>
        <v>29162</v>
      </c>
      <c r="O12" s="260"/>
      <c r="P12" s="297"/>
      <c r="Q12" s="297"/>
    </row>
    <row customHeight="1" ht="15.75">
      <c r="A13" s="297"/>
      <c r="B13" s="247" t="s">
        <v>135</v>
      </c>
      <c r="C13" s="247"/>
      <c r="D13" s="260" t="str">
        <f>IF(生产日报3取值!D13=0,"",生产日报3取值!D13)</f>
        <v/>
      </c>
      <c r="E13" s="260">
        <f>IF(生产日报3取值!E13=0,"",生产日报3取值!E13)</f>
        <v>4870</v>
      </c>
      <c r="F13" s="260">
        <f>IF(生产日报3取值!F13=0,"",生产日报3取值!F13)</f>
        <v>34344</v>
      </c>
      <c r="G13" s="260" t="str">
        <f>IF(生产日报3取值!G13=0,"",生产日报3取值!G13)</f>
        <v/>
      </c>
      <c r="H13" s="260" t="str">
        <f>IF(生产日报3取值!H13=0,"",生产日报3取值!H13)</f>
        <v/>
      </c>
      <c r="I13" s="260" t="str">
        <f>IF(生产日报3取值!I13=0,"",生产日报3取值!I13)</f>
        <v/>
      </c>
      <c r="J13" s="260" t="str">
        <f>IF(生产日报3取值!J13=0,"",生产日报3取值!J13)</f>
        <v/>
      </c>
      <c r="K13" s="260" t="str">
        <f>IF(生产日报3取值!K13=0,"",生产日报3取值!K13)</f>
        <v/>
      </c>
      <c r="L13" s="260" t="str">
        <f>IF(生产日报3取值!L13=0,"",生产日报3取值!L13)</f>
        <v/>
      </c>
      <c r="M13" s="260">
        <f>IF(生产日报3取值!M13=0,"",生产日报3取值!M13)</f>
        <v>4870</v>
      </c>
      <c r="N13" s="260">
        <f>IF(生产日报3取值!N13=0,"",生产日报3取值!N13)</f>
        <v>34344</v>
      </c>
      <c r="O13" s="260"/>
      <c r="P13" s="297"/>
      <c r="Q13" s="297"/>
    </row>
    <row customHeight="1" ht="15.75">
      <c r="A14" s="297"/>
      <c r="B14" s="247" t="s">
        <v>136</v>
      </c>
      <c r="C14" s="247"/>
      <c r="D14" s="260" t="str">
        <f>IF(生产日报3取值!D14=0,"",生产日报3取值!D14)</f>
        <v/>
      </c>
      <c r="E14" s="260" t="str">
        <f>IF(生产日报3取值!E14=0,"",生产日报3取值!E14)</f>
        <v/>
      </c>
      <c r="F14" s="260" t="str">
        <f>IF(生产日报3取值!F14=0,"",生产日报3取值!F14)</f>
        <v/>
      </c>
      <c r="G14" s="260" t="str">
        <f>IF(生产日报3取值!G14=0,"",生产日报3取值!G14)</f>
        <v/>
      </c>
      <c r="H14" s="260" t="str">
        <f>IF(生产日报3取值!H14=0,"",生产日报3取值!H14)</f>
        <v/>
      </c>
      <c r="I14" s="260" t="str">
        <f>IF(生产日报3取值!I14=0,"",生产日报3取值!I14)</f>
        <v/>
      </c>
      <c r="J14" s="260" t="str">
        <f>IF(生产日报3取值!J14=0,"",生产日报3取值!J14)</f>
        <v/>
      </c>
      <c r="K14" s="260">
        <f>IF(生产日报3取值!K14=0,"",生产日报3取值!K14)</f>
        <v>4870</v>
      </c>
      <c r="L14" s="260">
        <f>IF(生产日报3取值!L14=0,"",生产日报3取值!L14)</f>
        <v>34344</v>
      </c>
      <c r="M14" s="260">
        <f>IF(生产日报3取值!M14=0,"",生产日报3取值!M14)</f>
        <v>4870</v>
      </c>
      <c r="N14" s="260">
        <f>IF(生产日报3取值!N14=0,"",生产日报3取值!N14)</f>
        <v>34344</v>
      </c>
      <c r="O14" s="260"/>
      <c r="P14" s="297"/>
      <c r="Q14" s="297"/>
    </row>
    <row customHeight="1" ht="15.75">
      <c r="A15" s="297"/>
      <c r="B15" s="279" t="s">
        <v>137</v>
      </c>
      <c r="C15" s="279"/>
      <c r="D15" s="260" t="str">
        <f>IF(生产日报3取值!D15=0,"",生产日报3取值!D15)</f>
        <v/>
      </c>
      <c r="E15" s="260"/>
      <c r="F15" s="260"/>
      <c r="G15" s="260"/>
      <c r="H15" s="260"/>
      <c r="I15" s="260"/>
      <c r="J15" s="260"/>
      <c r="K15" s="260"/>
      <c r="L15" s="260"/>
      <c r="M15" s="260" t="str">
        <f>IF(生产日报3取值!M15=0,"",生产日报3取值!M15)</f>
        <v/>
      </c>
      <c r="N15" s="260" t="str">
        <f>IF(生产日报3取值!N15=0,"",生产日报3取值!N15)</f>
        <v/>
      </c>
      <c r="O15" s="57"/>
      <c r="P15" s="297"/>
      <c r="Q15" s="297"/>
    </row>
    <row customHeight="1" ht="15.75">
      <c r="A16" s="297"/>
      <c r="B16" s="247" t="s">
        <v>138</v>
      </c>
      <c r="C16" s="247"/>
      <c r="D16" s="260">
        <f>IF(生产日报3取值!D16=0,"",生产日报3取值!D16)</f>
        <v>458000</v>
      </c>
      <c r="E16" s="260">
        <f>IF(生产日报3取值!E16=0,"",生产日报3取值!E16)</f>
        <v>834</v>
      </c>
      <c r="F16" s="260">
        <f>IF(生产日报3取值!F16=0,"",生产日报3取值!F16)</f>
        <v>43275</v>
      </c>
      <c r="G16" s="260">
        <f>IF(生产日报3取值!G16=0,"",生产日报3取值!G16)</f>
        <v>3565</v>
      </c>
      <c r="H16" s="260">
        <f>IF(生产日报3取值!H16=0,"",生产日报3取值!H16)</f>
        <v>17294</v>
      </c>
      <c r="I16" s="260">
        <f>IF(生产日报3取值!I16=0,"",生产日报3取值!I16)</f>
        <v>3000</v>
      </c>
      <c r="J16" s="260">
        <f>IF(生产日报3取值!J16=0,"",生产日报3取值!J16)</f>
        <v>13992</v>
      </c>
      <c r="K16" s="260">
        <f>IF(生产日报3取值!K16=0,"",生产日报3取值!K16)</f>
        <v>9155</v>
      </c>
      <c r="L16" s="260">
        <f>IF(生产日报3取值!L16=0,"",生产日报3取值!L16)</f>
        <v>64460</v>
      </c>
      <c r="M16" s="260">
        <f>IF(生产日报3取值!M16=0,"",生产日报3取值!M16)</f>
        <v>7399</v>
      </c>
      <c r="N16" s="260">
        <f>IF(生产日报3取值!N16=0,"",生产日报3取值!N16)</f>
        <v>74561</v>
      </c>
      <c r="O16" s="282">
        <f>_xlfn.IFERROR(N16/D16*100,"")</f>
        <v>16.2796943231441</v>
      </c>
      <c r="P16" s="297"/>
      <c r="Q16" s="297"/>
    </row>
    <row customHeight="1" ht="15.75">
      <c r="A17" s="297"/>
      <c r="B17" s="247" t="s">
        <v>139</v>
      </c>
      <c r="C17" s="247"/>
      <c r="D17" s="260">
        <f>IF(生产日报3取值!D17=0,"",生产日报3取值!D17)</f>
        <v>408000</v>
      </c>
      <c r="E17" s="260">
        <f>IF(生产日报3取值!E17=0,"",生产日报3取值!E17)</f>
        <v>8542</v>
      </c>
      <c r="F17" s="260">
        <f>IF(生产日报3取值!F17=0,"",生产日报3取值!F17)</f>
        <v>50161</v>
      </c>
      <c r="G17" s="260">
        <f>IF(生产日报3取值!G17=0,"",生产日报3取值!G17)</f>
        <v>3427</v>
      </c>
      <c r="H17" s="260">
        <f>IF(生产日报3取值!H17=0,"",生产日报3取值!H17)</f>
        <v>19647</v>
      </c>
      <c r="I17" s="260">
        <f>IF(生产日报3取值!I17=0,"",生产日报3取值!I17)</f>
        <v>3500</v>
      </c>
      <c r="J17" s="260">
        <f>IF(生产日报3取值!J17=0,"",生产日报3取值!J17)</f>
        <v>13500</v>
      </c>
      <c r="K17" s="260">
        <f>IF(生产日报3取值!K17=0,"",生产日报3取值!K17)</f>
        <v>6405</v>
      </c>
      <c r="L17" s="260">
        <f>IF(生产日报3取值!L17=0,"",生产日报3取值!L17)</f>
        <v>45804</v>
      </c>
      <c r="M17" s="260">
        <f>IF(生产日报3取值!M17=0,"",生产日报3取值!M17)</f>
        <v>15469</v>
      </c>
      <c r="N17" s="260">
        <f>IF(生产日报3取值!N17=0,"",生产日报3取值!N17)</f>
        <v>83308</v>
      </c>
      <c r="O17" s="282">
        <f>_xlfn.IFERROR(N17/D17*100,"")</f>
        <v>20.4186274509804</v>
      </c>
      <c r="P17" s="297"/>
      <c r="Q17" s="297"/>
    </row>
    <row customHeight="1" ht="15.75">
      <c r="A18" s="297"/>
      <c r="B18" s="247" t="s">
        <v>140</v>
      </c>
      <c r="C18" s="247"/>
      <c r="D18" s="260">
        <f>IF(生产日报3取值!D18=0,"",生产日报3取值!D18)</f>
        <v>87000</v>
      </c>
      <c r="E18" s="260">
        <f>IF(生产日报3取值!E18=0,"",生产日报3取值!E18)</f>
        <v>1436</v>
      </c>
      <c r="F18" s="260">
        <f>IF(生产日报3取值!F18=0,"",生产日报3取值!F18)</f>
        <v>10205</v>
      </c>
      <c r="G18" s="260">
        <f>IF(生产日报3取值!G18=0,"",生产日报3取值!G18)</f>
        <v>622</v>
      </c>
      <c r="H18" s="260">
        <f>IF(生产日报3取值!H18=0,"",生产日报3取值!H18)</f>
        <v>4282</v>
      </c>
      <c r="I18" s="260">
        <f>IF(生产日报3取值!I18=0,"",生产日报3取值!I18)</f>
        <v>718</v>
      </c>
      <c r="J18" s="260">
        <f>IF(生产日报3取值!J18=0,"",生产日报3取值!J18)</f>
        <v>4572</v>
      </c>
      <c r="K18" s="260" t="str">
        <f>IF(生产日报3取值!K18=0,"",生产日报3取值!K18)</f>
        <v/>
      </c>
      <c r="L18" s="260" t="str">
        <f>IF(生产日报3取值!L18=0,"",生产日报3取值!L18)</f>
        <v/>
      </c>
      <c r="M18" s="260">
        <f>IF(生产日报3取值!M18=0,"",生产日报3取值!M18)</f>
        <v>2776</v>
      </c>
      <c r="N18" s="260">
        <f>IF(生产日报3取值!N18=0,"",生产日报3取值!N18)</f>
        <v>19059</v>
      </c>
      <c r="O18" s="282">
        <f>_xlfn.IFERROR(N18/D18*100,"")</f>
        <v>21.9068965517241</v>
      </c>
      <c r="P18" s="297"/>
      <c r="Q18" s="297"/>
    </row>
    <row customHeight="1" ht="15.75">
      <c r="A19" s="297"/>
      <c r="B19" s="247" t="s">
        <v>141</v>
      </c>
      <c r="C19" s="247"/>
      <c r="D19" s="260" t="str">
        <f>IF(生产日报3取值!D19=0,"",生产日报3取值!D19)</f>
        <v/>
      </c>
      <c r="E19" s="260">
        <f>IF(生产日报3取值!E19=0,"",生产日报3取值!E19)</f>
        <v>738</v>
      </c>
      <c r="F19" s="260">
        <f>IF(生产日报3取值!F19=0,"",生产日报3取值!F19)</f>
        <v>3397</v>
      </c>
      <c r="G19" s="260" t="str">
        <f>IF(生产日报3取值!G19=0,"",生产日报3取值!G19)</f>
        <v/>
      </c>
      <c r="H19" s="260" t="str">
        <f>IF(生产日报3取值!H19=0,"",生产日报3取值!H19)</f>
        <v/>
      </c>
      <c r="I19" s="260" t="str">
        <f>IF(生产日报3取值!I19=0,"",生产日报3取值!I19)</f>
        <v/>
      </c>
      <c r="J19" s="260" t="str">
        <f>IF(生产日报3取值!J19=0,"",生产日报3取值!J19)</f>
        <v/>
      </c>
      <c r="K19" s="260" t="str">
        <f>IF(生产日报3取值!K19=0,"",生产日报3取值!K19)</f>
        <v/>
      </c>
      <c r="L19" s="260" t="str">
        <f>IF(生产日报3取值!L19=0,"",生产日报3取值!L19)</f>
        <v/>
      </c>
      <c r="M19" s="260">
        <f>IF(生产日报3取值!M19=0,"",生产日报3取值!M19)</f>
        <v>738</v>
      </c>
      <c r="N19" s="260">
        <f>IF(生产日报3取值!N19=0,"",生产日报3取值!N19)</f>
        <v>3397</v>
      </c>
      <c r="O19" s="282" t="str">
        <f>_xlfn.IFERROR(N19/D19*100,"")</f>
        <v/>
      </c>
      <c r="P19" s="297"/>
      <c r="Q19" s="297"/>
    </row>
    <row customHeight="1" ht="15.75">
      <c r="A20" s="297"/>
      <c r="B20" s="247" t="s">
        <v>142</v>
      </c>
      <c r="C20" s="247"/>
      <c r="D20" s="260" t="str">
        <f>IF(生产日报3取值!D20=0,"",生产日报3取值!D20)</f>
        <v/>
      </c>
      <c r="E20" s="260">
        <f>IF(生产日报3取值!E20=0,"",生产日报3取值!E20)</f>
        <v>94</v>
      </c>
      <c r="F20" s="260">
        <f>IF(生产日报3取值!F20=0,"",生产日报3取值!F20)</f>
        <v>561</v>
      </c>
      <c r="G20" s="260" t="str">
        <f>IF(生产日报3取值!G20=0,"",生产日报3取值!G20)</f>
        <v/>
      </c>
      <c r="H20" s="260" t="str">
        <f>IF(生产日报3取值!H20=0,"",生产日报3取值!H20)</f>
        <v/>
      </c>
      <c r="I20" s="260" t="str">
        <f>IF(生产日报3取值!I20=0,"",生产日报3取值!I20)</f>
        <v/>
      </c>
      <c r="J20" s="260" t="str">
        <f>IF(生产日报3取值!J20=0,"",生产日报3取值!J20)</f>
        <v/>
      </c>
      <c r="K20" s="260">
        <f>IF(生产日报3取值!K20=0,"",生产日报3取值!K20)</f>
        <v>217</v>
      </c>
      <c r="L20" s="260">
        <f>IF(生产日报3取值!L20=0,"",生产日报3取值!L20)</f>
        <v>1647</v>
      </c>
      <c r="M20" s="260">
        <f>IF(生产日报3取值!M20=0,"",生产日报3取值!M20)</f>
        <v>311</v>
      </c>
      <c r="N20" s="260">
        <f>IF(生产日报3取值!N20=0,"",生产日报3取值!N20)</f>
        <v>2208</v>
      </c>
      <c r="O20" s="282" t="str">
        <f>_xlfn.IFERROR(N20/D20*100,"")</f>
        <v/>
      </c>
      <c r="P20" s="297"/>
      <c r="Q20" s="297"/>
    </row>
    <row customHeight="1" ht="15.75">
      <c r="A21" s="297"/>
      <c r="B21" s="247" t="s">
        <v>143</v>
      </c>
      <c r="C21" s="247"/>
      <c r="D21" s="260" t="str">
        <f>IF(生产日报3取值!D21=0,"",生产日报3取值!D21)</f>
        <v/>
      </c>
      <c r="E21" s="260" t="str">
        <f>IF(生产日报3取值!E21=0,"",生产日报3取值!E21)</f>
        <v/>
      </c>
      <c r="F21" s="260" t="str">
        <f>IF(生产日报3取值!F21=0,"",生产日报3取值!F21)</f>
        <v/>
      </c>
      <c r="G21" s="260" t="str">
        <f>IF(生产日报3取值!G21=0,"",生产日报3取值!G21)</f>
        <v/>
      </c>
      <c r="H21" s="260" t="str">
        <f>IF(生产日报3取值!H21=0,"",生产日报3取值!H21)</f>
        <v/>
      </c>
      <c r="I21" s="260" t="str">
        <f>IF(生产日报3取值!I21=0,"",生产日报3取值!I21)</f>
        <v/>
      </c>
      <c r="J21" s="260" t="str">
        <f>IF(生产日报3取值!J21=0,"",生产日报3取值!J21)</f>
        <v/>
      </c>
      <c r="K21" s="260">
        <f>IF(生产日报3取值!K21=0,"",生产日报3取值!K21)</f>
        <v>305</v>
      </c>
      <c r="L21" s="260">
        <f>IF(生产日报3取值!L21=0,"",生产日报3取值!L21)</f>
        <v>2327</v>
      </c>
      <c r="M21" s="260">
        <f>IF(生产日报3取值!M21=0,"",生产日报3取值!M21)</f>
        <v>305</v>
      </c>
      <c r="N21" s="260">
        <f>IF(生产日报3取值!N21=0,"",生产日报3取值!N21)</f>
        <v>2327</v>
      </c>
      <c r="O21" s="282" t="str">
        <f>_xlfn.IFERROR(N21/D21*100,"")</f>
        <v/>
      </c>
      <c r="P21" s="297"/>
      <c r="Q21" s="297"/>
    </row>
    <row customHeight="1" ht="15.75">
      <c r="A22" s="297"/>
      <c r="B22" s="247" t="s">
        <v>144</v>
      </c>
      <c r="C22" s="247"/>
      <c r="D22" s="260">
        <f>IF(生产日报3取值!D22=0,"",生产日报3取值!D22)</f>
        <v>26499.939</v>
      </c>
      <c r="E22" s="260">
        <f>IF(生产日报3取值!E22=0,"",生产日报3取值!E22)</f>
        <v>305</v>
      </c>
      <c r="F22" s="260">
        <f>IF(生产日报3取值!F22=0,"",生产日报3取值!F22)</f>
        <v>2100</v>
      </c>
      <c r="G22" s="260" t="str">
        <f>IF(生产日报3取值!G22=0,"",生产日报3取值!G22)</f>
        <v/>
      </c>
      <c r="H22" s="260" t="str">
        <f>IF(生产日报3取值!H22=0,"",生产日报3取值!H22)</f>
        <v/>
      </c>
      <c r="I22" s="260" t="str">
        <f>IF(生产日报3取值!I22=0,"",生产日报3取值!I22)</f>
        <v/>
      </c>
      <c r="J22" s="260" t="str">
        <f>IF(生产日报3取值!J22=0,"",生产日报3取值!J22)</f>
        <v/>
      </c>
      <c r="K22" s="260">
        <f>IF(生产日报3取值!K22=0,"",生产日报3取值!K22)</f>
        <v>609.56</v>
      </c>
      <c r="L22" s="260">
        <f>IF(生产日报3取值!L22=0,"",生产日报3取值!L22)</f>
        <v>4269.06</v>
      </c>
      <c r="M22" s="260">
        <f>IF(生产日报3取值!M22=0,"",生产日报3取值!M22)</f>
        <v>914.56</v>
      </c>
      <c r="N22" s="260">
        <f>IF(生产日报3取值!N22=0,"",生产日报3取值!N22)</f>
        <v>6369.06</v>
      </c>
      <c r="O22" s="282">
        <f>_xlfn.IFERROR(N22/D22*100,"")</f>
        <v>24.0342440033541</v>
      </c>
      <c r="P22" s="297"/>
      <c r="Q22" s="297"/>
    </row>
    <row customHeight="1" ht="15.75">
      <c r="A23" s="297"/>
      <c r="B23" s="247" t="s">
        <v>145</v>
      </c>
      <c r="C23" s="247"/>
      <c r="D23" s="260">
        <f>IF(生产日报3取值!D23=0,"",生产日报3取值!D23)</f>
        <v>26800</v>
      </c>
      <c r="E23" s="260">
        <f>IF(生产日报3取值!E23=0,"",生产日报3取值!E23)</f>
        <v>108</v>
      </c>
      <c r="F23" s="260">
        <f>IF(生产日报3取值!F23=0,"",生产日报3取值!F23)</f>
        <v>688</v>
      </c>
      <c r="G23" s="260" t="str">
        <f>IF(生产日报3取值!G23=0,"",生产日报3取值!G23)</f>
        <v/>
      </c>
      <c r="H23" s="260" t="str">
        <f>IF(生产日报3取值!H23=0,"",生产日报3取值!H23)</f>
        <v/>
      </c>
      <c r="I23" s="260" t="str">
        <f>IF(生产日报3取值!I23=0,"",生产日报3取值!I23)</f>
        <v/>
      </c>
      <c r="J23" s="260" t="str">
        <f>IF(生产日报3取值!J23=0,"",生产日报3取值!J23)</f>
        <v/>
      </c>
      <c r="K23" s="260">
        <f>IF(生产日报3取值!K23=0,"",生产日报3取值!K23)</f>
        <v>835</v>
      </c>
      <c r="L23" s="260">
        <f>IF(生产日报3取值!L23=0,"",生产日报3取值!L23)</f>
        <v>6006</v>
      </c>
      <c r="M23" s="260">
        <f>IF(生产日报3取值!M23=0,"",生产日报3取值!M23)</f>
        <v>943</v>
      </c>
      <c r="N23" s="260">
        <f>IF(生产日报3取值!N23=0,"",生产日报3取值!N23)</f>
        <v>6694</v>
      </c>
      <c r="O23" s="282">
        <f>_xlfn.IFERROR(N23/D23*100,"")</f>
        <v>24.9776119402985</v>
      </c>
      <c r="P23" s="297"/>
      <c r="Q23" s="297"/>
    </row>
    <row customHeight="1" ht="15.75">
      <c r="A24" s="297"/>
      <c r="B24" s="247" t="s">
        <v>146</v>
      </c>
      <c r="C24" s="247"/>
      <c r="D24" s="260">
        <f>IF(生产日报3取值!D24=0,"",生产日报3取值!D24)</f>
        <v>8300</v>
      </c>
      <c r="E24" s="260" t="str">
        <f>IF(生产日报3取值!E24=0,"",生产日报3取值!E24)</f>
        <v/>
      </c>
      <c r="F24" s="260" t="str">
        <f>IF(生产日报3取值!F24=0,"",生产日报3取值!F24)</f>
        <v/>
      </c>
      <c r="G24" s="260" t="str">
        <f>IF(生产日报3取值!G24=0,"",生产日报3取值!G24)</f>
        <v/>
      </c>
      <c r="H24" s="260" t="str">
        <f>IF(生产日报3取值!H24=0,"",生产日报3取值!H24)</f>
        <v/>
      </c>
      <c r="I24" s="260">
        <f>IF(生产日报3取值!I24=0,"",生产日报3取值!I24)</f>
        <v>163</v>
      </c>
      <c r="J24" s="260">
        <f>IF(生产日报3取值!J24=0,"",生产日报3取值!J24)</f>
        <v>1002</v>
      </c>
      <c r="K24" s="260">
        <f>IF(生产日报3取值!K24=0,"",生产日报3取值!K24)</f>
        <v>183</v>
      </c>
      <c r="L24" s="260">
        <f>IF(生产日报3取值!L24=0,"",生产日报3取值!L24)</f>
        <v>1308</v>
      </c>
      <c r="M24" s="260">
        <f>IF(生产日报3取值!M24=0,"",生产日报3取值!M24)</f>
        <v>346</v>
      </c>
      <c r="N24" s="260">
        <f>IF(生产日报3取值!N24=0,"",生产日报3取值!N24)</f>
        <v>2310</v>
      </c>
      <c r="O24" s="282">
        <f>_xlfn.IFERROR(N24/D24*100,"")</f>
        <v>27.8313253012048</v>
      </c>
      <c r="P24" s="297"/>
      <c r="Q24" s="297"/>
    </row>
    <row customHeight="1" ht="15.75">
      <c r="A25" s="297"/>
      <c r="B25" s="247" t="s">
        <v>147</v>
      </c>
      <c r="C25" s="247"/>
      <c r="D25" s="260" t="str">
        <f>IF(生产日报3取值!D25=0,"",生产日报3取值!D25)</f>
        <v/>
      </c>
      <c r="E25" s="260">
        <f>IF(生产日报3取值!E25=0,"",生产日报3取值!E25)</f>
        <v>151</v>
      </c>
      <c r="F25" s="260">
        <f>IF(生产日报3取值!F25=0,"",生产日报3取值!F25)</f>
        <v>1075</v>
      </c>
      <c r="G25" s="260" t="str">
        <f>IF(生产日报3取值!G25=0,"",生产日报3取值!G25)</f>
        <v/>
      </c>
      <c r="H25" s="260" t="str">
        <f>IF(生产日报3取值!H25=0,"",生产日报3取值!H25)</f>
        <v/>
      </c>
      <c r="I25" s="260" t="str">
        <f>IF(生产日报3取值!I25=0,"",生产日报3取值!I25)</f>
        <v/>
      </c>
      <c r="J25" s="260" t="str">
        <f>IF(生产日报3取值!J25=0,"",生产日报3取值!J25)</f>
        <v/>
      </c>
      <c r="K25" s="260" t="str">
        <f>IF(生产日报3取值!K25=0,"",生产日报3取值!K25)</f>
        <v/>
      </c>
      <c r="L25" s="260" t="str">
        <f>IF(生产日报3取值!L25=0,"",生产日报3取值!L25)</f>
        <v/>
      </c>
      <c r="M25" s="260">
        <f>IF(生产日报3取值!M25=0,"",生产日报3取值!M25)</f>
        <v>151</v>
      </c>
      <c r="N25" s="260">
        <f>IF(生产日报3取值!N25=0,"",生产日报3取值!N25)</f>
        <v>1075</v>
      </c>
      <c r="O25" s="282" t="str">
        <f>_xlfn.IFERROR(N25/D25*100,"")</f>
        <v/>
      </c>
      <c r="P25" s="297"/>
      <c r="Q25" s="297"/>
    </row>
    <row customHeight="1" ht="15.75">
      <c r="A26" s="297"/>
      <c r="B26" s="247" t="s">
        <v>148</v>
      </c>
      <c r="C26" s="247"/>
      <c r="D26" s="260">
        <f>IF(生产日报3取值!D26=0,"",生产日报3取值!D26)</f>
        <v>5100.027</v>
      </c>
      <c r="E26" s="260">
        <f>IF(生产日报3取值!E26=0,"",生产日报3取值!E26)</f>
        <v>169</v>
      </c>
      <c r="F26" s="260">
        <f>IF(生产日报3取值!F26=0,"",生产日报3取值!F26)</f>
        <v>1128</v>
      </c>
      <c r="G26" s="260" t="str">
        <f>IF(生产日报3取值!G26=0,"",生产日报3取值!G26)</f>
        <v/>
      </c>
      <c r="H26" s="260" t="str">
        <f>IF(生产日报3取值!H26=0,"",生产日报3取值!H26)</f>
        <v/>
      </c>
      <c r="I26" s="260" t="str">
        <f>IF(生产日报3取值!I26=0,"",生产日报3取值!I26)</f>
        <v/>
      </c>
      <c r="J26" s="260" t="str">
        <f>IF(生产日报3取值!J26=0,"",生产日报3取值!J26)</f>
        <v/>
      </c>
      <c r="K26" s="260" t="str">
        <f>IF(生产日报3取值!K26=0,"",生产日报3取值!K26)</f>
        <v/>
      </c>
      <c r="L26" s="260" t="str">
        <f>IF(生产日报3取值!L26=0,"",生产日报3取值!L26)</f>
        <v/>
      </c>
      <c r="M26" s="260">
        <f>IF(生产日报3取值!M26=0,"",生产日报3取值!M26)</f>
        <v>169</v>
      </c>
      <c r="N26" s="260">
        <f>IF(生产日报3取值!N26=0,"",生产日报3取值!N26)</f>
        <v>1128</v>
      </c>
      <c r="O26" s="282">
        <f>_xlfn.IFERROR(N26/D26*100,"")</f>
        <v>22.1175299660178</v>
      </c>
      <c r="P26" s="297"/>
      <c r="Q26" s="297"/>
    </row>
    <row customHeight="1" ht="15.75">
      <c r="A27" s="297"/>
      <c r="B27" s="247" t="s">
        <v>149</v>
      </c>
      <c r="C27" s="247"/>
      <c r="D27" s="260" t="str">
        <f>IF(生产日报3取值!D27=0,"",生产日报3取值!D27)</f>
        <v/>
      </c>
      <c r="E27" s="260">
        <f>IF(生产日报3取值!E27=0,"",生产日报3取值!E27)</f>
        <v>13</v>
      </c>
      <c r="F27" s="260">
        <f>IF(生产日报3取值!F27=0,"",生产日报3取值!F27)</f>
        <v>100</v>
      </c>
      <c r="G27" s="260">
        <f>IF(生产日报3取值!G27=0,"",生产日报3取值!G27)</f>
        <v>8</v>
      </c>
      <c r="H27" s="260">
        <f>IF(生产日报3取值!H27=0,"",生产日报3取值!H27)</f>
        <v>54</v>
      </c>
      <c r="I27" s="260">
        <f>IF(生产日报3取值!I27=0,"",生产日报3取值!I27)</f>
        <v>28.5</v>
      </c>
      <c r="J27" s="260">
        <f>IF(生产日报3取值!J27=0,"",生产日报3取值!J27)</f>
        <v>111</v>
      </c>
      <c r="K27" s="260" t="str">
        <f>IF(生产日报3取值!K27=0,"",生产日报3取值!K27)</f>
        <v/>
      </c>
      <c r="L27" s="260">
        <f>IF(生产日报3取值!L27=0,"",生产日报3取值!L27)</f>
        <v>1</v>
      </c>
      <c r="M27" s="260">
        <f>IF(生产日报3取值!M27=0,"",生产日报3取值!M27)</f>
        <v>49.5</v>
      </c>
      <c r="N27" s="260">
        <f>IF(生产日报3取值!N27=0,"",生产日报3取值!N27)</f>
        <v>266</v>
      </c>
      <c r="O27" s="282" t="str">
        <f>_xlfn.IFERROR(N27/D27*100,"")</f>
        <v/>
      </c>
      <c r="P27" s="297"/>
      <c r="Q27" s="297"/>
    </row>
    <row customHeight="1" ht="15.75">
      <c r="A28" s="297"/>
      <c r="B28" s="247" t="s">
        <v>150</v>
      </c>
      <c r="C28" s="247"/>
      <c r="D28" s="260" t="str">
        <f>IF(生产日报3取值!D28=0,"",生产日报3取值!D28)</f>
        <v/>
      </c>
      <c r="E28" s="260" t="str">
        <f>IF(生产日报3取值!E28=0,"",生产日报3取值!E28)</f>
        <v/>
      </c>
      <c r="F28" s="260" t="str">
        <f>IF(生产日报3取值!F28=0,"",生产日报3取值!F28)</f>
        <v/>
      </c>
      <c r="G28" s="260" t="str">
        <f>IF(生产日报3取值!G28=0,"",生产日报3取值!G28)</f>
        <v/>
      </c>
      <c r="H28" s="260" t="str">
        <f>IF(生产日报3取值!H28=0,"",生产日报3取值!H28)</f>
        <v/>
      </c>
      <c r="I28" s="260" t="str">
        <f>IF(生产日报3取值!I28=0,"",生产日报3取值!I28)</f>
        <v/>
      </c>
      <c r="J28" s="260" t="str">
        <f>IF(生产日报3取值!J28=0,"",生产日报3取值!J28)</f>
        <v/>
      </c>
      <c r="K28" s="260" t="str">
        <f>IF(生产日报3取值!K28=0,"",生产日报3取值!K28)</f>
        <v/>
      </c>
      <c r="L28" s="260" t="str">
        <f>IF(生产日报3取值!L28=0,"",生产日报3取值!L28)</f>
        <v/>
      </c>
      <c r="M28" s="260" t="str">
        <f>IF(生产日报3取值!M28=0,"",生产日报3取值!M28)</f>
        <v/>
      </c>
      <c r="N28" s="260" t="str">
        <f>IF(生产日报3取值!N28=0,"",生产日报3取值!N28)</f>
        <v/>
      </c>
      <c r="O28" s="282" t="str">
        <f>_xlfn.IFERROR(N28/D28*100,"")</f>
        <v/>
      </c>
      <c r="P28" s="297"/>
      <c r="Q28" s="297"/>
    </row>
    <row customHeight="1" ht="15.75">
      <c r="A29" s="297"/>
      <c r="B29" s="279" t="s">
        <v>151</v>
      </c>
      <c r="C29" s="279"/>
      <c r="D29" s="260" t="str">
        <f>IF(生产日报3取值!D29=0,"",生产日报3取值!D29)</f>
        <v/>
      </c>
      <c r="E29" s="260"/>
      <c r="F29" s="260"/>
      <c r="G29" s="260"/>
      <c r="H29" s="260"/>
      <c r="I29" s="260"/>
      <c r="J29" s="260"/>
      <c r="K29" s="260"/>
      <c r="L29" s="260"/>
      <c r="M29" s="260" t="str">
        <f>IF(生产日报3取值!M29=0,"",生产日报3取值!M29)</f>
        <v/>
      </c>
      <c r="N29" s="260" t="str">
        <f>IF(生产日报3取值!N29=0,"",生产日报3取值!N29)</f>
        <v/>
      </c>
      <c r="O29" s="57"/>
      <c r="P29" s="297"/>
      <c r="Q29" s="297"/>
    </row>
    <row customHeight="1" ht="15.75">
      <c r="A30" s="297"/>
      <c r="B30" s="247" t="s">
        <v>152</v>
      </c>
      <c r="C30" s="247"/>
      <c r="D30" s="260" t="str">
        <f>IF(生产日报3取值!D30=0,"",生产日报3取值!D30)</f>
        <v/>
      </c>
      <c r="E30" s="260">
        <f>IF(生产日报3取值!E30=0,"",生产日报3取值!E30)</f>
        <v>13179</v>
      </c>
      <c r="F30" s="260">
        <f>IF(生产日报3取值!F30=0,"",生产日报3取值!F30)</f>
        <v>57060</v>
      </c>
      <c r="G30" s="260">
        <f>IF(生产日报3取值!G30=0,"",生产日报3取值!G30)</f>
        <v>1997</v>
      </c>
      <c r="H30" s="260">
        <f>IF(生产日报3取值!H30=0,"",生产日报3取值!H30)</f>
        <v>17226</v>
      </c>
      <c r="I30" s="260">
        <f>IF(生产日报3取值!I30=0,"",生产日报3取值!I30)</f>
        <v>3200</v>
      </c>
      <c r="J30" s="260">
        <f>IF(生产日报3取值!J30=0,"",生产日报3取值!J30)</f>
        <v>19096</v>
      </c>
      <c r="K30" s="260"/>
      <c r="L30" s="260"/>
      <c r="M30" s="260">
        <f>IF(生产日报3取值!M30=0,"",生产日报3取值!M30)</f>
        <v>18376</v>
      </c>
      <c r="N30" s="260">
        <f>IF(生产日报3取值!N30=0,"",生产日报3取值!N30)</f>
        <v>93382</v>
      </c>
      <c r="O30" s="260"/>
      <c r="P30" s="297"/>
      <c r="Q30" s="297"/>
    </row>
    <row customHeight="1" ht="15.75">
      <c r="A31" s="297"/>
      <c r="B31" s="247" t="s">
        <v>153</v>
      </c>
      <c r="C31" s="247"/>
      <c r="D31" s="260" t="str">
        <f>IF(生产日报3取值!D31=0,"",生产日报3取值!D31)</f>
        <v/>
      </c>
      <c r="E31" s="260" t="str">
        <f>IF(生产日报3取值!E31=0,"",生产日报3取值!E31)</f>
        <v/>
      </c>
      <c r="F31" s="260" t="str">
        <f>IF(生产日报3取值!F31=0,"",生产日报3取值!F31)</f>
        <v/>
      </c>
      <c r="G31" s="260" t="str">
        <f>IF(生产日报3取值!G31=0,"",生产日报3取值!G31)</f>
        <v/>
      </c>
      <c r="H31" s="260" t="str">
        <f>IF(生产日报3取值!H31=0,"",生产日报3取值!H31)</f>
        <v/>
      </c>
      <c r="I31" s="260" t="str">
        <f>IF(生产日报3取值!I31=0,"",生产日报3取值!I31)</f>
        <v/>
      </c>
      <c r="J31" s="260" t="str">
        <f>IF(生产日报3取值!J31=0,"",生产日报3取值!J31)</f>
        <v/>
      </c>
      <c r="K31" s="260"/>
      <c r="L31" s="260"/>
      <c r="M31" s="260" t="str">
        <f>IF(生产日报3取值!M31=0,"",生产日报3取值!M31)</f>
        <v/>
      </c>
      <c r="N31" s="260" t="str">
        <f>IF(生产日报3取值!N31=0,"",生产日报3取值!N31)</f>
        <v/>
      </c>
      <c r="O31" s="260"/>
      <c r="P31" s="297"/>
      <c r="Q31" s="297"/>
    </row>
    <row customHeight="1" ht="15.75">
      <c r="A32" s="297"/>
      <c r="B32" s="247" t="s">
        <v>154</v>
      </c>
      <c r="C32" s="247"/>
      <c r="D32" s="260" t="str">
        <f>IF(生产日报3取值!D32=0,"",生产日报3取值!D32)</f>
        <v/>
      </c>
      <c r="E32" s="260">
        <f>IF(生产日报3取值!E32=0,"",生产日报3取值!E32)</f>
        <v>9857</v>
      </c>
      <c r="F32" s="260">
        <f>IF(生产日报3取值!F32=0,"",生产日报3取值!F32)</f>
        <v>32478</v>
      </c>
      <c r="G32" s="260">
        <f>IF(生产日报3取值!G32=0,"",生产日报3取值!G32)</f>
        <v>1997</v>
      </c>
      <c r="H32" s="260">
        <f>IF(生产日报3取值!H32=0,"",生产日报3取值!H32)</f>
        <v>17226</v>
      </c>
      <c r="I32" s="260">
        <f>IF(生产日报3取值!I32=0,"",生产日报3取值!I32)</f>
        <v>2784</v>
      </c>
      <c r="J32" s="260">
        <f>IF(生产日报3取值!J32=0,"",生产日报3取值!J32)</f>
        <v>16566</v>
      </c>
      <c r="K32" s="260"/>
      <c r="L32" s="260"/>
      <c r="M32" s="260">
        <f>IF(生产日报3取值!M32=0,"",生产日报3取值!M32)</f>
        <v>14638</v>
      </c>
      <c r="N32" s="260">
        <f>IF(生产日报3取值!N32=0,"",生产日报3取值!N32)</f>
        <v>66270</v>
      </c>
      <c r="O32" s="260"/>
      <c r="P32" s="297"/>
      <c r="Q32" s="297"/>
    </row>
    <row customHeight="1" ht="15.75">
      <c r="A33" s="297"/>
      <c r="B33" s="247" t="s">
        <v>155</v>
      </c>
      <c r="C33" s="247"/>
      <c r="D33" s="260" t="str">
        <f>IF(生产日报3取值!D33=0,"",生产日报3取值!D33)</f>
        <v/>
      </c>
      <c r="E33" s="260" t="str">
        <f>IF(生产日报3取值!E33=0,"",生产日报3取值!E33)</f>
        <v/>
      </c>
      <c r="F33" s="260" t="str">
        <f>IF(生产日报3取值!F33=0,"",生产日报3取值!F33)</f>
        <v/>
      </c>
      <c r="G33" s="260" t="str">
        <f>IF(生产日报3取值!G33=0,"",生产日报3取值!G33)</f>
        <v/>
      </c>
      <c r="H33" s="260" t="str">
        <f>IF(生产日报3取值!H33=0,"",生产日报3取值!H33)</f>
        <v/>
      </c>
      <c r="I33" s="260" t="str">
        <f>IF(生产日报3取值!I33=0,"",生产日报3取值!I33)</f>
        <v/>
      </c>
      <c r="J33" s="260" t="str">
        <f>IF(生产日报3取值!J33=0,"",生产日报3取值!J33)</f>
        <v/>
      </c>
      <c r="K33" s="260"/>
      <c r="L33" s="260"/>
      <c r="M33" s="260" t="str">
        <f>IF(生产日报3取值!M33=0,"",生产日报3取值!M33)</f>
        <v/>
      </c>
      <c r="N33" s="260" t="str">
        <f>IF(生产日报3取值!N33=0,"",生产日报3取值!N33)</f>
        <v/>
      </c>
      <c r="O33" s="260"/>
      <c r="P33" s="297"/>
      <c r="Q33" s="297"/>
    </row>
    <row customHeight="1" ht="15.75">
      <c r="A34" s="297"/>
      <c r="B34" s="247" t="s">
        <v>156</v>
      </c>
      <c r="C34" s="247"/>
      <c r="D34" s="260" t="str">
        <f>IF(生产日报3取值!D34=0,"",生产日报3取值!D34)</f>
        <v/>
      </c>
      <c r="E34" s="260">
        <f>IF(生产日报3取值!E34=0,"",生产日报3取值!E34)</f>
        <v>3322</v>
      </c>
      <c r="F34" s="260">
        <f>IF(生产日报3取值!F34=0,"",生产日报3取值!F34)</f>
        <v>24582</v>
      </c>
      <c r="G34" s="260" t="str">
        <f>IF(生产日报3取值!G34=0,"",生产日报3取值!G34)</f>
        <v/>
      </c>
      <c r="H34" s="260" t="str">
        <f>IF(生产日报3取值!H34=0,"",生产日报3取值!H34)</f>
        <v/>
      </c>
      <c r="I34" s="260">
        <f>IF(生产日报3取值!I34=0,"",生产日报3取值!I34)</f>
        <v>416</v>
      </c>
      <c r="J34" s="260">
        <f>IF(生产日报3取值!J34=0,"",生产日报3取值!J34)</f>
        <v>2530</v>
      </c>
      <c r="K34" s="260"/>
      <c r="L34" s="260"/>
      <c r="M34" s="260">
        <f>IF(生产日报3取值!M34=0,"",生产日报3取值!M34)</f>
        <v>3738</v>
      </c>
      <c r="N34" s="260">
        <f>IF(生产日报3取值!N34=0,"",生产日报3取值!N34)</f>
        <v>27112</v>
      </c>
      <c r="O34" s="260"/>
      <c r="P34" s="297"/>
      <c r="Q34" s="297"/>
    </row>
    <row customHeight="1" ht="15.75">
      <c r="A35" s="297"/>
      <c r="B35" s="247" t="s">
        <v>157</v>
      </c>
      <c r="C35" s="247"/>
      <c r="D35" s="260" t="str">
        <f>IF(生产日报3取值!D35=0,"",生产日报3取值!D35)</f>
        <v/>
      </c>
      <c r="E35" s="260">
        <f>IF(生产日报3取值!E35=0,"",生产日报3取值!E35)</f>
        <v>3452</v>
      </c>
      <c r="F35" s="260">
        <f>IF(生产日报3取值!F35=0,"",生产日报3取值!F35)</f>
        <v>43190</v>
      </c>
      <c r="G35" s="260">
        <f>IF(生产日报3取值!G35=0,"",生产日报3取值!G35)</f>
        <v>2534</v>
      </c>
      <c r="H35" s="260">
        <f>IF(生产日报3取值!H35=0,"",生产日报3取值!H35)</f>
        <v>17769</v>
      </c>
      <c r="I35" s="260">
        <f>IF(生产日报3取值!I35=0,"",生产日报3取值!I35)</f>
        <v>8270</v>
      </c>
      <c r="J35" s="260">
        <f>IF(生产日报3取值!J35=0,"",生产日报3取值!J35)</f>
        <v>22878</v>
      </c>
      <c r="K35" s="260"/>
      <c r="L35" s="260"/>
      <c r="M35" s="260">
        <f>IF(生产日报3取值!M35=0,"",生产日报3取值!M35)</f>
        <v>14256</v>
      </c>
      <c r="N35" s="260">
        <f>IF(生产日报3取值!N35=0,"",生产日报3取值!N35)</f>
        <v>83837</v>
      </c>
      <c r="O35" s="260"/>
      <c r="P35" s="297"/>
      <c r="Q35" s="297"/>
    </row>
    <row customHeight="1" ht="15.75">
      <c r="A36" s="297"/>
      <c r="B36" s="247" t="s">
        <v>158</v>
      </c>
      <c r="C36" s="247"/>
      <c r="D36" s="260" t="str">
        <f>IF(生产日报3取值!D36=0,"",生产日报3取值!D36)</f>
        <v/>
      </c>
      <c r="E36" s="260">
        <f>IF(生产日报3取值!E36=0,"",生产日报3取值!E36)</f>
        <v>3452</v>
      </c>
      <c r="F36" s="260">
        <f>IF(生产日报3取值!F36=0,"",生产日报3取值!F36)</f>
        <v>43190</v>
      </c>
      <c r="G36" s="260">
        <f>IF(生产日报3取值!G36=0,"",生产日报3取值!G36)</f>
        <v>1642</v>
      </c>
      <c r="H36" s="260">
        <f>IF(生产日报3取值!H36=0,"",生产日报3取值!H36)</f>
        <v>14410</v>
      </c>
      <c r="I36" s="260">
        <f>IF(生产日报3取值!I36=0,"",生产日报3取值!I36)</f>
        <v>5338</v>
      </c>
      <c r="J36" s="260">
        <f>IF(生产日报3取值!J36=0,"",生产日报3取值!J36)</f>
        <v>17922</v>
      </c>
      <c r="K36" s="260"/>
      <c r="L36" s="260"/>
      <c r="M36" s="260">
        <f>IF(生产日报3取值!M36=0,"",生产日报3取值!M36)</f>
        <v>10432</v>
      </c>
      <c r="N36" s="260">
        <f>IF(生产日报3取值!N36=0,"",生产日报3取值!N36)</f>
        <v>75522</v>
      </c>
      <c r="O36" s="260"/>
      <c r="P36" s="297"/>
      <c r="Q36" s="297"/>
    </row>
    <row customHeight="1" ht="15.75">
      <c r="A37" s="297"/>
      <c r="B37" s="247" t="s">
        <v>159</v>
      </c>
      <c r="C37" s="247"/>
      <c r="D37" s="260" t="str">
        <f>IF(生产日报3取值!D37=0,"",生产日报3取值!D37)</f>
        <v/>
      </c>
      <c r="E37" s="260" t="str">
        <f>IF(生产日报3取值!E37=0,"",生产日报3取值!E37)</f>
        <v/>
      </c>
      <c r="F37" s="260" t="str">
        <f>IF(生产日报3取值!F37=0,"",生产日报3取值!F37)</f>
        <v/>
      </c>
      <c r="G37" s="260" t="str">
        <f>IF(生产日报3取值!G37=0,"",生产日报3取值!G37)</f>
        <v/>
      </c>
      <c r="H37" s="260" t="str">
        <f>IF(生产日报3取值!H37=0,"",生产日报3取值!H37)</f>
        <v/>
      </c>
      <c r="I37" s="260">
        <f>IF(生产日报3取值!I37=0,"",生产日报3取值!I37)</f>
        <v>2932</v>
      </c>
      <c r="J37" s="260">
        <f>IF(生产日报3取值!J37=0,"",生产日报3取值!J37)</f>
        <v>3792</v>
      </c>
      <c r="K37" s="260"/>
      <c r="L37" s="260"/>
      <c r="M37" s="260">
        <f>IF(生产日报3取值!M37=0,"",生产日报3取值!M37)</f>
        <v>2932</v>
      </c>
      <c r="N37" s="260">
        <f>IF(生产日报3取值!N37=0,"",生产日报3取值!N37)</f>
        <v>3792</v>
      </c>
      <c r="O37" s="260"/>
      <c r="P37" s="297"/>
      <c r="Q37" s="297"/>
    </row>
    <row customHeight="1" ht="15.75">
      <c r="A38" s="297"/>
      <c r="B38" s="247" t="s">
        <v>160</v>
      </c>
      <c r="C38" s="247"/>
      <c r="D38" s="260" t="str">
        <f>IF(生产日报3取值!D38=0,"",生产日报3取值!D38)</f>
        <v/>
      </c>
      <c r="E38" s="260" t="str">
        <f>IF(生产日报3取值!E38=0,"",生产日报3取值!E38)</f>
        <v/>
      </c>
      <c r="F38" s="260" t="str">
        <f>IF(生产日报3取值!F38=0,"",生产日报3取值!F38)</f>
        <v/>
      </c>
      <c r="G38" s="260">
        <f>IF(生产日报3取值!G38=0,"",生产日报3取值!G38)</f>
        <v>892</v>
      </c>
      <c r="H38" s="260">
        <f>IF(生产日报3取值!H38=0,"",生产日报3取值!H38)</f>
        <v>3359</v>
      </c>
      <c r="I38" s="260" t="str">
        <f>IF(生产日报3取值!I38=0,"",生产日报3取值!I38)</f>
        <v/>
      </c>
      <c r="J38" s="260">
        <f>IF(生产日报3取值!J38=0,"",生产日报3取值!J38)</f>
        <v>1164</v>
      </c>
      <c r="K38" s="260"/>
      <c r="L38" s="260"/>
      <c r="M38" s="260">
        <f>IF(生产日报3取值!M38=0,"",生产日报3取值!M38)</f>
        <v>892</v>
      </c>
      <c r="N38" s="260">
        <f>IF(生产日报3取值!N38=0,"",生产日报3取值!N38)</f>
        <v>4523</v>
      </c>
      <c r="O38" s="260"/>
      <c r="P38" s="297"/>
      <c r="Q38" s="297"/>
    </row>
    <row customHeight="1" ht="15.75">
      <c r="A39" s="297"/>
      <c r="B39" s="247" t="s">
        <v>161</v>
      </c>
      <c r="C39" s="247"/>
      <c r="D39" s="260" t="str">
        <f>IF(生产日报3取值!D39=0,"",生产日报3取值!D39)</f>
        <v/>
      </c>
      <c r="E39" s="260">
        <f>IF(生产日报3取值!E39=0,"",生产日报3取值!E39)</f>
        <v>603.42</v>
      </c>
      <c r="F39" s="260">
        <f>IF(生产日报3取值!F39=0,"",生产日报3取值!F39)</f>
        <v>3562.92</v>
      </c>
      <c r="G39" s="260" t="str">
        <f>IF(生产日报3取值!G39=0,"",生产日报3取值!G39)</f>
        <v/>
      </c>
      <c r="H39" s="260" t="str">
        <f>IF(生产日报3取值!H39=0,"",生产日报3取值!H39)</f>
        <v/>
      </c>
      <c r="I39" s="260" t="str">
        <f>IF(生产日报3取值!I39=0,"",生产日报3取值!I39)</f>
        <v/>
      </c>
      <c r="J39" s="260" t="str">
        <f>IF(生产日报3取值!J39=0,"",生产日报3取值!J39)</f>
        <v/>
      </c>
      <c r="K39" s="260" t="str">
        <f>IF(生产日报3取值!K39=0,"",生产日报3取值!K39)</f>
        <v/>
      </c>
      <c r="L39" s="260" t="str">
        <f>IF(生产日报3取值!L39=0,"",生产日报3取值!L39)</f>
        <v/>
      </c>
      <c r="M39" s="260">
        <f>IF(生产日报3取值!M39=0,"",生产日报3取值!M39)</f>
        <v>603.42</v>
      </c>
      <c r="N39" s="260">
        <f>IF(生产日报3取值!N39=0,"",生产日报3取值!N39)</f>
        <v>3562.92</v>
      </c>
      <c r="O39" s="282" t="str">
        <f>_xlfn.IFERROR(N39/D39*100,"")</f>
        <v/>
      </c>
      <c r="P39" s="297"/>
      <c r="Q39" s="297"/>
    </row>
    <row customHeight="1" ht="15.75">
      <c r="A40" s="297"/>
      <c r="B40" s="247" t="s">
        <v>162</v>
      </c>
      <c r="C40" s="247"/>
      <c r="D40" s="260" t="str">
        <f>IF(生产日报3取值!D40=0,"",生产日报3取值!D40)</f>
        <v/>
      </c>
      <c r="E40" s="260">
        <f>IF(生产日报3取值!E40=0,"",生产日报3取值!E40)</f>
        <v>95.22</v>
      </c>
      <c r="F40" s="260">
        <f>IF(生产日报3取值!F40=0,"",生产日报3取值!F40)</f>
        <v>765.34</v>
      </c>
      <c r="G40" s="260" t="str">
        <f>IF(生产日报3取值!G40=0,"",生产日报3取值!G40)</f>
        <v/>
      </c>
      <c r="H40" s="260" t="str">
        <f>IF(生产日报3取值!H40=0,"",生产日报3取值!H40)</f>
        <v/>
      </c>
      <c r="I40" s="260" t="str">
        <f>IF(生产日报3取值!I40=0,"",生产日报3取值!I40)</f>
        <v/>
      </c>
      <c r="J40" s="260" t="str">
        <f>IF(生产日报3取值!J40=0,"",生产日报3取值!J40)</f>
        <v/>
      </c>
      <c r="K40" s="260"/>
      <c r="L40" s="260"/>
      <c r="M40" s="260">
        <f>IF(生产日报3取值!M40=0,"",生产日报3取值!M40)</f>
        <v>95.22</v>
      </c>
      <c r="N40" s="260">
        <f>IF(生产日报3取值!N40=0,"",生产日报3取值!N40)</f>
        <v>765.34</v>
      </c>
      <c r="O40" s="260"/>
      <c r="P40" s="297"/>
      <c r="Q40" s="297"/>
    </row>
    <row customHeight="1" ht="15.75">
      <c r="A41" s="297"/>
      <c r="B41" s="247" t="s">
        <v>163</v>
      </c>
      <c r="C41" s="247"/>
      <c r="D41" s="260" t="str">
        <f>IF(生产日报3取值!D41=0,"",生产日报3取值!D41)</f>
        <v/>
      </c>
      <c r="E41" s="260">
        <f>IF(生产日报3取值!E41=0,"",生产日报3取值!E41)</f>
        <v>75.06</v>
      </c>
      <c r="F41" s="260">
        <f>IF(生产日报3取值!F41=0,"",生产日报3取值!F41)</f>
        <v>932.22</v>
      </c>
      <c r="G41" s="260" t="str">
        <f>IF(生产日报3取值!G41=0,"",生产日报3取值!G41)</f>
        <v/>
      </c>
      <c r="H41" s="260" t="str">
        <f>IF(生产日报3取值!H41=0,"",生产日报3取值!H41)</f>
        <v/>
      </c>
      <c r="I41" s="260" t="str">
        <f>IF(生产日报3取值!I41=0,"",生产日报3取值!I41)</f>
        <v/>
      </c>
      <c r="J41" s="260" t="str">
        <f>IF(生产日报3取值!J41=0,"",生产日报3取值!J41)</f>
        <v/>
      </c>
      <c r="K41" s="260"/>
      <c r="L41" s="260"/>
      <c r="M41" s="260">
        <f>IF(生产日报3取值!M41=0,"",生产日报3取值!M41)</f>
        <v>75.06</v>
      </c>
      <c r="N41" s="260">
        <f>IF(生产日报3取值!N41=0,"",生产日报3取值!N41)</f>
        <v>932.22</v>
      </c>
      <c r="O41" s="260"/>
      <c r="P41" s="297"/>
      <c r="Q41" s="297"/>
    </row>
    <row customHeight="1" ht="15.75">
      <c r="A42" s="297"/>
      <c r="B42" s="247" t="s">
        <v>164</v>
      </c>
      <c r="C42" s="247"/>
      <c r="D42" s="260" t="str">
        <f>IF(生产日报3取值!D42=0,"",生产日报3取值!D42)</f>
        <v/>
      </c>
      <c r="E42" s="260">
        <f>IF(生产日报3取值!E42=0,"",生产日报3取值!E42)</f>
        <v>528</v>
      </c>
      <c r="F42" s="260">
        <f>IF(生产日报3取值!F42=0,"",生产日报3取值!F42)</f>
        <v>2432</v>
      </c>
      <c r="G42" s="260" t="str">
        <f>IF(生产日报3取值!G42=0,"",生产日报3取值!G42)</f>
        <v/>
      </c>
      <c r="H42" s="260" t="str">
        <f>IF(生产日报3取值!H42=0,"",生产日报3取值!H42)</f>
        <v/>
      </c>
      <c r="I42" s="260" t="str">
        <f>IF(生产日报3取值!I42=0,"",生产日报3取值!I42)</f>
        <v/>
      </c>
      <c r="J42" s="260" t="str">
        <f>IF(生产日报3取值!J42=0,"",生产日报3取值!J42)</f>
        <v/>
      </c>
      <c r="K42" s="260">
        <f>IF(生产日报3取值!K42=0,"",生产日报3取值!K42)</f>
        <v>800.56</v>
      </c>
      <c r="L42" s="260">
        <f>IF(生产日报3取值!L42=0,"",生产日报3取值!L42)</f>
        <v>4784.06</v>
      </c>
      <c r="M42" s="260">
        <f>IF(生产日报3取值!M42=0,"",生产日报3取值!M42)</f>
        <v>1328.56</v>
      </c>
      <c r="N42" s="260">
        <f>IF(生产日报3取值!N42=0,"",生产日报3取值!N42)</f>
        <v>7216.06</v>
      </c>
      <c r="O42" s="260"/>
      <c r="P42" s="297"/>
      <c r="Q42" s="297"/>
    </row>
    <row customHeight="1" ht="15.75">
      <c r="A43" s="297"/>
      <c r="B43" s="247" t="s">
        <v>165</v>
      </c>
      <c r="C43" s="247"/>
      <c r="D43" s="260" t="str">
        <f>IF(生产日报3取值!D43=0,"",生产日报3取值!D43)</f>
        <v/>
      </c>
      <c r="E43" s="260" t="str">
        <f>IF(生产日报3取值!E43=0,"",生产日报3取值!E43)</f>
        <v/>
      </c>
      <c r="F43" s="260" t="str">
        <f>IF(生产日报3取值!F43=0,"",生产日报3取值!F43)</f>
        <v/>
      </c>
      <c r="G43" s="260" t="str">
        <f>IF(生产日报3取值!G43=0,"",生产日报3取值!G43)</f>
        <v/>
      </c>
      <c r="H43" s="260" t="str">
        <f>IF(生产日报3取值!H43=0,"",生产日报3取值!H43)</f>
        <v/>
      </c>
      <c r="I43" s="260">
        <f>IF(生产日报3取值!I43=0,"",生产日报3取值!I43)</f>
        <v>419</v>
      </c>
      <c r="J43" s="260">
        <f>IF(生产日报3取值!J43=0,"",生产日报3取值!J43)</f>
        <v>1252</v>
      </c>
      <c r="K43" s="260">
        <f>IF(生产日报3取值!K43=0,"",生产日报3取值!K43)</f>
        <v>151</v>
      </c>
      <c r="L43" s="260">
        <f>IF(生产日报3取值!L43=0,"",生产日报3取值!L43)</f>
        <v>1271</v>
      </c>
      <c r="M43" s="260">
        <f>IF(生产日报3取值!M43=0,"",生产日报3取值!M43)</f>
        <v>570</v>
      </c>
      <c r="N43" s="260">
        <f>IF(生产日报3取值!N43=0,"",生产日报3取值!N43)</f>
        <v>2523</v>
      </c>
      <c r="O43" s="260"/>
      <c r="P43" s="297"/>
      <c r="Q43" s="297"/>
    </row>
    <row customHeight="1" ht="15.75">
      <c r="A44" s="297"/>
      <c r="B44" s="247" t="s">
        <v>166</v>
      </c>
      <c r="C44" s="247"/>
      <c r="D44" s="260" t="str">
        <f>IF(生产日报3取值!D44=0,"",生产日报3取值!D44)</f>
        <v/>
      </c>
      <c r="E44" s="260">
        <f>IF(生产日报3取值!E44=0,"",生产日报3取值!E44)</f>
        <v>163.82</v>
      </c>
      <c r="F44" s="260">
        <f>IF(生产日报3取值!F44=0,"",生产日报3取值!F44)</f>
        <v>1571.54</v>
      </c>
      <c r="G44" s="260" t="str">
        <f>IF(生产日报3取值!G44=0,"",生产日报3取值!G44)</f>
        <v/>
      </c>
      <c r="H44" s="260" t="str">
        <f>IF(生产日报3取值!H44=0,"",生产日报3取值!H44)</f>
        <v/>
      </c>
      <c r="I44" s="260" t="str">
        <f>IF(生产日报3取值!I44=0,"",生产日报3取值!I44)</f>
        <v/>
      </c>
      <c r="J44" s="260" t="str">
        <f>IF(生产日报3取值!J44=0,"",生产日报3取值!J44)</f>
        <v/>
      </c>
      <c r="K44" s="260" t="str">
        <f>IF(生产日报3取值!K44=0,"",生产日报3取值!K44)</f>
        <v/>
      </c>
      <c r="L44" s="260" t="str">
        <f>IF(生产日报3取值!L44=0,"",生产日报3取值!L44)</f>
        <v/>
      </c>
      <c r="M44" s="260">
        <f>IF(生产日报3取值!M44=0,"",生产日报3取值!M44)</f>
        <v>163.82</v>
      </c>
      <c r="N44" s="260">
        <f>IF(生产日报3取值!N44=0,"",生产日报3取值!N44)</f>
        <v>1571.54</v>
      </c>
      <c r="O44" s="260"/>
      <c r="P44" s="297"/>
      <c r="Q44" s="297"/>
    </row>
    <row customHeight="1" ht="15.75">
      <c r="A45" s="297"/>
      <c r="B45" s="247" t="s">
        <v>167</v>
      </c>
      <c r="C45" s="247"/>
      <c r="D45" s="260" t="str">
        <f>IF(生产日报3取值!D45=0,"",生产日报3取值!D45)</f>
        <v/>
      </c>
      <c r="E45" s="260">
        <f>IF(生产日报3取值!E45=0,"",生产日报3取值!E45)</f>
        <v>196.02</v>
      </c>
      <c r="F45" s="260">
        <f>IF(生产日报3取值!F45=0,"",生产日报3取值!F45)</f>
        <v>1263.62</v>
      </c>
      <c r="G45" s="260" t="str">
        <f>IF(生产日报3取值!G45=0,"",生产日报3取值!G45)</f>
        <v/>
      </c>
      <c r="H45" s="260" t="str">
        <f>IF(生产日报3取值!H45=0,"",生产日报3取值!H45)</f>
        <v/>
      </c>
      <c r="I45" s="260" t="str">
        <f>IF(生产日报3取值!I45=0,"",生产日报3取值!I45)</f>
        <v/>
      </c>
      <c r="J45" s="260" t="str">
        <f>IF(生产日报3取值!J45=0,"",生产日报3取值!J45)</f>
        <v/>
      </c>
      <c r="K45" s="260" t="str">
        <f>IF(生产日报3取值!K45=0,"",生产日报3取值!K45)</f>
        <v/>
      </c>
      <c r="L45" s="260" t="str">
        <f>IF(生产日报3取值!L45=0,"",生产日报3取值!L45)</f>
        <v/>
      </c>
      <c r="M45" s="260">
        <f>IF(生产日报3取值!M45=0,"",生产日报3取值!M45)</f>
        <v>196.02</v>
      </c>
      <c r="N45" s="260">
        <f>IF(生产日报3取值!N45=0,"",生产日报3取值!N45)</f>
        <v>1263.62</v>
      </c>
      <c r="O45" s="260"/>
      <c r="P45" s="297"/>
      <c r="Q45" s="297"/>
    </row>
    <row customHeight="1" ht="15.75">
      <c r="A46" s="297"/>
      <c r="B46" s="247" t="s">
        <v>168</v>
      </c>
      <c r="C46" s="247"/>
      <c r="D46" s="260" t="str">
        <f>IF(生产日报3取值!D46=0,"",生产日报3取值!D46)</f>
        <v/>
      </c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97"/>
      <c r="Q46" s="297"/>
    </row>
    <row customHeight="1" ht="15.75">
      <c r="A47" s="297"/>
      <c r="B47" s="247" t="s">
        <v>169</v>
      </c>
      <c r="C47" s="247"/>
      <c r="D47" s="260">
        <f>IF(生产日报3取值!D47=0,"",生产日报3取值!D47)</f>
        <v>7800</v>
      </c>
      <c r="E47" s="260">
        <f>IF(生产日报3取值!E47=0,"",生产日报3取值!E47)</f>
        <v>62.82</v>
      </c>
      <c r="F47" s="260">
        <f>IF(生产日报3取值!F47=0,"",生产日报3取值!F47)</f>
        <v>527.4</v>
      </c>
      <c r="G47" s="260" t="str">
        <f>IF(生产日报3取值!G47=0,"",生产日报3取值!G47)</f>
        <v/>
      </c>
      <c r="H47" s="260" t="str">
        <f>IF(生产日报3取值!H47=0,"",生产日报3取值!H47)</f>
        <v/>
      </c>
      <c r="I47" s="260">
        <f>IF(生产日报3取值!I47=0,"",生产日报3取值!I47)</f>
        <v>287</v>
      </c>
      <c r="J47" s="260">
        <f>IF(生产日报3取值!J47=0,"",生产日报3取值!J47)</f>
        <v>1427</v>
      </c>
      <c r="K47" s="260" t="str">
        <f>IF(生产日报3取值!K47=0,"",生产日报3取值!K47)</f>
        <v/>
      </c>
      <c r="L47" s="260" t="str">
        <f>IF(生产日报3取值!L47=0,"",生产日报3取值!L47)</f>
        <v/>
      </c>
      <c r="M47" s="260">
        <f>IF(生产日报3取值!M47=0,"",生产日报3取值!M47)</f>
        <v>349.82</v>
      </c>
      <c r="N47" s="260">
        <f>IF(生产日报3取值!N47=0,"",生产日报3取值!N47)</f>
        <v>1954.4</v>
      </c>
      <c r="O47" s="282">
        <f>_xlfn.IFERROR(N47/D47*100,"")</f>
        <v>25.0564102564103</v>
      </c>
      <c r="P47" s="297"/>
      <c r="Q47" s="297"/>
    </row>
    <row customHeight="1" ht="15.75">
      <c r="A48" s="297"/>
      <c r="B48" s="247" t="s">
        <v>170</v>
      </c>
      <c r="C48" s="247"/>
      <c r="D48" s="260" t="str">
        <f>IF(生产日报3取值!D48=0,"",生产日报3取值!D48)</f>
        <v/>
      </c>
      <c r="E48" s="260" t="str">
        <f>IF(生产日报3取值!E48=0,"",生产日报3取值!E48)</f>
        <v/>
      </c>
      <c r="F48" s="260" t="str">
        <f>IF(生产日报3取值!F48=0,"",生产日报3取值!F48)</f>
        <v/>
      </c>
      <c r="G48" s="260" t="str">
        <f>IF(生产日报3取值!G48=0,"",生产日报3取值!G48)</f>
        <v/>
      </c>
      <c r="H48" s="260" t="str">
        <f>IF(生产日报3取值!H48=0,"",生产日报3取值!H48)</f>
        <v/>
      </c>
      <c r="I48" s="260">
        <f>IF(生产日报3取值!I48=0,"",生产日报3取值!I48)</f>
        <v>65.54</v>
      </c>
      <c r="J48" s="260">
        <f>IF(生产日报3取值!J48=0,"",生产日报3取值!J48)</f>
        <v>163.18</v>
      </c>
      <c r="K48" s="260" t="str">
        <f>IF(生产日报3取值!K48=0,"",生产日报3取值!K48)</f>
        <v/>
      </c>
      <c r="L48" s="260" t="str">
        <f>IF(生产日报3取值!L48=0,"",生产日报3取值!L48)</f>
        <v/>
      </c>
      <c r="M48" s="260">
        <f>IF(生产日报3取值!M48=0,"",生产日报3取值!M48)</f>
        <v>65.54</v>
      </c>
      <c r="N48" s="260">
        <f>IF(生产日报3取值!N48=0,"",生产日报3取值!N48)</f>
        <v>163.18</v>
      </c>
      <c r="O48" s="260"/>
      <c r="P48" s="297"/>
      <c r="Q48" s="297"/>
    </row>
    <row customHeight="1" ht="18">
      <c r="A49" s="297"/>
      <c r="B49" s="509" t="s">
        <v>171</v>
      </c>
      <c r="C49" s="389" t="s">
        <v>60</v>
      </c>
      <c r="D49" s="510" t="s">
        <v>172</v>
      </c>
      <c r="E49" s="510"/>
      <c r="F49" s="510"/>
      <c r="G49" s="510"/>
      <c r="H49" s="88" t="s">
        <v>110</v>
      </c>
      <c r="I49" s="390" t="str">
        <f>IF(生产日报6!I33=0,"",生产日报6!I33)</f>
        <v>胡连鹏</v>
      </c>
      <c r="J49" s="389"/>
      <c r="K49" s="510"/>
      <c r="L49" s="510"/>
      <c r="M49" s="88" t="s">
        <v>121</v>
      </c>
      <c r="N49" s="390" t="str">
        <f>IF(生产日报6!N33=0,"",生产日报6!N33)</f>
        <v>李阿君</v>
      </c>
      <c r="O49" s="389"/>
      <c r="P49" s="297"/>
      <c r="Q49" s="297"/>
    </row>
    <row customHeight="1" ht="13.5">
      <c r="A50" s="29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297"/>
      <c r="Q50" s="297"/>
    </row>
    <row customHeight="1" ht="13.5">
      <c r="A51" s="29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297"/>
      <c r="Q51" s="297"/>
    </row>
    <row customHeight="1" ht="13.5">
      <c r="A52" s="29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297"/>
      <c r="Q52" s="297"/>
    </row>
    <row customHeight="1" ht="13.5">
      <c r="A53" s="29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297"/>
      <c r="Q53" s="297"/>
    </row>
    <row customHeight="1" ht="13.5">
      <c r="A54" s="29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297"/>
      <c r="Q54" s="297"/>
    </row>
  </sheetData>
  <mergeCells count="62">
    <mergeCell ref="B1:O1"/>
    <mergeCell ref="B2:C2"/>
    <mergeCell ref="D2:E2"/>
    <mergeCell ref="F2:G2"/>
    <mergeCell ref="H2:I2"/>
    <mergeCell ref="J2:L2"/>
    <mergeCell ref="M2:O2"/>
    <mergeCell ref="E3:F3"/>
    <mergeCell ref="G3:H3"/>
    <mergeCell ref="I3:J3"/>
    <mergeCell ref="K3:L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I49:J49"/>
    <mergeCell ref="N49:O49"/>
    <mergeCell ref="D3:D4"/>
    <mergeCell ref="M3:M4"/>
    <mergeCell ref="N3:N4"/>
    <mergeCell ref="O3:O4"/>
    <mergeCell ref="B3:C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835B9E8-C0C8-70E9-8F28-2ABD06777918}" mc:Ignorable="x14ac xr xr2 xr3">
  <dimension ref="A1:R201"/>
  <sheetViews>
    <sheetView defaultGridColor="0" colorId="31" workbookViewId="0">
      <pane xSplit="3" ySplit="4" topLeftCell="D5" activePane="bottomRight" state="frozen"/>
      <selection pane="bottomLeft" activeCell="A5" sqref="A5"/>
      <selection pane="topRight" activeCell="D1" sqref="D1"/>
      <selection pane="bottomRight" activeCell="L53" sqref="L53"/>
    </sheetView>
  </sheetViews>
  <sheetFormatPr defaultColWidth="10.00390625" customHeight="1" defaultRowHeight="13.5"/>
  <cols>
    <col min="1" max="1" style="74" width="3.57421875" customWidth="1"/>
    <col min="2" max="2" style="51" width="13.28125" customWidth="1"/>
    <col min="3" max="4" style="51" width="9.7109375" customWidth="1"/>
    <col min="5" max="5" style="51" width="9.57421875" customWidth="1"/>
    <col min="6" max="6" style="51" width="8.57421875" customWidth="1"/>
    <col min="7" max="8" style="51" width="8.28125" customWidth="1"/>
    <col min="9" max="10" style="51" width="7.7109375" customWidth="1"/>
    <col min="11" max="11" style="51" width="11.8515625" customWidth="1"/>
    <col min="12" max="12" style="51" width="9.57421875" customWidth="1"/>
    <col min="13" max="13" style="51" width="11.7109375" customWidth="1"/>
    <col min="14" max="14" style="51" width="11.57421875" customWidth="1"/>
    <col min="15" max="15" style="51" width="11.8515625" customWidth="1"/>
  </cols>
  <sheetData>
    <row customHeight="1" ht="35.25">
      <c r="A1" s="297"/>
      <c r="B1" s="200" t="s">
        <v>0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392"/>
      <c r="Q1" s="392"/>
      <c r="R1" s="392"/>
    </row>
    <row customHeight="1" ht="18.75">
      <c r="A2" s="297"/>
      <c r="B2" s="240" t="s">
        <v>64</v>
      </c>
      <c r="C2" s="238" t="s">
        <v>65</v>
      </c>
      <c r="D2" s="238"/>
      <c r="E2" s="241"/>
      <c r="F2" s="241"/>
      <c r="G2" s="241"/>
      <c r="H2" s="241" t="s">
        <v>5</v>
      </c>
      <c r="I2" s="241"/>
      <c r="J2" s="241"/>
      <c r="K2" s="241"/>
      <c r="L2" s="408" t="s">
        <v>5</v>
      </c>
      <c r="M2" s="241"/>
      <c r="N2" s="238" t="s">
        <v>6</v>
      </c>
      <c r="O2" s="238"/>
      <c r="P2" s="392"/>
      <c r="Q2" s="392"/>
      <c r="R2" s="392"/>
    </row>
    <row customHeight="1" ht="14.25">
      <c r="A3" s="297"/>
      <c r="B3" s="242" t="s">
        <v>7</v>
      </c>
      <c r="C3" s="243"/>
      <c r="D3" s="82" t="s">
        <v>8</v>
      </c>
      <c r="E3" s="244" t="s">
        <v>9</v>
      </c>
      <c r="F3" s="245"/>
      <c r="G3" s="244" t="s">
        <v>10</v>
      </c>
      <c r="H3" s="245"/>
      <c r="I3" s="244" t="s">
        <v>11</v>
      </c>
      <c r="J3" s="245"/>
      <c r="K3" s="263" t="s">
        <v>12</v>
      </c>
      <c r="L3" s="240"/>
      <c r="M3" s="82" t="s">
        <v>13</v>
      </c>
      <c r="N3" s="82" t="s">
        <v>14</v>
      </c>
      <c r="O3" s="82" t="s">
        <v>125</v>
      </c>
      <c r="P3" s="392"/>
      <c r="Q3" s="392"/>
      <c r="R3" s="392"/>
    </row>
    <row customHeight="1" ht="14.25">
      <c r="A4" s="297"/>
      <c r="B4" s="242"/>
      <c r="C4" s="242"/>
      <c r="D4" s="95"/>
      <c r="E4" s="246" t="s">
        <v>126</v>
      </c>
      <c r="F4" s="246" t="s">
        <v>17</v>
      </c>
      <c r="G4" s="246" t="s">
        <v>126</v>
      </c>
      <c r="H4" s="246" t="s">
        <v>17</v>
      </c>
      <c r="I4" s="246" t="s">
        <v>126</v>
      </c>
      <c r="J4" s="246" t="s">
        <v>17</v>
      </c>
      <c r="K4" s="246" t="s">
        <v>126</v>
      </c>
      <c r="L4" s="246" t="s">
        <v>17</v>
      </c>
      <c r="M4" s="95"/>
      <c r="N4" s="95"/>
      <c r="O4" s="95"/>
      <c r="P4" s="392"/>
      <c r="Q4" s="392"/>
      <c r="R4" s="392"/>
    </row>
    <row customHeight="1" ht="14.25">
      <c r="A5" s="297"/>
      <c r="B5" s="247" t="s">
        <v>173</v>
      </c>
      <c r="C5" s="248"/>
      <c r="D5" s="249"/>
      <c r="E5" s="249">
        <f>_xlfn.IFERROR(E51,"")</f>
        <v>2447</v>
      </c>
      <c r="F5" s="249">
        <f>_xlfn.IFERROR(F51,"")</f>
        <v>15104</v>
      </c>
      <c r="G5" s="249"/>
      <c r="H5" s="249"/>
      <c r="I5" s="249"/>
      <c r="J5" s="249"/>
      <c r="K5" s="249"/>
      <c r="L5" s="249"/>
      <c r="M5" s="249">
        <f>E5+G5+I5+K5</f>
        <v>2447</v>
      </c>
      <c r="N5" s="249">
        <f>F5+H5+J5+L5</f>
        <v>15104</v>
      </c>
      <c r="O5" s="249" t="str">
        <f>_xlfn.IFERROR(N5/D5,"")</f>
        <v/>
      </c>
      <c r="P5" s="392"/>
      <c r="Q5" s="392"/>
      <c r="R5" s="392"/>
    </row>
    <row customHeight="1" ht="14.25">
      <c r="A6" s="297"/>
      <c r="B6" s="250" t="s">
        <v>174</v>
      </c>
      <c r="C6" s="251"/>
      <c r="D6" s="249"/>
      <c r="E6" s="249"/>
      <c r="F6" s="249"/>
      <c r="G6" s="249"/>
      <c r="H6" s="249"/>
      <c r="I6" s="249">
        <f>_xlfn.IFERROR(SUM(I51:I53),"")</f>
        <v>0</v>
      </c>
      <c r="J6" s="249">
        <f>_xlfn.IFERROR(SUM(J51:J53),"")</f>
        <v>0</v>
      </c>
      <c r="K6" s="249">
        <f>_xlfn.IFERROR(SUM(K52:K55),"")</f>
        <v>2447</v>
      </c>
      <c r="L6" s="249">
        <f>_xlfn.IFERROR(SUM(L52:L55),"")</f>
        <v>15427.98</v>
      </c>
      <c r="M6" s="249">
        <f>E6+G6+I6+K6</f>
        <v>2447</v>
      </c>
      <c r="N6" s="249">
        <f>F6+H6+J6+L6</f>
        <v>15427.98</v>
      </c>
      <c r="O6" s="249" t="str">
        <f>_xlfn.IFERROR(N6/D6,"")</f>
        <v/>
      </c>
      <c r="P6" s="392"/>
      <c r="Q6" s="392"/>
      <c r="R6" s="392"/>
    </row>
    <row customHeight="1" ht="14.25">
      <c r="A7" s="297"/>
      <c r="B7" s="252" t="s">
        <v>175</v>
      </c>
      <c r="C7" s="253"/>
      <c r="D7" s="249"/>
      <c r="E7" s="249">
        <f>_xlfn.IFERROR(E158,"")</f>
        <v>1632</v>
      </c>
      <c r="F7" s="249">
        <f>_xlfn.IFERROR(F158,"")</f>
        <v>10912</v>
      </c>
      <c r="G7" s="249">
        <f>_xlfn.IFERROR(SUM(G83),"")</f>
        <v>709</v>
      </c>
      <c r="H7" s="249">
        <f>_xlfn.IFERROR(SUM(H83),"")</f>
        <v>3190</v>
      </c>
      <c r="I7" s="249">
        <f>_xlfn.IFERROR(I77,"")</f>
        <v>536.32</v>
      </c>
      <c r="J7" s="249">
        <f>_xlfn.IFERROR(J77,"")</f>
        <v>3055.94</v>
      </c>
      <c r="K7" s="249"/>
      <c r="L7" s="249"/>
      <c r="M7" s="249">
        <f>E7+G7+I7+K7</f>
        <v>2877.32</v>
      </c>
      <c r="N7" s="249">
        <f>F7+H7+J7+L7</f>
        <v>17157.94</v>
      </c>
      <c r="O7" s="249" t="str">
        <f>_xlfn.IFERROR(N7/D7,"")</f>
        <v/>
      </c>
      <c r="P7" s="392"/>
      <c r="Q7" s="392"/>
      <c r="R7" s="392"/>
    </row>
    <row customHeight="1" ht="14.25">
      <c r="A8" s="297"/>
      <c r="B8" s="250" t="s">
        <v>176</v>
      </c>
      <c r="C8" s="251"/>
      <c r="D8" s="249"/>
      <c r="E8" s="249">
        <f>_xlfn.IFERROR(E59,"")</f>
        <v>1056.16</v>
      </c>
      <c r="F8" s="249">
        <f>_xlfn.IFERROR(F59,"")</f>
        <v>6778.44</v>
      </c>
      <c r="G8" s="249"/>
      <c r="H8" s="249"/>
      <c r="I8" s="249"/>
      <c r="J8" s="249"/>
      <c r="K8" s="249">
        <f>_xlfn.IFERROR(K128,"")</f>
        <v>1632</v>
      </c>
      <c r="L8" s="249">
        <f>_xlfn.IFERROR(L128,"")</f>
        <v>10912</v>
      </c>
      <c r="M8" s="249">
        <f>E8+G8+I8+K8</f>
        <v>2688.16</v>
      </c>
      <c r="N8" s="249">
        <f>F8+H8+J8+L8</f>
        <v>17690.44</v>
      </c>
      <c r="O8" s="249" t="str">
        <f>_xlfn.IFERROR(N8/D8,"")</f>
        <v/>
      </c>
      <c r="P8" s="392"/>
      <c r="Q8" s="392"/>
      <c r="R8" s="392"/>
    </row>
    <row customHeight="1" ht="14.25">
      <c r="A9" s="297"/>
      <c r="B9" s="252" t="s">
        <v>177</v>
      </c>
      <c r="C9" s="253"/>
      <c r="D9" s="249"/>
      <c r="E9" s="249">
        <f>_xlfn.IFERROR(E57,"")</f>
        <v>95.22</v>
      </c>
      <c r="F9" s="249">
        <f>_xlfn.IFERROR(F57,"")</f>
        <v>571.28</v>
      </c>
      <c r="G9" s="249"/>
      <c r="H9" s="249"/>
      <c r="I9" s="249"/>
      <c r="J9" s="249"/>
      <c r="K9" s="249"/>
      <c r="L9" s="249"/>
      <c r="M9" s="249">
        <f>E9+G9+I9+K9</f>
        <v>95.22</v>
      </c>
      <c r="N9" s="249">
        <f>F9+H9+J9+L9</f>
        <v>571.28</v>
      </c>
      <c r="O9" s="249" t="str">
        <f>_xlfn.IFERROR(N9/D9,"")</f>
        <v/>
      </c>
      <c r="P9" s="392"/>
      <c r="Q9" s="392"/>
      <c r="R9" s="392"/>
    </row>
    <row customHeight="1" ht="14.25">
      <c r="A10" s="297"/>
      <c r="B10" s="250" t="s">
        <v>178</v>
      </c>
      <c r="C10" s="251"/>
      <c r="D10" s="249"/>
      <c r="E10" s="249">
        <f>_xlfn.IFERROR(E67,"")</f>
        <v>296</v>
      </c>
      <c r="F10" s="249">
        <f>_xlfn.IFERROR(F67,"")</f>
        <v>1527</v>
      </c>
      <c r="G10" s="249"/>
      <c r="H10" s="249"/>
      <c r="I10" s="249"/>
      <c r="J10" s="249"/>
      <c r="K10" s="249"/>
      <c r="L10" s="249"/>
      <c r="M10" s="249">
        <f>E10+G10+I10+K10</f>
        <v>296</v>
      </c>
      <c r="N10" s="249">
        <f>F10+H10+J10+L10</f>
        <v>1527</v>
      </c>
      <c r="O10" s="249" t="str">
        <f>_xlfn.IFERROR(N10/D10,"")</f>
        <v/>
      </c>
      <c r="P10" s="392"/>
      <c r="Q10" s="392"/>
      <c r="R10" s="392"/>
    </row>
    <row customHeight="1" ht="14.25">
      <c r="A11" s="297"/>
      <c r="B11" s="252" t="s">
        <v>179</v>
      </c>
      <c r="C11" s="253"/>
      <c r="D11" s="249"/>
      <c r="E11" s="249">
        <f>_xlfn.IFERROR(E160,"")</f>
        <v>4106</v>
      </c>
      <c r="F11" s="249">
        <f>_xlfn.IFERROR(F160,"")</f>
        <v>29162</v>
      </c>
      <c r="G11" s="249"/>
      <c r="H11" s="249"/>
      <c r="I11" s="249"/>
      <c r="J11" s="249"/>
      <c r="K11" s="249"/>
      <c r="L11" s="249"/>
      <c r="M11" s="249">
        <f>E11+G11+I11+K11</f>
        <v>4106</v>
      </c>
      <c r="N11" s="249">
        <f>F11+H11+J11+L11</f>
        <v>29162</v>
      </c>
      <c r="O11" s="249" t="str">
        <f>_xlfn.IFERROR(N11/D11,"")</f>
        <v/>
      </c>
      <c r="P11" s="392"/>
      <c r="Q11" s="392"/>
      <c r="R11" s="392"/>
    </row>
    <row customHeight="1" ht="14.25">
      <c r="A12" s="297"/>
      <c r="B12" s="250" t="s">
        <v>180</v>
      </c>
      <c r="C12" s="251"/>
      <c r="D12" s="249"/>
      <c r="E12" s="249"/>
      <c r="F12" s="249"/>
      <c r="G12" s="249"/>
      <c r="H12" s="249"/>
      <c r="I12" s="249"/>
      <c r="J12" s="249"/>
      <c r="K12" s="249">
        <f>K122</f>
        <v>4106</v>
      </c>
      <c r="L12" s="249">
        <f>L122</f>
        <v>29162</v>
      </c>
      <c r="M12" s="249">
        <f>E12+G12+I12+K12</f>
        <v>4106</v>
      </c>
      <c r="N12" s="249">
        <f>F12+H12+J12+L12</f>
        <v>29162</v>
      </c>
      <c r="O12" s="249" t="str">
        <f>_xlfn.IFERROR(N12/D12,"")</f>
        <v/>
      </c>
      <c r="P12" s="392"/>
      <c r="Q12" s="392"/>
      <c r="R12" s="392"/>
    </row>
    <row customHeight="1" ht="14.25">
      <c r="A13" s="297"/>
      <c r="B13" s="252" t="s">
        <v>181</v>
      </c>
      <c r="C13" s="253"/>
      <c r="D13" s="249"/>
      <c r="E13" s="249">
        <f>_xlfn.IFERROR(E162,"")</f>
        <v>4870</v>
      </c>
      <c r="F13" s="249">
        <f>_xlfn.IFERROR(F162,"")</f>
        <v>34344</v>
      </c>
      <c r="G13" s="249"/>
      <c r="H13" s="249"/>
      <c r="I13" s="249"/>
      <c r="J13" s="249"/>
      <c r="K13" s="249"/>
      <c r="L13" s="249"/>
      <c r="M13" s="249">
        <f>E13+G13+I13+K13</f>
        <v>4870</v>
      </c>
      <c r="N13" s="249">
        <f>F13+H13+J13+L13</f>
        <v>34344</v>
      </c>
      <c r="O13" s="249" t="str">
        <f>_xlfn.IFERROR(N13/D13,"")</f>
        <v/>
      </c>
      <c r="P13" s="392"/>
      <c r="Q13" s="392"/>
      <c r="R13" s="392"/>
    </row>
    <row customHeight="1" ht="14.25">
      <c r="A14" s="297"/>
      <c r="B14" s="250" t="s">
        <v>182</v>
      </c>
      <c r="C14" s="251"/>
      <c r="D14" s="249"/>
      <c r="E14" s="249"/>
      <c r="F14" s="249"/>
      <c r="G14" s="249"/>
      <c r="H14" s="249"/>
      <c r="I14" s="249"/>
      <c r="J14" s="249"/>
      <c r="K14" s="249">
        <f>SUM(K130:K132)</f>
        <v>4870</v>
      </c>
      <c r="L14" s="249">
        <f>SUM(L123:L125)</f>
        <v>34344</v>
      </c>
      <c r="M14" s="249">
        <f>E14+G14+I14+K14</f>
        <v>4870</v>
      </c>
      <c r="N14" s="249">
        <f>F14+H14+J14+L14</f>
        <v>34344</v>
      </c>
      <c r="O14" s="249" t="str">
        <f>_xlfn.IFERROR(N14/D14,"")</f>
        <v/>
      </c>
      <c r="P14" s="392"/>
      <c r="Q14" s="392"/>
      <c r="R14" s="392"/>
    </row>
    <row customHeight="1" ht="14.25">
      <c r="A15" s="297"/>
      <c r="B15" s="254" t="s">
        <v>137</v>
      </c>
      <c r="C15" s="254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392"/>
      <c r="Q15" s="392"/>
      <c r="R15" s="392"/>
    </row>
    <row customHeight="1" ht="15.75">
      <c r="A16" s="297"/>
      <c r="B16" s="252" t="s">
        <v>183</v>
      </c>
      <c r="C16" s="252"/>
      <c r="D16" s="518">
        <v>458000</v>
      </c>
      <c r="E16" s="249">
        <f>_xlfn.IFERROR(E77,"")</f>
        <v>834</v>
      </c>
      <c r="F16" s="249">
        <f>_xlfn.IFERROR(F77,"")</f>
        <v>43275</v>
      </c>
      <c r="G16" s="249">
        <f>_xlfn.IFERROR(SUM(G71:G73),"")</f>
        <v>3565</v>
      </c>
      <c r="H16" s="249">
        <f>_xlfn.IFERROR(SUM(H71:H73),"")</f>
        <v>17294</v>
      </c>
      <c r="I16" s="249">
        <f>_xlfn.IFERROR(SUM(I60:I61),"")</f>
        <v>3000</v>
      </c>
      <c r="J16" s="249">
        <f>_xlfn.IFERROR(SUM(J60:J61),"")</f>
        <v>13992</v>
      </c>
      <c r="K16" s="249">
        <f>_xlfn.IFERROR(SUM(K57:K63),"")</f>
        <v>9155</v>
      </c>
      <c r="L16" s="249">
        <f>_xlfn.IFERROR(SUM(L57:L63),"")</f>
        <v>64460</v>
      </c>
      <c r="M16" s="249">
        <f>E16+G16+I16</f>
        <v>7399</v>
      </c>
      <c r="N16" s="249">
        <f>F16+H16+J16</f>
        <v>74561</v>
      </c>
      <c r="O16" s="249">
        <f>_xlfn.IFERROR(N16/D16,"")</f>
        <v>0.162796943231441</v>
      </c>
      <c r="P16" s="392"/>
      <c r="Q16" s="392"/>
      <c r="R16" s="392"/>
    </row>
    <row customHeight="1" ht="14.25">
      <c r="A17" s="297"/>
      <c r="B17" s="253" t="s">
        <v>184</v>
      </c>
      <c r="C17" s="256"/>
      <c r="D17" s="518">
        <v>408000</v>
      </c>
      <c r="E17" s="249">
        <f>_xlfn.IFERROR(E81,"")</f>
        <v>8542</v>
      </c>
      <c r="F17" s="249">
        <f>_xlfn.IFERROR(F81,"")</f>
        <v>50161</v>
      </c>
      <c r="G17" s="249">
        <f>_xlfn.IFERROR(SUM(G100:G103),"")</f>
        <v>3427</v>
      </c>
      <c r="H17" s="249">
        <f>_xlfn.IFERROR(SUM(H100:H103),"")</f>
        <v>19647</v>
      </c>
      <c r="I17" s="249">
        <f>_xlfn.IFERROR(SUM(I63:I65),"")</f>
        <v>3500</v>
      </c>
      <c r="J17" s="249">
        <f>_xlfn.IFERROR(SUM(J63:J65),"")</f>
        <v>13500</v>
      </c>
      <c r="K17" s="249">
        <f>_xlfn.IFERROR(SUM(K65:K66),"")</f>
        <v>6405</v>
      </c>
      <c r="L17" s="249">
        <f>_xlfn.IFERROR(SUM(L65:L66),"")</f>
        <v>45804</v>
      </c>
      <c r="M17" s="249">
        <f>E17+G17+I17</f>
        <v>15469</v>
      </c>
      <c r="N17" s="249">
        <f>F17+H17+J17</f>
        <v>83308</v>
      </c>
      <c r="O17" s="249">
        <f>_xlfn.IFERROR(N17/D17,"")</f>
        <v>0.204186274509804</v>
      </c>
      <c r="P17" s="520"/>
      <c r="Q17" s="521"/>
      <c r="R17" s="392"/>
    </row>
    <row customHeight="1" ht="12.75">
      <c r="A18" s="297"/>
      <c r="B18" s="253" t="s">
        <v>185</v>
      </c>
      <c r="C18" s="256"/>
      <c r="D18" s="518">
        <v>87000</v>
      </c>
      <c r="E18" s="249">
        <f>_xlfn.IFERROR(E86,"")</f>
        <v>1436</v>
      </c>
      <c r="F18" s="249">
        <f>_xlfn.IFERROR(F86,"")</f>
        <v>10205</v>
      </c>
      <c r="G18" s="249">
        <f>_xlfn.IFERROR(G57,"")</f>
        <v>622</v>
      </c>
      <c r="H18" s="249">
        <f>_xlfn.IFERROR(H57,"")</f>
        <v>4282</v>
      </c>
      <c r="I18" s="249">
        <f>_xlfn.IFERROR(I68,"")</f>
        <v>718</v>
      </c>
      <c r="J18" s="249">
        <f>_xlfn.IFERROR(J68,"")</f>
        <v>4572</v>
      </c>
      <c r="K18" s="249"/>
      <c r="L18" s="249"/>
      <c r="M18" s="249">
        <f>E18+G18+I18</f>
        <v>2776</v>
      </c>
      <c r="N18" s="249">
        <f>F18+H18+J18</f>
        <v>19059</v>
      </c>
      <c r="O18" s="249">
        <f>_xlfn.IFERROR(N18/D18,"")</f>
        <v>0.219068965517241</v>
      </c>
      <c r="P18" s="520"/>
      <c r="Q18" s="521"/>
      <c r="R18" s="392"/>
    </row>
    <row customHeight="1" ht="14.25">
      <c r="A19" s="297"/>
      <c r="B19" s="253" t="s">
        <v>186</v>
      </c>
      <c r="C19" s="256"/>
      <c r="D19" s="518"/>
      <c r="E19" s="249">
        <f>_xlfn.IFERROR(E88,"")</f>
        <v>738</v>
      </c>
      <c r="F19" s="249">
        <f>_xlfn.IFERROR(F88,"")</f>
        <v>3397</v>
      </c>
      <c r="G19" s="249">
        <f>_xlfn.IFERROR(G79,"")</f>
        <v>0</v>
      </c>
      <c r="H19" s="249">
        <f>_xlfn.IFERROR(H79,"")</f>
        <v>0</v>
      </c>
      <c r="I19" s="249"/>
      <c r="J19" s="249"/>
      <c r="K19" s="249"/>
      <c r="L19" s="249"/>
      <c r="M19" s="249">
        <f>E19+G19+I19</f>
        <v>738</v>
      </c>
      <c r="N19" s="249">
        <f>F19+H19+J19</f>
        <v>3397</v>
      </c>
      <c r="O19" s="249" t="str">
        <f>_xlfn.IFERROR(N19/D19,"")</f>
        <v/>
      </c>
      <c r="P19" s="520"/>
      <c r="Q19" s="521"/>
      <c r="R19" s="392"/>
    </row>
    <row customHeight="1" ht="14.25">
      <c r="A20" s="297"/>
      <c r="B20" s="253" t="s">
        <v>187</v>
      </c>
      <c r="C20" s="256"/>
      <c r="D20" s="522"/>
      <c r="E20" s="249">
        <f>_xlfn.IFERROR(E152,"")</f>
        <v>94</v>
      </c>
      <c r="F20" s="249">
        <f>_xlfn.IFERROR(F152,"")</f>
        <v>561</v>
      </c>
      <c r="G20" s="249"/>
      <c r="H20" s="249"/>
      <c r="I20" s="249"/>
      <c r="J20" s="249"/>
      <c r="K20" s="249">
        <f>_xlfn.IFERROR(K73,"")</f>
        <v>217</v>
      </c>
      <c r="L20" s="249">
        <f>_xlfn.IFERROR(L73,"")</f>
        <v>1647</v>
      </c>
      <c r="M20" s="249">
        <f>E20+G20+I20+K20</f>
        <v>311</v>
      </c>
      <c r="N20" s="249">
        <f>F20+H20+J20+L20</f>
        <v>2208</v>
      </c>
      <c r="O20" s="249" t="str">
        <f>_xlfn.IFERROR(N20/D20,"")</f>
        <v/>
      </c>
      <c r="P20" s="520"/>
      <c r="Q20" s="521"/>
      <c r="R20" s="392"/>
    </row>
    <row customHeight="1" ht="14.25">
      <c r="A21" s="297"/>
      <c r="B21" s="253" t="s">
        <v>188</v>
      </c>
      <c r="C21" s="256"/>
      <c r="D21" s="522"/>
      <c r="E21" s="249">
        <f>_xlfn.IFERROR(E151,"")</f>
        <v>0</v>
      </c>
      <c r="F21" s="249">
        <f>_xlfn.IFERROR(F151,"")</f>
        <v>0</v>
      </c>
      <c r="G21" s="249"/>
      <c r="H21" s="249"/>
      <c r="I21" s="249"/>
      <c r="J21" s="249"/>
      <c r="K21" s="249">
        <f>_xlfn.IFERROR(K77,"")</f>
        <v>305</v>
      </c>
      <c r="L21" s="249">
        <f>_xlfn.IFERROR(L77,"")</f>
        <v>2327</v>
      </c>
      <c r="M21" s="249">
        <f>E21+G21+I21+K21</f>
        <v>305</v>
      </c>
      <c r="N21" s="249">
        <f>F21+H21+J21+L21</f>
        <v>2327</v>
      </c>
      <c r="O21" s="249" t="str">
        <f>_xlfn.IFERROR(N21/D21,"")</f>
        <v/>
      </c>
      <c r="P21" s="520"/>
      <c r="Q21" s="521"/>
      <c r="R21" s="392"/>
    </row>
    <row customHeight="1" ht="14.25">
      <c r="A22" s="297"/>
      <c r="B22" s="253" t="s">
        <v>189</v>
      </c>
      <c r="C22" s="256"/>
      <c r="D22" s="518">
        <v>26499.939</v>
      </c>
      <c r="E22" s="249">
        <f>_xlfn.IFERROR(E90,"")</f>
        <v>305</v>
      </c>
      <c r="F22" s="249">
        <f>_xlfn.IFERROR(F90,"")</f>
        <v>2100</v>
      </c>
      <c r="G22" s="249"/>
      <c r="H22" s="249"/>
      <c r="I22" s="249"/>
      <c r="J22" s="249"/>
      <c r="K22" s="249">
        <f>_xlfn.IFERROR(K80,"")</f>
        <v>609.56</v>
      </c>
      <c r="L22" s="249">
        <f>_xlfn.IFERROR(L80,"")</f>
        <v>4269.06</v>
      </c>
      <c r="M22" s="249">
        <f>E22+G22+I22+K22</f>
        <v>914.56</v>
      </c>
      <c r="N22" s="249">
        <f>F22+H22+J22+L22</f>
        <v>6369.06</v>
      </c>
      <c r="O22" s="249">
        <f>_xlfn.IFERROR(N22/D22,"")</f>
        <v>0.240342440033541</v>
      </c>
      <c r="P22" s="520"/>
      <c r="Q22" s="521"/>
      <c r="R22" s="392"/>
    </row>
    <row customHeight="1" ht="21">
      <c r="A23" s="297"/>
      <c r="B23" s="253" t="s">
        <v>190</v>
      </c>
      <c r="C23" s="256"/>
      <c r="D23" s="518">
        <v>26800</v>
      </c>
      <c r="E23" s="249">
        <f>_xlfn.IFERROR(E98,"")</f>
        <v>108</v>
      </c>
      <c r="F23" s="249">
        <f>_xlfn.IFERROR(F98,"")</f>
        <v>688</v>
      </c>
      <c r="G23" s="249"/>
      <c r="H23" s="249"/>
      <c r="I23" s="249">
        <f>_xlfn.IFERROR(I72,"")</f>
        <v>0</v>
      </c>
      <c r="J23" s="249">
        <f>_xlfn.IFERROR(J72,"")</f>
        <v>0</v>
      </c>
      <c r="K23" s="249">
        <f>_xlfn.IFERROR(K103,"")</f>
        <v>835</v>
      </c>
      <c r="L23" s="249">
        <f>_xlfn.IFERROR(L103,"")</f>
        <v>6006</v>
      </c>
      <c r="M23" s="249">
        <f>E23+G23+I23+K23</f>
        <v>943</v>
      </c>
      <c r="N23" s="249">
        <f>F23+H23+J23+L23</f>
        <v>6694</v>
      </c>
      <c r="O23" s="249">
        <f>_xlfn.IFERROR(N23/D23,"")</f>
        <v>0.249776119402985</v>
      </c>
      <c r="P23" s="520"/>
      <c r="Q23" s="521"/>
      <c r="R23" s="392"/>
    </row>
    <row customHeight="1" ht="14.25">
      <c r="A24" s="297"/>
      <c r="B24" s="253" t="s">
        <v>191</v>
      </c>
      <c r="C24" s="256"/>
      <c r="D24" s="518">
        <v>8300</v>
      </c>
      <c r="E24" s="249">
        <f>_xlfn.IFERROR(E100,"")</f>
        <v>0</v>
      </c>
      <c r="F24" s="249">
        <f>_xlfn.IFERROR(F100,"")</f>
        <v>0</v>
      </c>
      <c r="G24" s="249"/>
      <c r="H24" s="249"/>
      <c r="I24" s="249">
        <f>_xlfn.IFERROR(I70,"")</f>
        <v>163</v>
      </c>
      <c r="J24" s="249">
        <f>_xlfn.IFERROR(J70,"")</f>
        <v>1002</v>
      </c>
      <c r="K24" s="249">
        <f>_xlfn.IFERROR(K82,"")</f>
        <v>183</v>
      </c>
      <c r="L24" s="249">
        <f>_xlfn.IFERROR(L82,"")</f>
        <v>1308</v>
      </c>
      <c r="M24" s="249">
        <f>E24+G24+I24+K24</f>
        <v>346</v>
      </c>
      <c r="N24" s="249">
        <f>F24+H24+J24+L24</f>
        <v>2310</v>
      </c>
      <c r="O24" s="249">
        <f>_xlfn.IFERROR(N24/D24,"")</f>
        <v>0.278313253012048</v>
      </c>
      <c r="P24" s="520"/>
      <c r="Q24" s="521"/>
      <c r="R24" s="392"/>
    </row>
    <row customHeight="1" ht="14.25">
      <c r="A25" s="297"/>
      <c r="B25" s="253" t="s">
        <v>192</v>
      </c>
      <c r="C25" s="256"/>
      <c r="D25" s="518"/>
      <c r="E25" s="249">
        <f>_xlfn.IFERROR(E102,"")</f>
        <v>151</v>
      </c>
      <c r="F25" s="249">
        <f>_xlfn.IFERROR(F102,"")</f>
        <v>1075</v>
      </c>
      <c r="G25" s="249"/>
      <c r="H25" s="249"/>
      <c r="I25" s="249"/>
      <c r="J25" s="249"/>
      <c r="K25" s="249"/>
      <c r="L25" s="249"/>
      <c r="M25" s="249">
        <f>E25+G25+I25+K25</f>
        <v>151</v>
      </c>
      <c r="N25" s="249">
        <f>F25+H25+J25+L25</f>
        <v>1075</v>
      </c>
      <c r="O25" s="249" t="str">
        <f>_xlfn.IFERROR(N25/D25,"")</f>
        <v/>
      </c>
      <c r="P25" s="520"/>
      <c r="Q25" s="521"/>
      <c r="R25" s="392"/>
    </row>
    <row customHeight="1" ht="14.25">
      <c r="A26" s="297"/>
      <c r="B26" s="253" t="s">
        <v>193</v>
      </c>
      <c r="C26" s="256"/>
      <c r="D26" s="518">
        <v>5100.027</v>
      </c>
      <c r="E26" s="249">
        <f>_xlfn.IFERROR(E104,"")</f>
        <v>169</v>
      </c>
      <c r="F26" s="249">
        <f>_xlfn.IFERROR(F104,"")</f>
        <v>1128</v>
      </c>
      <c r="G26" s="249"/>
      <c r="H26" s="249"/>
      <c r="I26" s="249"/>
      <c r="J26" s="249"/>
      <c r="K26" s="249"/>
      <c r="L26" s="249"/>
      <c r="M26" s="249">
        <f>E26+G26+I26+K26</f>
        <v>169</v>
      </c>
      <c r="N26" s="249">
        <f>F26+H26+J26+L26</f>
        <v>1128</v>
      </c>
      <c r="O26" s="249">
        <f>_xlfn.IFERROR(N26/D26,"")</f>
        <v>0.221175299660178</v>
      </c>
      <c r="P26" s="520"/>
      <c r="Q26" s="521"/>
      <c r="R26" s="392"/>
    </row>
    <row customHeight="1" ht="14.25">
      <c r="A27" s="297"/>
      <c r="B27" s="253" t="s">
        <v>194</v>
      </c>
      <c r="C27" s="256"/>
      <c r="D27" s="518"/>
      <c r="E27" s="249">
        <f>_xlfn.IFERROR(E106,"")</f>
        <v>13</v>
      </c>
      <c r="F27" s="249">
        <f>_xlfn.IFERROR(F106,"")</f>
        <v>100</v>
      </c>
      <c r="G27" s="249">
        <f>_xlfn.IFERROR(G58,"")</f>
        <v>8</v>
      </c>
      <c r="H27" s="249">
        <f>_xlfn.IFERROR(H58,"")</f>
        <v>54</v>
      </c>
      <c r="I27" s="249">
        <f>_xlfn.IFERROR(I96,"")</f>
        <v>28.5</v>
      </c>
      <c r="J27" s="249">
        <f>_xlfn.IFERROR(J96,"")</f>
        <v>111</v>
      </c>
      <c r="K27" s="249">
        <f>_xlfn.IFERROR(K84,"")</f>
        <v>0</v>
      </c>
      <c r="L27" s="249">
        <f>_xlfn.IFERROR(L84,"")</f>
        <v>1</v>
      </c>
      <c r="M27" s="249">
        <f>E27+G27+I27+K27</f>
        <v>49.5</v>
      </c>
      <c r="N27" s="249">
        <f>F27+H27+J27+L27</f>
        <v>266</v>
      </c>
      <c r="O27" s="249" t="str">
        <f>_xlfn.IFERROR(N27/D27,"")</f>
        <v/>
      </c>
      <c r="P27" s="520"/>
      <c r="Q27" s="521"/>
      <c r="R27" s="392"/>
    </row>
    <row customHeight="1" ht="14.25">
      <c r="A28" s="297"/>
      <c r="B28" s="253" t="s">
        <v>195</v>
      </c>
      <c r="C28" s="256"/>
      <c r="D28" s="518"/>
      <c r="E28" s="249"/>
      <c r="F28" s="249"/>
      <c r="G28" s="258"/>
      <c r="H28" s="258"/>
      <c r="I28" s="249"/>
      <c r="J28" s="249"/>
      <c r="K28" s="249">
        <f>_xlfn.IFERROR(K86,"")</f>
        <v>0</v>
      </c>
      <c r="L28" s="249">
        <f>_xlfn.IFERROR(L86,"")</f>
        <v>0</v>
      </c>
      <c r="M28" s="249">
        <f>E28+G28+I28+K28</f>
        <v>0</v>
      </c>
      <c r="N28" s="249">
        <f>F28+H28+J28+L28</f>
        <v>0</v>
      </c>
      <c r="O28" s="249" t="str">
        <f>_xlfn.IFERROR(N28/D28,"")</f>
        <v/>
      </c>
      <c r="P28" s="520"/>
      <c r="Q28" s="521"/>
      <c r="R28" s="392"/>
    </row>
    <row customHeight="1" ht="14.25">
      <c r="A29" s="297"/>
      <c r="B29" s="254" t="s">
        <v>151</v>
      </c>
      <c r="C29" s="254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392"/>
      <c r="Q29" s="392"/>
      <c r="R29" s="392"/>
    </row>
    <row customHeight="1" ht="14.25">
      <c r="A30" s="297"/>
      <c r="B30" s="252" t="s">
        <v>196</v>
      </c>
      <c r="C30" s="252"/>
      <c r="D30" s="249"/>
      <c r="E30" s="249">
        <f>_xlfn.IFERROR(E166,"")</f>
        <v>13179</v>
      </c>
      <c r="F30" s="249">
        <f>_xlfn.IFERROR(F166,"")</f>
        <v>57060</v>
      </c>
      <c r="G30" s="249">
        <f>_xlfn.IFERROR(SUM(G86:G88),"")</f>
        <v>1997</v>
      </c>
      <c r="H30" s="249">
        <f>_xlfn.IFERROR(SUM(H86:H88),"")</f>
        <v>17226</v>
      </c>
      <c r="I30" s="249">
        <f>_xlfn.IFERROR(SUM(I32+I34),"")</f>
        <v>3200</v>
      </c>
      <c r="J30" s="249">
        <f>_xlfn.IFERROR(SUM(J32+J34),"")</f>
        <v>19096</v>
      </c>
      <c r="K30" s="249">
        <f>_xlfn.IFERROR(SUM(K134:K140),"")</f>
        <v>8937</v>
      </c>
      <c r="L30" s="249">
        <f>_xlfn.IFERROR(SUM(L134:L140),"")</f>
        <v>60926</v>
      </c>
      <c r="M30" s="249">
        <f>E30+G30+I30</f>
        <v>18376</v>
      </c>
      <c r="N30" s="249">
        <f>F30+H30+J30</f>
        <v>93382</v>
      </c>
      <c r="O30" s="249" t="str">
        <f>_xlfn.IFERROR(N30/D30,"")</f>
        <v/>
      </c>
      <c r="P30" s="392"/>
      <c r="Q30" s="392"/>
      <c r="R30" s="392"/>
    </row>
    <row customHeight="1" ht="14.25">
      <c r="A31" s="297"/>
      <c r="B31" s="250" t="s">
        <v>197</v>
      </c>
      <c r="C31" s="250"/>
      <c r="D31" s="249"/>
      <c r="E31" s="249"/>
      <c r="F31" s="249"/>
      <c r="G31" s="249"/>
      <c r="H31" s="249"/>
      <c r="I31" s="249"/>
      <c r="J31" s="249"/>
      <c r="K31" s="249"/>
      <c r="L31" s="249"/>
      <c r="M31" s="249">
        <f>E31+G31+I31</f>
        <v>0</v>
      </c>
      <c r="N31" s="249">
        <f>F31+H31+J31</f>
        <v>0</v>
      </c>
      <c r="O31" s="249" t="str">
        <f>_xlfn.IFERROR(N31/D31,"")</f>
        <v/>
      </c>
      <c r="P31" s="392"/>
      <c r="Q31" s="392"/>
      <c r="R31" s="392"/>
    </row>
    <row customHeight="1" ht="14.25">
      <c r="A32" s="297"/>
      <c r="B32" s="250" t="s">
        <v>198</v>
      </c>
      <c r="C32" s="250"/>
      <c r="D32" s="249"/>
      <c r="E32" s="249">
        <f>_xlfn.IFERROR(E112,"")</f>
        <v>9857</v>
      </c>
      <c r="F32" s="249">
        <f>_xlfn.IFERROR(F112,"")</f>
        <v>32478</v>
      </c>
      <c r="G32" s="249">
        <f>_xlfn.IFERROR(G59,"")</f>
        <v>1997</v>
      </c>
      <c r="H32" s="249">
        <f>_xlfn.IFERROR(H59,"")</f>
        <v>17226</v>
      </c>
      <c r="I32" s="249">
        <f>_xlfn.IFERROR(I81,"")</f>
        <v>2784</v>
      </c>
      <c r="J32" s="249">
        <f>_xlfn.IFERROR(J81,"")</f>
        <v>16566</v>
      </c>
      <c r="K32" s="249"/>
      <c r="L32" s="249"/>
      <c r="M32" s="249">
        <f>E32+G32+I32</f>
        <v>14638</v>
      </c>
      <c r="N32" s="249">
        <f>F32+H32+J32</f>
        <v>66270</v>
      </c>
      <c r="O32" s="249" t="str">
        <f>_xlfn.IFERROR(N32/D32,"")</f>
        <v/>
      </c>
      <c r="P32" s="392"/>
      <c r="Q32" s="392"/>
      <c r="R32" s="392"/>
    </row>
    <row customHeight="1" ht="14.25">
      <c r="A33" s="297"/>
      <c r="B33" s="250" t="s">
        <v>199</v>
      </c>
      <c r="C33" s="250"/>
      <c r="D33" s="249"/>
      <c r="E33" s="249"/>
      <c r="F33" s="249"/>
      <c r="G33" s="249">
        <f>_xlfn.IFERROR(G65,"")</f>
        <v>0</v>
      </c>
      <c r="H33" s="249">
        <f>_xlfn.IFERROR(H65,"")</f>
        <v>0</v>
      </c>
      <c r="I33" s="249"/>
      <c r="J33" s="249"/>
      <c r="K33" s="249"/>
      <c r="L33" s="249"/>
      <c r="M33" s="249">
        <f>E33+G33+I33</f>
        <v>0</v>
      </c>
      <c r="N33" s="249">
        <f>F33+H33+J33</f>
        <v>0</v>
      </c>
      <c r="O33" s="249" t="str">
        <f>_xlfn.IFERROR(N33/D33,"")</f>
        <v/>
      </c>
      <c r="P33" s="392"/>
      <c r="Q33" s="392"/>
      <c r="R33" s="392"/>
    </row>
    <row customHeight="1" ht="14.25">
      <c r="A34" s="297"/>
      <c r="B34" s="250" t="s">
        <v>200</v>
      </c>
      <c r="C34" s="250"/>
      <c r="D34" s="249"/>
      <c r="E34" s="249">
        <f>_xlfn.IFERROR(E116,"")</f>
        <v>3322</v>
      </c>
      <c r="F34" s="249">
        <f>_xlfn.IFERROR(F116,"")</f>
        <v>24582</v>
      </c>
      <c r="G34" s="249"/>
      <c r="H34" s="249"/>
      <c r="I34" s="249">
        <f>_xlfn.IFERROR(I83,"")</f>
        <v>416</v>
      </c>
      <c r="J34" s="249">
        <f>_xlfn.IFERROR(J83,"")</f>
        <v>2530</v>
      </c>
      <c r="K34" s="249"/>
      <c r="L34" s="249"/>
      <c r="M34" s="249">
        <f>E34+G34+I34</f>
        <v>3738</v>
      </c>
      <c r="N34" s="249">
        <f>F34+H34+J34</f>
        <v>27112</v>
      </c>
      <c r="O34" s="249" t="str">
        <f>_xlfn.IFERROR(N34/D34,"")</f>
        <v/>
      </c>
      <c r="P34" s="392"/>
      <c r="Q34" s="392"/>
      <c r="R34" s="392"/>
    </row>
    <row customHeight="1" ht="14.25">
      <c r="A35" s="297"/>
      <c r="B35" s="252" t="s">
        <v>201</v>
      </c>
      <c r="C35" s="252"/>
      <c r="D35" s="249"/>
      <c r="E35" s="249">
        <f>_xlfn.IFERROR(E177,"")</f>
        <v>3452</v>
      </c>
      <c r="F35" s="249">
        <f>_xlfn.IFERROR(F177,"")</f>
        <v>43190</v>
      </c>
      <c r="G35" s="249">
        <f>_xlfn.IFERROR(SUM(G90:G93),"")</f>
        <v>2534</v>
      </c>
      <c r="H35" s="249">
        <f>_xlfn.IFERROR(SUM(H90:H93),"")</f>
        <v>17769</v>
      </c>
      <c r="I35" s="249">
        <f>_xlfn.IFERROR(SUM(I36:I38),"")</f>
        <v>8270</v>
      </c>
      <c r="J35" s="249">
        <f>_xlfn.IFERROR(SUM(J36:J38),"")</f>
        <v>22878</v>
      </c>
      <c r="K35" s="249">
        <f>_xlfn.IFERROR(SUM(K142:K143),"")</f>
        <v>6405</v>
      </c>
      <c r="L35" s="249">
        <f>_xlfn.IFERROR(SUM(L142:L143),"")</f>
        <v>45804</v>
      </c>
      <c r="M35" s="249">
        <f>E35+G35+I35</f>
        <v>14256</v>
      </c>
      <c r="N35" s="249">
        <f>F35+H35+J35</f>
        <v>83837</v>
      </c>
      <c r="O35" s="249" t="str">
        <f>_xlfn.IFERROR(N35/D35,"")</f>
        <v/>
      </c>
      <c r="P35" s="392"/>
      <c r="Q35" s="392"/>
      <c r="R35" s="392"/>
    </row>
    <row customHeight="1" ht="14.25">
      <c r="A36" s="297"/>
      <c r="B36" s="250" t="s">
        <v>202</v>
      </c>
      <c r="C36" s="250"/>
      <c r="D36" s="260"/>
      <c r="E36" s="249">
        <f>_xlfn.IFERROR(E192,"")</f>
        <v>3452</v>
      </c>
      <c r="F36" s="249">
        <f>_xlfn.IFERROR(F192,"")</f>
        <v>43190</v>
      </c>
      <c r="G36" s="249">
        <f>_xlfn.IFERROR(G60,"")</f>
        <v>1642</v>
      </c>
      <c r="H36" s="249">
        <f>_xlfn.IFERROR(H60,"")</f>
        <v>14410</v>
      </c>
      <c r="I36" s="249">
        <f>_xlfn.IFERROR(I86,"")</f>
        <v>5338</v>
      </c>
      <c r="J36" s="249">
        <f>_xlfn.IFERROR(J86,"")</f>
        <v>17922</v>
      </c>
      <c r="K36" s="249"/>
      <c r="L36" s="249"/>
      <c r="M36" s="249">
        <f>E36+G36+I36</f>
        <v>10432</v>
      </c>
      <c r="N36" s="249">
        <f>F36+H36+J36</f>
        <v>75522</v>
      </c>
      <c r="O36" s="249" t="str">
        <f>_xlfn.IFERROR(N36/#REF!,"")</f>
        <v/>
      </c>
      <c r="P36" s="392"/>
      <c r="Q36" s="392"/>
      <c r="R36" s="392"/>
    </row>
    <row customHeight="1" ht="14.25">
      <c r="A37" s="297"/>
      <c r="B37" s="252" t="s">
        <v>203</v>
      </c>
      <c r="C37" s="256"/>
      <c r="D37" s="260"/>
      <c r="E37" s="249">
        <f>_xlfn.IFERROR(E196,"")</f>
        <v>0</v>
      </c>
      <c r="F37" s="249">
        <f>_xlfn.IFERROR(F196,"")</f>
        <v>0</v>
      </c>
      <c r="G37" s="249">
        <f>_xlfn.IFERROR(G75,"")</f>
        <v>0</v>
      </c>
      <c r="H37" s="249">
        <f>_xlfn.IFERROR(H75,"")</f>
        <v>0</v>
      </c>
      <c r="I37" s="249">
        <f>_xlfn.IFERROR(I88,"")</f>
        <v>2932</v>
      </c>
      <c r="J37" s="249">
        <f>_xlfn.IFERROR(J88,"")</f>
        <v>3792</v>
      </c>
      <c r="K37" s="249"/>
      <c r="L37" s="249"/>
      <c r="M37" s="249">
        <f>E37+G37+I37</f>
        <v>2932</v>
      </c>
      <c r="N37" s="249">
        <f>F37+H37+J37</f>
        <v>3792</v>
      </c>
      <c r="O37" s="249" t="str">
        <f>_xlfn.IFERROR(N37/#REF!,"")</f>
        <v/>
      </c>
      <c r="P37" s="392"/>
      <c r="Q37" s="392"/>
      <c r="R37" s="392"/>
    </row>
    <row customHeight="1" ht="14.25">
      <c r="A38" s="297"/>
      <c r="B38" s="252" t="s">
        <v>204</v>
      </c>
      <c r="C38" s="256"/>
      <c r="D38" s="260"/>
      <c r="E38" s="249"/>
      <c r="F38" s="249"/>
      <c r="G38" s="249">
        <f>_xlfn.IFERROR(G61,"")</f>
        <v>892</v>
      </c>
      <c r="H38" s="249">
        <f>_xlfn.IFERROR(H61,"")</f>
        <v>3359</v>
      </c>
      <c r="I38" s="249">
        <f>_xlfn.IFERROR(I90,"")</f>
        <v>0</v>
      </c>
      <c r="J38" s="249">
        <f>_xlfn.IFERROR(J90,"")</f>
        <v>1164</v>
      </c>
      <c r="K38" s="249"/>
      <c r="L38" s="249"/>
      <c r="M38" s="249">
        <f>E38+G38+I38</f>
        <v>892</v>
      </c>
      <c r="N38" s="249">
        <f>F38+H38+J38</f>
        <v>4523</v>
      </c>
      <c r="O38" s="249" t="str">
        <f>_xlfn.IFERROR(N38/#REF!,"")</f>
        <v/>
      </c>
      <c r="P38" s="392"/>
      <c r="Q38" s="392"/>
      <c r="R38" s="392"/>
    </row>
    <row customHeight="1" ht="15.75">
      <c r="A39" s="297"/>
      <c r="B39" s="252" t="s">
        <v>205</v>
      </c>
      <c r="C39" s="252"/>
      <c r="D39" s="525"/>
      <c r="E39" s="249">
        <f>_xlfn.IFERROR(E134,"")</f>
        <v>603.42</v>
      </c>
      <c r="F39" s="249">
        <f>_xlfn.IFERROR(F134,"")</f>
        <v>3562.92</v>
      </c>
      <c r="G39" s="249">
        <f>_xlfn.IFERROR(G80,"")</f>
        <v>0</v>
      </c>
      <c r="H39" s="249">
        <f>_xlfn.IFERROR(H80,"")</f>
        <v>0</v>
      </c>
      <c r="I39" s="249"/>
      <c r="J39" s="249"/>
      <c r="K39" s="249"/>
      <c r="L39" s="249"/>
      <c r="M39" s="249">
        <f>E39+G39+I39</f>
        <v>603.42</v>
      </c>
      <c r="N39" s="249">
        <f>F39+H39+J39</f>
        <v>3562.92</v>
      </c>
      <c r="O39" s="249" t="str">
        <f>_xlfn.IFERROR(N39/#REF!,"")</f>
        <v/>
      </c>
      <c r="P39" s="392"/>
      <c r="Q39" s="392"/>
      <c r="R39" s="392"/>
    </row>
    <row customHeight="1" ht="14.25">
      <c r="A40" s="297"/>
      <c r="B40" s="252" t="s">
        <v>206</v>
      </c>
      <c r="C40" s="252"/>
      <c r="D40" s="260"/>
      <c r="E40" s="249">
        <f>_xlfn.IFERROR(E146,"")</f>
        <v>95.22</v>
      </c>
      <c r="F40" s="249">
        <f>_xlfn.IFERROR(F146,"")</f>
        <v>765.34</v>
      </c>
      <c r="G40" s="249"/>
      <c r="H40" s="249"/>
      <c r="I40" s="249"/>
      <c r="J40" s="249"/>
      <c r="K40" s="249"/>
      <c r="L40" s="249"/>
      <c r="M40" s="249">
        <f>E40+G40+I40+K40</f>
        <v>95.22</v>
      </c>
      <c r="N40" s="249">
        <f>F40+H40+J40+L40</f>
        <v>765.34</v>
      </c>
      <c r="O40" s="249" t="str">
        <f>_xlfn.IFERROR(N40/#REF!,"")</f>
        <v/>
      </c>
      <c r="P40" s="392"/>
      <c r="Q40" s="392"/>
      <c r="R40" s="392"/>
    </row>
    <row customHeight="1" ht="14.25">
      <c r="A41" s="297"/>
      <c r="B41" s="252" t="s">
        <v>207</v>
      </c>
      <c r="C41" s="252"/>
      <c r="D41" s="525"/>
      <c r="E41" s="249">
        <f>_xlfn.IFERROR(E136,"")</f>
        <v>75.06</v>
      </c>
      <c r="F41" s="249">
        <f>_xlfn.IFERROR(F136,"")</f>
        <v>932.22</v>
      </c>
      <c r="G41" s="249"/>
      <c r="H41" s="249"/>
      <c r="I41" s="249"/>
      <c r="J41" s="249"/>
      <c r="K41" s="249">
        <f>_xlfn.IFERROR(K100,"")</f>
        <v>104</v>
      </c>
      <c r="L41" s="249">
        <f>_xlfn.IFERROR(L100,"")</f>
        <v>318</v>
      </c>
      <c r="M41" s="249">
        <f>E41+G41+I41</f>
        <v>75.06</v>
      </c>
      <c r="N41" s="249">
        <f>F41+H41+J41</f>
        <v>932.22</v>
      </c>
      <c r="O41" s="249" t="str">
        <f>_xlfn.IFERROR(N41/#REF!,"")</f>
        <v/>
      </c>
      <c r="P41" s="392"/>
      <c r="Q41" s="392"/>
      <c r="R41" s="392"/>
    </row>
    <row customHeight="1" ht="14.25">
      <c r="A42" s="297"/>
      <c r="B42" s="252" t="s">
        <v>208</v>
      </c>
      <c r="C42" s="252"/>
      <c r="D42" s="249"/>
      <c r="E42" s="249">
        <f>_xlfn.IFERROR(E120,"")</f>
        <v>528</v>
      </c>
      <c r="F42" s="249">
        <f>_xlfn.IFERROR(F120,"")</f>
        <v>2432</v>
      </c>
      <c r="G42" s="249"/>
      <c r="H42" s="249"/>
      <c r="I42" s="249"/>
      <c r="J42" s="249"/>
      <c r="K42" s="249">
        <f>_xlfn.IFERROR(K109,"")</f>
        <v>800.56</v>
      </c>
      <c r="L42" s="249">
        <f>_xlfn.IFERROR(L109,"")</f>
        <v>4784.06</v>
      </c>
      <c r="M42" s="249">
        <f>E42+G42+I42+K42</f>
        <v>1328.56</v>
      </c>
      <c r="N42" s="249">
        <f>F42+H42+J42+L42</f>
        <v>7216.06</v>
      </c>
      <c r="O42" s="249" t="str">
        <f>_xlfn.IFERROR(N42/D42,"")</f>
        <v/>
      </c>
      <c r="P42" s="392"/>
      <c r="Q42" s="392"/>
      <c r="R42" s="392"/>
    </row>
    <row customHeight="1" ht="14.25">
      <c r="A43" s="297"/>
      <c r="B43" s="252" t="s">
        <v>209</v>
      </c>
      <c r="C43" s="252"/>
      <c r="D43" s="249"/>
      <c r="E43" s="249">
        <f>_xlfn.IFERROR(E140,"")</f>
        <v>0</v>
      </c>
      <c r="F43" s="249">
        <f>_xlfn.IFERROR(F140,"")</f>
        <v>0</v>
      </c>
      <c r="G43" s="249"/>
      <c r="H43" s="249"/>
      <c r="I43" s="249">
        <f>_xlfn.IFERROR(I92,"")</f>
        <v>419</v>
      </c>
      <c r="J43" s="249">
        <f>_xlfn.IFERROR(J92,"")</f>
        <v>1252</v>
      </c>
      <c r="K43" s="249">
        <f>_xlfn.IFERROR(K118,"")</f>
        <v>151</v>
      </c>
      <c r="L43" s="249">
        <f>_xlfn.IFERROR(L118,"")</f>
        <v>1271</v>
      </c>
      <c r="M43" s="249">
        <f>E43+G43+I43+K43</f>
        <v>570</v>
      </c>
      <c r="N43" s="249">
        <f>F43+H43+J43+L43</f>
        <v>2523</v>
      </c>
      <c r="O43" s="249" t="str">
        <f>_xlfn.IFERROR(N43/D43,"")</f>
        <v/>
      </c>
      <c r="P43" s="392"/>
      <c r="Q43" s="392"/>
      <c r="R43" s="392"/>
    </row>
    <row customHeight="1" ht="14.25">
      <c r="A44" s="297"/>
      <c r="B44" s="252" t="s">
        <v>210</v>
      </c>
      <c r="C44" s="252"/>
      <c r="D44" s="249"/>
      <c r="E44" s="249">
        <f>_xlfn.IFERROR(E142,"")</f>
        <v>163.82</v>
      </c>
      <c r="F44" s="249">
        <f>_xlfn.IFERROR(F142,"")</f>
        <v>1571.54</v>
      </c>
      <c r="G44" s="249"/>
      <c r="H44" s="249"/>
      <c r="I44" s="249"/>
      <c r="J44" s="249"/>
      <c r="K44" s="249"/>
      <c r="L44" s="249"/>
      <c r="M44" s="249">
        <f>E44+G44+I44+K44</f>
        <v>163.82</v>
      </c>
      <c r="N44" s="249">
        <f>F44+H44+J44+L44</f>
        <v>1571.54</v>
      </c>
      <c r="O44" s="249" t="str">
        <f>_xlfn.IFERROR(N44/D44,"")</f>
        <v/>
      </c>
      <c r="P44" s="392"/>
      <c r="Q44" s="392"/>
      <c r="R44" s="392"/>
    </row>
    <row customHeight="1" ht="14.25">
      <c r="A45" s="297"/>
      <c r="B45" s="252" t="s">
        <v>211</v>
      </c>
      <c r="C45" s="252"/>
      <c r="D45" s="249"/>
      <c r="E45" s="249">
        <f>_xlfn.IFERROR(E144,"")</f>
        <v>196.02</v>
      </c>
      <c r="F45" s="249">
        <f>_xlfn.IFERROR(F144,"")</f>
        <v>1263.62</v>
      </c>
      <c r="G45" s="249"/>
      <c r="H45" s="249"/>
      <c r="I45" s="249"/>
      <c r="J45" s="249"/>
      <c r="K45" s="249"/>
      <c r="L45" s="249"/>
      <c r="M45" s="249">
        <f>E45+G45+I45+K45</f>
        <v>196.02</v>
      </c>
      <c r="N45" s="249">
        <f>F45+H45+J45+L45</f>
        <v>1263.62</v>
      </c>
      <c r="O45" s="249" t="str">
        <f>_xlfn.IFERROR(N45/D45,"")</f>
        <v/>
      </c>
      <c r="P45" s="392"/>
      <c r="Q45" s="392"/>
      <c r="R45" s="392"/>
    </row>
    <row customHeight="1" ht="14.25">
      <c r="A46" s="297"/>
      <c r="B46" s="252" t="s">
        <v>212</v>
      </c>
      <c r="C46" s="252"/>
      <c r="D46" s="249"/>
      <c r="E46" s="249">
        <f>_xlfn.IFERROR(E71,"")</f>
        <v>2963</v>
      </c>
      <c r="F46" s="249">
        <f>_xlfn.IFERROR(F71,"")</f>
        <v>19355</v>
      </c>
      <c r="G46" s="249">
        <f>_xlfn.IFERROR(SUM(G96:G97),"")</f>
        <v>1421</v>
      </c>
      <c r="H46" s="249">
        <f>_xlfn.IFERROR(SUM(H96:H97),"")</f>
        <v>7765</v>
      </c>
      <c r="I46" s="249">
        <f>_xlfn.IFERROR(I55,"")</f>
        <v>0</v>
      </c>
      <c r="J46" s="249">
        <f>_xlfn.IFERROR(J55,"")</f>
        <v>0</v>
      </c>
      <c r="K46" s="249"/>
      <c r="L46" s="249"/>
      <c r="M46" s="249">
        <f>E46+G46+I46+K46</f>
        <v>4384</v>
      </c>
      <c r="N46" s="249">
        <f>F46+H46+J46+L46</f>
        <v>27120</v>
      </c>
      <c r="O46" s="249" t="str">
        <f>_xlfn.IFERROR(N46/D46,"")</f>
        <v/>
      </c>
      <c r="P46" s="392"/>
      <c r="Q46" s="392"/>
      <c r="R46" s="392"/>
    </row>
    <row customHeight="1" ht="14.25">
      <c r="A47" s="297"/>
      <c r="B47" s="252" t="s">
        <v>213</v>
      </c>
      <c r="C47" s="252"/>
      <c r="D47" s="249">
        <v>7800</v>
      </c>
      <c r="E47" s="249">
        <f>_xlfn.IFERROR(E69,"")</f>
        <v>62.82</v>
      </c>
      <c r="F47" s="249">
        <f>_xlfn.IFERROR(F69,"")</f>
        <v>527.4</v>
      </c>
      <c r="G47" s="249">
        <f>_xlfn.IFERROR(G51,"")</f>
        <v>0</v>
      </c>
      <c r="H47" s="249">
        <f>_xlfn.IFERROR(H51,"")</f>
        <v>0</v>
      </c>
      <c r="I47" s="249">
        <f>_xlfn.IFERROR(I94,"")</f>
        <v>287</v>
      </c>
      <c r="J47" s="249">
        <f>_xlfn.IFERROR(J94,"")</f>
        <v>1427</v>
      </c>
      <c r="K47" s="249"/>
      <c r="L47" s="249"/>
      <c r="M47" s="249">
        <f>E47+G47+I47+K47</f>
        <v>349.82</v>
      </c>
      <c r="N47" s="249">
        <f>F47+H47+J47+L47</f>
        <v>1954.4</v>
      </c>
      <c r="O47" s="265">
        <f>_xlfn.IFERROR(N47/D47,"")</f>
        <v>0.250564102564103</v>
      </c>
      <c r="P47" s="392"/>
      <c r="Q47" s="392"/>
      <c r="R47" s="392"/>
    </row>
    <row customHeight="1" ht="14.25">
      <c r="A48" s="297"/>
      <c r="B48" s="252" t="s">
        <v>214</v>
      </c>
      <c r="C48" s="252"/>
      <c r="D48" s="249"/>
      <c r="E48" s="249">
        <f>_xlfn.IFERROR(E148,"")</f>
        <v>0</v>
      </c>
      <c r="F48" s="249">
        <f>_xlfn.IFERROR(F148,"")</f>
        <v>0</v>
      </c>
      <c r="G48" s="249">
        <f>_xlfn.IFERROR(G63,"")</f>
        <v>0</v>
      </c>
      <c r="H48" s="249">
        <f>_xlfn.IFERROR(H63,"")</f>
        <v>0</v>
      </c>
      <c r="I48" s="249">
        <f>_xlfn.IFERROR(I57,"")</f>
        <v>65.54</v>
      </c>
      <c r="J48" s="249">
        <f>_xlfn.IFERROR(J57,"")</f>
        <v>163.18</v>
      </c>
      <c r="K48" s="249">
        <f>_xlfn.IFERROR(K120,"")</f>
        <v>0</v>
      </c>
      <c r="L48" s="249">
        <f>_xlfn.IFERROR(L120,"")</f>
        <v>0</v>
      </c>
      <c r="M48" s="249">
        <f>E48+G48+I48+K48</f>
        <v>65.54</v>
      </c>
      <c r="N48" s="266">
        <f>F48+H48+J48+L48</f>
        <v>163.18</v>
      </c>
      <c r="O48" s="267" t="str">
        <f>_xlfn.IFERROR(N48/D48,"")</f>
        <v/>
      </c>
      <c r="P48" s="392"/>
      <c r="Q48" s="392"/>
      <c r="R48" s="392"/>
    </row>
    <row customHeight="1" ht="15.75">
      <c r="A49" s="297"/>
      <c r="B49" s="222" t="s">
        <v>59</v>
      </c>
      <c r="C49" s="222"/>
      <c r="D49" s="408"/>
      <c r="E49" s="67"/>
      <c r="F49" s="67"/>
      <c r="G49" s="222"/>
      <c r="H49" s="222" t="s">
        <v>110</v>
      </c>
      <c r="I49" s="67"/>
      <c r="J49" s="67"/>
      <c r="K49" s="222"/>
      <c r="L49" s="222"/>
      <c r="M49" s="408"/>
      <c r="N49" s="222"/>
      <c r="O49" s="268"/>
      <c r="P49" s="392"/>
      <c r="Q49" s="392"/>
      <c r="R49" s="392"/>
    </row>
    <row customHeight="1" ht="14.25">
      <c r="A50" s="297"/>
      <c r="B50" s="67"/>
      <c r="C50" s="67"/>
      <c r="D50" s="159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146"/>
      <c r="Q50" s="146"/>
      <c r="R50" s="146"/>
    </row>
    <row customHeight="1" ht="14.25">
      <c r="A51" s="297"/>
      <c r="B51" s="67"/>
      <c r="C51" s="67"/>
      <c r="D51" s="67"/>
      <c r="E51" s="159">
        <v>2447</v>
      </c>
      <c r="F51" s="159">
        <v>15104</v>
      </c>
      <c r="G51" s="249">
        <v>0</v>
      </c>
      <c r="H51" s="531">
        <v>0</v>
      </c>
      <c r="I51" s="159"/>
      <c r="J51" s="159"/>
      <c r="K51" s="67"/>
      <c r="L51" s="67"/>
      <c r="M51" s="67"/>
      <c r="N51" s="67"/>
      <c r="O51" s="67"/>
      <c r="P51" s="146"/>
      <c r="Q51" s="146"/>
      <c r="R51" s="146"/>
    </row>
    <row customHeight="1" ht="14.25">
      <c r="A52" s="297"/>
      <c r="B52" s="67"/>
      <c r="C52" s="67"/>
      <c r="D52" s="159"/>
      <c r="E52" s="159"/>
      <c r="F52" s="159"/>
      <c r="G52" s="159"/>
      <c r="H52" s="67"/>
      <c r="I52" s="159"/>
      <c r="J52" s="159"/>
      <c r="K52" s="159">
        <v>2447</v>
      </c>
      <c r="L52" s="159">
        <v>15104</v>
      </c>
      <c r="M52" s="159"/>
      <c r="N52" s="67"/>
      <c r="O52" s="67"/>
      <c r="P52" s="146"/>
      <c r="Q52" s="146"/>
      <c r="R52" s="146"/>
    </row>
    <row customHeight="1" ht="14.25">
      <c r="A53" s="297"/>
      <c r="B53" s="67"/>
      <c r="C53" s="67"/>
      <c r="D53" s="159"/>
      <c r="E53" s="67"/>
      <c r="F53" s="67"/>
      <c r="G53" s="67"/>
      <c r="H53" s="67"/>
      <c r="I53" s="159"/>
      <c r="J53" s="159"/>
      <c r="K53" s="159">
        <v>0</v>
      </c>
      <c r="L53" s="159">
        <v>0</v>
      </c>
      <c r="M53" s="159"/>
      <c r="N53" s="67"/>
      <c r="O53" s="67"/>
      <c r="P53" s="146"/>
      <c r="Q53" s="146"/>
      <c r="R53" s="146"/>
    </row>
    <row customHeight="1" ht="14.25">
      <c r="A54" s="297"/>
      <c r="B54" s="67"/>
      <c r="C54" s="67"/>
      <c r="D54" s="159"/>
      <c r="E54" s="159"/>
      <c r="F54" s="159"/>
      <c r="G54" s="67"/>
      <c r="H54" s="67"/>
      <c r="I54" s="67"/>
      <c r="J54" s="67"/>
      <c r="K54" s="159"/>
      <c r="L54" s="159"/>
      <c r="M54" s="159"/>
      <c r="N54" s="67"/>
      <c r="O54" s="67"/>
      <c r="P54" s="146"/>
      <c r="Q54" s="146"/>
      <c r="R54" s="146"/>
    </row>
    <row customHeight="1" ht="14.25">
      <c r="A55" s="297"/>
      <c r="B55" s="67"/>
      <c r="C55" s="67"/>
      <c r="D55" s="159"/>
      <c r="E55" s="159"/>
      <c r="F55" s="159"/>
      <c r="G55" s="67"/>
      <c r="H55" s="67"/>
      <c r="I55" s="159"/>
      <c r="J55" s="159"/>
      <c r="K55" s="159">
        <v>0</v>
      </c>
      <c r="L55" s="159">
        <v>323.98</v>
      </c>
      <c r="M55" s="159"/>
      <c r="N55" s="67"/>
      <c r="O55" s="67"/>
      <c r="P55" s="146"/>
      <c r="Q55" s="146"/>
      <c r="R55" s="146"/>
    </row>
    <row customHeight="1" ht="14.25">
      <c r="A56" s="297"/>
      <c r="B56" s="67"/>
      <c r="C56" s="67"/>
      <c r="D56" s="159"/>
      <c r="E56" s="159"/>
      <c r="F56" s="159"/>
      <c r="G56" s="159"/>
      <c r="H56" s="252"/>
      <c r="I56" s="67"/>
      <c r="J56" s="67"/>
      <c r="K56" s="67"/>
      <c r="L56" s="67"/>
      <c r="M56" s="159"/>
      <c r="N56" s="67"/>
      <c r="O56" s="67"/>
      <c r="P56" s="146"/>
      <c r="Q56" s="146"/>
      <c r="R56" s="146"/>
    </row>
    <row customHeight="1" ht="14.25">
      <c r="A57" s="297"/>
      <c r="B57" s="67"/>
      <c r="C57" s="67"/>
      <c r="D57" s="159"/>
      <c r="E57" s="159">
        <v>95.22</v>
      </c>
      <c r="F57" s="159">
        <v>571.28</v>
      </c>
      <c r="G57" s="159">
        <v>622</v>
      </c>
      <c r="H57" s="252">
        <v>4282</v>
      </c>
      <c r="I57" s="159">
        <v>65.54</v>
      </c>
      <c r="J57" s="159">
        <v>163.18</v>
      </c>
      <c r="K57" s="159">
        <v>2435</v>
      </c>
      <c r="L57" s="159">
        <v>17000</v>
      </c>
      <c r="M57" s="159"/>
      <c r="N57" s="67"/>
      <c r="O57" s="67"/>
      <c r="P57" s="146"/>
      <c r="Q57" s="146"/>
      <c r="R57" s="146"/>
    </row>
    <row customHeight="1" ht="14.25">
      <c r="A58" s="297"/>
      <c r="B58" s="67"/>
      <c r="C58" s="67"/>
      <c r="D58" s="159"/>
      <c r="E58" s="67"/>
      <c r="F58" s="67"/>
      <c r="G58" s="159">
        <v>8</v>
      </c>
      <c r="H58" s="252">
        <v>54</v>
      </c>
      <c r="I58" s="67"/>
      <c r="J58" s="67"/>
      <c r="K58" s="159">
        <v>785</v>
      </c>
      <c r="L58" s="159">
        <v>5467</v>
      </c>
      <c r="M58" s="159"/>
      <c r="N58" s="67"/>
      <c r="O58" s="67"/>
      <c r="P58" s="146"/>
      <c r="Q58" s="146"/>
      <c r="R58" s="146"/>
    </row>
    <row customHeight="1" ht="14.25">
      <c r="A59" s="297"/>
      <c r="B59" s="67"/>
      <c r="C59" s="67"/>
      <c r="D59" s="67"/>
      <c r="E59" s="159">
        <v>1056.16</v>
      </c>
      <c r="F59" s="159">
        <v>6778.44</v>
      </c>
      <c r="G59" s="159">
        <v>1997</v>
      </c>
      <c r="H59" s="159">
        <v>17226</v>
      </c>
      <c r="I59" s="67"/>
      <c r="J59" s="67"/>
      <c r="K59" s="159">
        <v>373</v>
      </c>
      <c r="L59" s="159">
        <v>2647</v>
      </c>
      <c r="M59" s="159"/>
      <c r="N59" s="67"/>
      <c r="O59" s="67"/>
      <c r="P59" s="146"/>
      <c r="Q59" s="146"/>
      <c r="R59" s="146"/>
    </row>
    <row customHeight="1" ht="14.25">
      <c r="A60" s="297"/>
      <c r="B60" s="67"/>
      <c r="C60" s="67"/>
      <c r="D60" s="67"/>
      <c r="E60" s="159"/>
      <c r="F60" s="159"/>
      <c r="G60" s="159">
        <v>1642</v>
      </c>
      <c r="H60" s="159">
        <v>14410</v>
      </c>
      <c r="I60" s="159">
        <v>3000</v>
      </c>
      <c r="J60" s="159">
        <v>8500</v>
      </c>
      <c r="K60" s="159">
        <v>17</v>
      </c>
      <c r="L60" s="159">
        <v>112</v>
      </c>
      <c r="M60" s="159"/>
      <c r="N60" s="67"/>
      <c r="O60" s="67"/>
      <c r="P60" s="146"/>
      <c r="Q60" s="146"/>
      <c r="R60" s="146"/>
    </row>
    <row customHeight="1" ht="14.25">
      <c r="A61" s="297"/>
      <c r="B61" s="67"/>
      <c r="C61" s="67"/>
      <c r="D61" s="67"/>
      <c r="E61" s="159"/>
      <c r="F61" s="159"/>
      <c r="G61" s="159">
        <v>892</v>
      </c>
      <c r="H61" s="159">
        <v>3359</v>
      </c>
      <c r="I61" s="159">
        <v>0</v>
      </c>
      <c r="J61" s="159">
        <v>5492</v>
      </c>
      <c r="K61" s="159">
        <v>835</v>
      </c>
      <c r="L61" s="159">
        <v>6006</v>
      </c>
      <c r="M61" s="67"/>
      <c r="N61" s="67"/>
      <c r="O61" s="67"/>
      <c r="P61" s="146"/>
      <c r="Q61" s="146"/>
      <c r="R61" s="146"/>
    </row>
    <row customHeight="1" ht="14.25">
      <c r="A62" s="297"/>
      <c r="B62" s="67"/>
      <c r="C62" s="67"/>
      <c r="D62" s="67"/>
      <c r="E62" s="159"/>
      <c r="F62" s="159"/>
      <c r="G62" s="159"/>
      <c r="H62" s="159"/>
      <c r="I62" s="67"/>
      <c r="J62" s="67"/>
      <c r="K62" s="159">
        <v>4106</v>
      </c>
      <c r="L62" s="159">
        <v>28849</v>
      </c>
      <c r="M62" s="159"/>
      <c r="N62" s="67"/>
      <c r="O62" s="67"/>
      <c r="P62" s="146"/>
      <c r="Q62" s="146"/>
      <c r="R62" s="146"/>
    </row>
    <row customHeight="1" ht="14.25">
      <c r="A63" s="297"/>
      <c r="B63" s="67"/>
      <c r="C63" s="67"/>
      <c r="D63" s="159"/>
      <c r="E63" s="159"/>
      <c r="F63" s="159"/>
      <c r="G63" s="159">
        <v>0</v>
      </c>
      <c r="H63" s="252">
        <v>0</v>
      </c>
      <c r="I63" s="159">
        <v>0</v>
      </c>
      <c r="J63" s="159">
        <v>10000</v>
      </c>
      <c r="K63" s="159">
        <v>604</v>
      </c>
      <c r="L63" s="159">
        <v>4379</v>
      </c>
      <c r="M63" s="159"/>
      <c r="N63" s="67"/>
      <c r="O63" s="67"/>
      <c r="P63" s="146"/>
      <c r="Q63" s="146"/>
      <c r="R63" s="146"/>
    </row>
    <row customHeight="1" ht="14.25">
      <c r="A64" s="297"/>
      <c r="B64" s="67"/>
      <c r="C64" s="67"/>
      <c r="D64" s="159"/>
      <c r="E64" s="159"/>
      <c r="F64" s="159"/>
      <c r="G64" s="159"/>
      <c r="H64" s="159"/>
      <c r="I64" s="159">
        <v>3500</v>
      </c>
      <c r="J64" s="159">
        <v>3500</v>
      </c>
      <c r="K64" s="159"/>
      <c r="L64" s="159"/>
      <c r="M64" s="67"/>
      <c r="N64" s="67"/>
      <c r="O64" s="67"/>
      <c r="P64" s="146"/>
      <c r="Q64" s="146"/>
      <c r="R64" s="146"/>
    </row>
    <row customHeight="1" ht="14.25">
      <c r="A65" s="297"/>
      <c r="B65" s="67"/>
      <c r="C65" s="67"/>
      <c r="D65" s="159"/>
      <c r="E65" s="159"/>
      <c r="F65" s="159"/>
      <c r="G65" s="159">
        <v>0</v>
      </c>
      <c r="H65" s="67">
        <v>0</v>
      </c>
      <c r="I65" s="159"/>
      <c r="J65" s="159"/>
      <c r="K65" s="159">
        <v>1785</v>
      </c>
      <c r="L65" s="159">
        <v>13439</v>
      </c>
      <c r="M65" s="159"/>
      <c r="N65" s="67"/>
      <c r="O65" s="67"/>
      <c r="P65" s="146"/>
      <c r="Q65" s="146"/>
      <c r="R65" s="146"/>
    </row>
    <row customHeight="1" ht="14.25">
      <c r="A66" s="297"/>
      <c r="B66" s="67"/>
      <c r="C66" s="67"/>
      <c r="D66" s="159"/>
      <c r="E66" s="159"/>
      <c r="F66" s="159"/>
      <c r="G66" s="159"/>
      <c r="H66" s="67"/>
      <c r="I66" s="159"/>
      <c r="J66" s="159"/>
      <c r="K66" s="159">
        <v>4620</v>
      </c>
      <c r="L66" s="159">
        <v>32365</v>
      </c>
      <c r="M66" s="159"/>
      <c r="N66" s="67"/>
      <c r="O66" s="67"/>
      <c r="P66" s="146"/>
      <c r="Q66" s="146"/>
      <c r="R66" s="146"/>
    </row>
    <row customHeight="1" ht="14.25">
      <c r="A67" s="297"/>
      <c r="B67" s="67"/>
      <c r="C67" s="67"/>
      <c r="D67" s="159"/>
      <c r="E67" s="159">
        <v>296</v>
      </c>
      <c r="F67" s="159">
        <v>1527</v>
      </c>
      <c r="G67" s="67"/>
      <c r="H67" s="67"/>
      <c r="I67" s="67"/>
      <c r="J67" s="67"/>
      <c r="K67" s="67"/>
      <c r="L67" s="67"/>
      <c r="M67" s="159"/>
      <c r="N67" s="67"/>
      <c r="O67" s="67"/>
      <c r="P67" s="146"/>
      <c r="Q67" s="146"/>
      <c r="R67" s="146"/>
    </row>
    <row customHeight="1" ht="14.25">
      <c r="A68" s="297"/>
      <c r="B68" s="67"/>
      <c r="C68" s="67"/>
      <c r="D68" s="159"/>
      <c r="E68" s="67"/>
      <c r="F68" s="67"/>
      <c r="G68" s="67"/>
      <c r="H68" s="67"/>
      <c r="I68" s="159">
        <v>718</v>
      </c>
      <c r="J68" s="159">
        <v>4572</v>
      </c>
      <c r="K68" s="159"/>
      <c r="L68" s="159"/>
      <c r="M68" s="159"/>
      <c r="N68" s="67"/>
      <c r="O68" s="67"/>
      <c r="P68" s="146"/>
      <c r="Q68" s="146"/>
      <c r="R68" s="146"/>
    </row>
    <row customHeight="1" ht="14.25">
      <c r="A69" s="297"/>
      <c r="B69" s="67"/>
      <c r="C69" s="67"/>
      <c r="D69" s="159"/>
      <c r="E69" s="159">
        <v>62.82</v>
      </c>
      <c r="F69" s="159">
        <v>527.4</v>
      </c>
      <c r="G69" s="67"/>
      <c r="H69" s="67"/>
      <c r="I69" s="67"/>
      <c r="J69" s="67"/>
      <c r="K69" s="159"/>
      <c r="L69" s="159"/>
      <c r="M69" s="159"/>
      <c r="N69" s="67"/>
      <c r="O69" s="67"/>
      <c r="P69" s="146"/>
      <c r="Q69" s="146"/>
      <c r="R69" s="146"/>
    </row>
    <row customHeight="1" ht="14.25">
      <c r="A70" s="297"/>
      <c r="B70" s="67"/>
      <c r="C70" s="67"/>
      <c r="D70" s="159"/>
      <c r="E70" s="67"/>
      <c r="F70" s="67"/>
      <c r="G70" s="53"/>
      <c r="H70" s="67"/>
      <c r="I70" s="159">
        <v>163</v>
      </c>
      <c r="J70" s="159">
        <v>1002</v>
      </c>
      <c r="K70" s="67"/>
      <c r="L70" s="67"/>
      <c r="M70" s="159"/>
      <c r="N70" s="67"/>
      <c r="O70" s="67"/>
      <c r="P70" s="146"/>
      <c r="Q70" s="146"/>
      <c r="R70" s="146"/>
    </row>
    <row customHeight="1" ht="14.25">
      <c r="A71" s="297"/>
      <c r="B71" s="67"/>
      <c r="C71" s="67"/>
      <c r="D71" s="159"/>
      <c r="E71" s="159">
        <v>2963</v>
      </c>
      <c r="F71" s="159">
        <v>19355</v>
      </c>
      <c r="G71" s="159">
        <v>0</v>
      </c>
      <c r="H71" s="159">
        <v>0</v>
      </c>
      <c r="I71" s="67"/>
      <c r="J71" s="67"/>
      <c r="K71" s="159"/>
      <c r="L71" s="159"/>
      <c r="M71" s="67"/>
      <c r="N71" s="67"/>
      <c r="O71" s="67"/>
      <c r="P71" s="146"/>
      <c r="Q71" s="146"/>
      <c r="R71" s="146"/>
    </row>
    <row customHeight="1" ht="14.25">
      <c r="A72" s="297"/>
      <c r="B72" s="67"/>
      <c r="C72" s="67"/>
      <c r="D72" s="159"/>
      <c r="E72" s="67"/>
      <c r="F72" s="67"/>
      <c r="G72" s="67">
        <v>0</v>
      </c>
      <c r="H72" s="67">
        <v>0</v>
      </c>
      <c r="I72" s="159">
        <v>0</v>
      </c>
      <c r="J72" s="159">
        <v>0</v>
      </c>
      <c r="K72" s="159"/>
      <c r="L72" s="159"/>
      <c r="M72" s="159"/>
      <c r="N72" s="67"/>
      <c r="O72" s="67"/>
      <c r="P72" s="146"/>
      <c r="Q72" s="146"/>
      <c r="R72" s="146"/>
    </row>
    <row customHeight="1" ht="14.25">
      <c r="A73" s="297"/>
      <c r="B73" s="67"/>
      <c r="C73" s="67"/>
      <c r="D73" s="159"/>
      <c r="E73" s="159"/>
      <c r="F73" s="159"/>
      <c r="G73" s="67">
        <v>3565</v>
      </c>
      <c r="H73" s="67">
        <v>17294</v>
      </c>
      <c r="I73" s="67"/>
      <c r="J73" s="67"/>
      <c r="K73" s="159">
        <v>217</v>
      </c>
      <c r="L73" s="159">
        <v>1647</v>
      </c>
      <c r="M73" s="159"/>
      <c r="N73" s="67"/>
      <c r="O73" s="67"/>
      <c r="P73" s="146"/>
      <c r="Q73" s="146"/>
      <c r="R73" s="146"/>
    </row>
    <row customHeight="1" ht="14.25">
      <c r="A74" s="297"/>
      <c r="B74" s="67"/>
      <c r="C74" s="67"/>
      <c r="D74" s="67"/>
      <c r="E74" s="67"/>
      <c r="F74" s="67"/>
      <c r="G74" s="67"/>
      <c r="H74" s="67"/>
      <c r="I74" s="159"/>
      <c r="J74" s="159"/>
      <c r="K74" s="159"/>
      <c r="L74" s="159"/>
      <c r="M74" s="159"/>
      <c r="N74" s="67"/>
      <c r="O74" s="67"/>
      <c r="P74" s="146"/>
      <c r="Q74" s="146"/>
      <c r="R74" s="146"/>
    </row>
    <row customHeight="1" ht="14.25">
      <c r="A75" s="297"/>
      <c r="B75" s="67"/>
      <c r="C75" s="67"/>
      <c r="D75" s="67"/>
      <c r="E75" s="159"/>
      <c r="F75" s="159"/>
      <c r="G75" s="159">
        <v>0</v>
      </c>
      <c r="H75" s="159">
        <v>0</v>
      </c>
      <c r="I75" s="67"/>
      <c r="J75" s="67"/>
      <c r="K75" s="159"/>
      <c r="L75" s="159"/>
      <c r="M75" s="67"/>
      <c r="N75" s="67"/>
      <c r="O75" s="67"/>
      <c r="P75" s="146"/>
      <c r="Q75" s="146"/>
      <c r="R75" s="146"/>
    </row>
    <row customHeight="1" ht="14.25">
      <c r="A76" s="297"/>
      <c r="B76" s="159"/>
      <c r="C76" s="67"/>
      <c r="D76" s="67"/>
      <c r="E76" s="67"/>
      <c r="F76" s="67"/>
      <c r="G76" s="67"/>
      <c r="H76" s="67"/>
      <c r="I76" s="67" t="s">
        <v>215</v>
      </c>
      <c r="J76" s="67"/>
      <c r="K76" s="159"/>
      <c r="L76" s="159"/>
      <c r="M76" s="67"/>
      <c r="N76" s="67"/>
      <c r="O76" s="67"/>
      <c r="P76" s="146"/>
      <c r="Q76" s="146"/>
      <c r="R76" s="146"/>
    </row>
    <row customHeight="1" ht="14.25">
      <c r="A77" s="297"/>
      <c r="B77" s="67"/>
      <c r="C77" s="67"/>
      <c r="D77" s="67"/>
      <c r="E77" s="159">
        <v>834</v>
      </c>
      <c r="F77" s="159">
        <v>43275</v>
      </c>
      <c r="G77" s="67"/>
      <c r="H77" s="67"/>
      <c r="I77" s="159">
        <v>536.32</v>
      </c>
      <c r="J77" s="159">
        <v>3055.94</v>
      </c>
      <c r="K77" s="159">
        <v>305</v>
      </c>
      <c r="L77" s="159">
        <v>2327</v>
      </c>
      <c r="M77" s="67"/>
      <c r="N77" s="67"/>
      <c r="O77" s="67"/>
      <c r="P77" s="146"/>
      <c r="Q77" s="146"/>
      <c r="R77" s="146"/>
    </row>
    <row customHeight="1" ht="14.25">
      <c r="A78" s="297"/>
      <c r="B78" s="67"/>
      <c r="C78" s="67"/>
      <c r="D78" s="67"/>
      <c r="E78" s="159"/>
      <c r="F78" s="159"/>
      <c r="G78" s="67"/>
      <c r="H78" s="67"/>
      <c r="I78" s="159"/>
      <c r="J78" s="159"/>
      <c r="K78" s="159"/>
      <c r="L78" s="159"/>
      <c r="M78" s="159"/>
      <c r="N78" s="67"/>
      <c r="O78" s="67"/>
      <c r="P78" s="146"/>
      <c r="Q78" s="146"/>
      <c r="R78" s="146"/>
    </row>
    <row customHeight="1" ht="13.5">
      <c r="A79" s="297"/>
      <c r="B79" s="67"/>
      <c r="C79" s="67"/>
      <c r="D79" s="67"/>
      <c r="E79" s="159"/>
      <c r="F79" s="159"/>
      <c r="G79" s="159">
        <v>0</v>
      </c>
      <c r="H79" s="159">
        <v>0</v>
      </c>
      <c r="I79" s="67"/>
      <c r="J79" s="159"/>
      <c r="K79" s="67"/>
      <c r="L79" s="67"/>
      <c r="M79" s="159"/>
      <c r="N79" s="67"/>
      <c r="O79" s="67"/>
      <c r="P79" s="146"/>
      <c r="Q79" s="146"/>
      <c r="R79" s="146"/>
    </row>
    <row customHeight="1" ht="13.5">
      <c r="A80" s="297"/>
      <c r="B80" s="67"/>
      <c r="C80" s="67"/>
      <c r="D80" s="67"/>
      <c r="E80" s="67"/>
      <c r="F80" s="67"/>
      <c r="G80" s="159">
        <v>0</v>
      </c>
      <c r="H80" s="159">
        <v>0</v>
      </c>
      <c r="I80" s="67" t="s">
        <v>216</v>
      </c>
      <c r="J80" s="67"/>
      <c r="K80" s="159">
        <v>609.56</v>
      </c>
      <c r="L80" s="159">
        <v>4269.06</v>
      </c>
      <c r="M80" s="159"/>
      <c r="N80" s="67"/>
      <c r="O80" s="67"/>
      <c r="P80" s="146"/>
      <c r="Q80" s="146"/>
      <c r="R80" s="146"/>
    </row>
    <row customHeight="1" ht="13.5">
      <c r="A81" s="297"/>
      <c r="B81" s="67"/>
      <c r="C81" s="67"/>
      <c r="D81" s="67"/>
      <c r="E81" s="159">
        <v>8542</v>
      </c>
      <c r="F81" s="159">
        <v>50161</v>
      </c>
      <c r="G81" s="67"/>
      <c r="H81" s="67"/>
      <c r="I81" s="159">
        <v>2784</v>
      </c>
      <c r="J81" s="159">
        <v>16566</v>
      </c>
      <c r="K81" s="159"/>
      <c r="L81" s="159"/>
      <c r="M81" s="159"/>
      <c r="N81" s="67"/>
      <c r="O81" s="67"/>
      <c r="P81" s="146"/>
      <c r="Q81" s="146"/>
      <c r="R81" s="146"/>
    </row>
    <row customHeight="1" ht="13.5">
      <c r="A82" s="297"/>
      <c r="B82" s="159"/>
      <c r="C82" s="67"/>
      <c r="D82" s="67"/>
      <c r="E82" s="159"/>
      <c r="F82" s="159"/>
      <c r="G82" s="67" t="s">
        <v>215</v>
      </c>
      <c r="H82" s="67"/>
      <c r="I82" s="67" t="s">
        <v>217</v>
      </c>
      <c r="J82" s="67"/>
      <c r="K82" s="159">
        <v>183</v>
      </c>
      <c r="L82" s="159">
        <v>1308</v>
      </c>
      <c r="M82" s="159"/>
      <c r="N82" s="67"/>
      <c r="O82" s="67"/>
      <c r="P82" s="146"/>
      <c r="Q82" s="146"/>
      <c r="R82" s="146"/>
    </row>
    <row customHeight="1" ht="13.5">
      <c r="A83" s="297"/>
      <c r="B83" s="252"/>
      <c r="C83" s="67"/>
      <c r="D83" s="67"/>
      <c r="E83" s="159"/>
      <c r="F83" s="159"/>
      <c r="G83" s="533">
        <v>709</v>
      </c>
      <c r="H83" s="533">
        <v>3190</v>
      </c>
      <c r="I83" s="159">
        <v>416</v>
      </c>
      <c r="J83" s="159">
        <v>2530</v>
      </c>
      <c r="K83" s="67"/>
      <c r="L83" s="67"/>
      <c r="M83" s="159"/>
      <c r="N83" s="67"/>
      <c r="O83" s="67"/>
      <c r="P83" s="146"/>
      <c r="Q83" s="146"/>
      <c r="R83" s="146"/>
    </row>
    <row customHeight="1" ht="13.5">
      <c r="A84" s="297"/>
      <c r="B84" s="252"/>
      <c r="C84" s="67"/>
      <c r="D84" s="67"/>
      <c r="E84" s="159"/>
      <c r="F84" s="159"/>
      <c r="G84" s="67"/>
      <c r="H84" s="159"/>
      <c r="I84" s="67"/>
      <c r="J84" s="67"/>
      <c r="K84" s="159">
        <v>0</v>
      </c>
      <c r="L84" s="159">
        <v>1</v>
      </c>
      <c r="M84" s="159"/>
      <c r="N84" s="67"/>
      <c r="O84" s="67"/>
      <c r="P84" s="146"/>
      <c r="Q84" s="146"/>
      <c r="R84" s="146"/>
    </row>
    <row customHeight="1" ht="13.5">
      <c r="A85" s="297"/>
      <c r="B85" s="159"/>
      <c r="C85" s="67"/>
      <c r="D85" s="67"/>
      <c r="E85" s="159"/>
      <c r="F85" s="159"/>
      <c r="G85" s="408"/>
      <c r="H85" s="531"/>
      <c r="I85" s="67" t="s">
        <v>218</v>
      </c>
      <c r="J85" s="67"/>
      <c r="K85" s="67"/>
      <c r="L85" s="67"/>
      <c r="M85" s="159"/>
      <c r="N85" s="67"/>
      <c r="O85" s="67"/>
      <c r="P85" s="146"/>
      <c r="Q85" s="146"/>
      <c r="R85" s="146"/>
    </row>
    <row customHeight="1" ht="13.5">
      <c r="A86" s="297"/>
      <c r="B86" s="67"/>
      <c r="C86" s="67"/>
      <c r="D86" s="67"/>
      <c r="E86" s="159">
        <v>1436</v>
      </c>
      <c r="F86" s="159">
        <v>10205</v>
      </c>
      <c r="G86" s="67">
        <v>0</v>
      </c>
      <c r="H86" s="67">
        <v>0</v>
      </c>
      <c r="I86" s="159">
        <v>5338</v>
      </c>
      <c r="J86" s="159">
        <v>17922</v>
      </c>
      <c r="K86" s="159">
        <v>0</v>
      </c>
      <c r="L86" s="159">
        <v>0</v>
      </c>
      <c r="M86" s="67"/>
      <c r="N86" s="67"/>
      <c r="O86" s="67"/>
      <c r="P86" s="146"/>
      <c r="Q86" s="146"/>
      <c r="R86" s="146"/>
    </row>
    <row customHeight="1" ht="13.5">
      <c r="A87" s="297"/>
      <c r="B87" s="159"/>
      <c r="C87" s="159"/>
      <c r="D87" s="67"/>
      <c r="E87" s="67"/>
      <c r="F87" s="67"/>
      <c r="G87" s="67">
        <v>0</v>
      </c>
      <c r="H87" s="67">
        <v>0</v>
      </c>
      <c r="I87" s="67" t="s">
        <v>219</v>
      </c>
      <c r="J87" s="67"/>
      <c r="K87" s="67"/>
      <c r="L87" s="67"/>
      <c r="M87" s="159"/>
      <c r="N87" s="67"/>
      <c r="O87" s="67"/>
      <c r="P87" s="146"/>
      <c r="Q87" s="146"/>
      <c r="R87" s="146"/>
    </row>
    <row customHeight="1" ht="13.5">
      <c r="A88" s="297"/>
      <c r="B88" s="159"/>
      <c r="C88" s="159"/>
      <c r="D88" s="67"/>
      <c r="E88" s="159">
        <v>738</v>
      </c>
      <c r="F88" s="159">
        <v>3397</v>
      </c>
      <c r="G88" s="67">
        <v>1997</v>
      </c>
      <c r="H88" s="67">
        <v>17226</v>
      </c>
      <c r="I88" s="159">
        <v>2932</v>
      </c>
      <c r="J88" s="159">
        <v>3792</v>
      </c>
      <c r="K88" s="159"/>
      <c r="L88" s="159"/>
      <c r="M88" s="159"/>
      <c r="N88" s="67"/>
      <c r="O88" s="67"/>
      <c r="P88" s="146"/>
      <c r="Q88" s="146"/>
      <c r="R88" s="146"/>
    </row>
    <row customHeight="1" ht="13.5">
      <c r="A89" s="297"/>
      <c r="B89" s="159"/>
      <c r="C89" s="159"/>
      <c r="D89" s="67"/>
      <c r="E89" s="159"/>
      <c r="F89" s="159"/>
      <c r="G89" s="67"/>
      <c r="H89" s="67"/>
      <c r="I89" s="67" t="s">
        <v>220</v>
      </c>
      <c r="J89" s="67"/>
      <c r="K89" s="159"/>
      <c r="L89" s="159"/>
      <c r="M89" s="67"/>
      <c r="N89" s="67"/>
      <c r="O89" s="67"/>
      <c r="P89" s="146"/>
      <c r="Q89" s="146"/>
      <c r="R89" s="146"/>
    </row>
    <row customHeight="1" ht="13.5">
      <c r="A90" s="297"/>
      <c r="B90" s="159"/>
      <c r="C90" s="159"/>
      <c r="D90" s="67"/>
      <c r="E90" s="159">
        <v>305</v>
      </c>
      <c r="F90" s="159">
        <v>2100</v>
      </c>
      <c r="G90" s="67">
        <v>1642</v>
      </c>
      <c r="H90" s="67">
        <v>14410</v>
      </c>
      <c r="I90" s="159">
        <v>0</v>
      </c>
      <c r="J90" s="159">
        <v>1164</v>
      </c>
      <c r="K90" s="159"/>
      <c r="L90" s="159"/>
      <c r="M90" s="159"/>
      <c r="N90" s="67"/>
      <c r="O90" s="67"/>
      <c r="P90" s="146"/>
      <c r="Q90" s="146"/>
      <c r="R90" s="146"/>
    </row>
    <row customHeight="1" ht="13.5">
      <c r="A91" s="297"/>
      <c r="B91" s="159"/>
      <c r="C91" s="159"/>
      <c r="D91" s="67"/>
      <c r="E91" s="159"/>
      <c r="F91" s="159"/>
      <c r="G91" s="67">
        <v>0</v>
      </c>
      <c r="H91" s="67">
        <v>0</v>
      </c>
      <c r="I91" s="67" t="s">
        <v>221</v>
      </c>
      <c r="J91" s="67"/>
      <c r="K91" s="159"/>
      <c r="L91" s="159"/>
      <c r="M91" s="67"/>
      <c r="N91" s="67"/>
      <c r="O91" s="67"/>
      <c r="P91" s="146"/>
      <c r="Q91" s="146"/>
      <c r="R91" s="146"/>
    </row>
    <row customHeight="1" ht="13.5">
      <c r="A92" s="297"/>
      <c r="B92" s="159"/>
      <c r="C92" s="159"/>
      <c r="D92" s="67"/>
      <c r="E92" s="159"/>
      <c r="F92" s="159"/>
      <c r="G92" s="67">
        <v>892</v>
      </c>
      <c r="H92" s="67">
        <v>3359</v>
      </c>
      <c r="I92" s="159">
        <v>419</v>
      </c>
      <c r="J92" s="159">
        <v>1252</v>
      </c>
      <c r="K92" s="159"/>
      <c r="L92" s="159"/>
      <c r="M92" s="159"/>
      <c r="N92" s="67"/>
      <c r="O92" s="67"/>
      <c r="P92" s="146"/>
      <c r="Q92" s="146"/>
      <c r="R92" s="146"/>
    </row>
    <row customHeight="1" ht="13.5">
      <c r="A93" s="297"/>
      <c r="B93" s="67"/>
      <c r="C93" s="67"/>
      <c r="D93" s="67"/>
      <c r="E93" s="159"/>
      <c r="F93" s="159"/>
      <c r="G93" s="67">
        <v>0</v>
      </c>
      <c r="H93" s="67">
        <v>0</v>
      </c>
      <c r="I93" s="67"/>
      <c r="J93" s="67"/>
      <c r="K93" s="159"/>
      <c r="L93" s="159"/>
      <c r="M93" s="67"/>
      <c r="N93" s="67"/>
      <c r="O93" s="67"/>
      <c r="P93" s="146"/>
      <c r="Q93" s="146"/>
      <c r="R93" s="146"/>
    </row>
    <row customHeight="1" ht="13.5">
      <c r="A94" s="297"/>
      <c r="B94" s="67"/>
      <c r="C94" s="67"/>
      <c r="D94" s="67"/>
      <c r="E94" s="159"/>
      <c r="F94" s="159"/>
      <c r="G94" s="67"/>
      <c r="H94" s="67"/>
      <c r="I94" s="159">
        <v>287</v>
      </c>
      <c r="J94" s="159">
        <v>1427</v>
      </c>
      <c r="K94" s="67"/>
      <c r="L94" s="67"/>
      <c r="M94" s="159"/>
      <c r="N94" s="67"/>
      <c r="O94" s="67"/>
      <c r="P94" s="146"/>
      <c r="Q94" s="146"/>
      <c r="R94" s="146"/>
    </row>
    <row customHeight="1" ht="13.5">
      <c r="A95" s="297"/>
      <c r="B95" s="159"/>
      <c r="C95" s="67"/>
      <c r="D95" s="67"/>
      <c r="E95" s="159"/>
      <c r="F95" s="159"/>
      <c r="G95" s="67"/>
      <c r="H95" s="67"/>
      <c r="I95" s="67"/>
      <c r="J95" s="67"/>
      <c r="K95" s="159"/>
      <c r="L95" s="159"/>
      <c r="M95" s="67"/>
      <c r="N95" s="67"/>
      <c r="O95" s="67"/>
      <c r="P95" s="146"/>
      <c r="Q95" s="146"/>
      <c r="R95" s="146"/>
    </row>
    <row customHeight="1" ht="13.5">
      <c r="A96" s="297"/>
      <c r="B96" s="159"/>
      <c r="C96" s="67"/>
      <c r="D96" s="67"/>
      <c r="E96" s="159"/>
      <c r="F96" s="159"/>
      <c r="G96" s="67">
        <v>657</v>
      </c>
      <c r="H96" s="531">
        <v>3839</v>
      </c>
      <c r="I96" s="159">
        <v>28.5</v>
      </c>
      <c r="J96" s="159">
        <v>111</v>
      </c>
      <c r="K96" s="159"/>
      <c r="L96" s="159"/>
      <c r="M96" s="159"/>
      <c r="N96" s="67"/>
      <c r="O96" s="67"/>
      <c r="P96" s="146"/>
      <c r="Q96" s="146"/>
      <c r="R96" s="146"/>
    </row>
    <row customHeight="1" ht="13.5">
      <c r="A97" s="297"/>
      <c r="B97" s="67"/>
      <c r="C97" s="67"/>
      <c r="D97" s="67"/>
      <c r="E97" s="67"/>
      <c r="F97" s="67"/>
      <c r="G97" s="67">
        <v>764</v>
      </c>
      <c r="H97" s="531">
        <v>3926</v>
      </c>
      <c r="I97" s="67"/>
      <c r="J97" s="67"/>
      <c r="K97" s="67"/>
      <c r="L97" s="67"/>
      <c r="M97" s="159"/>
      <c r="N97" s="67"/>
      <c r="O97" s="67"/>
      <c r="P97" s="146"/>
      <c r="Q97" s="146"/>
      <c r="R97" s="146"/>
    </row>
    <row customHeight="1" ht="13.5">
      <c r="A98" s="297"/>
      <c r="B98" s="159"/>
      <c r="C98" s="67"/>
      <c r="D98" s="67"/>
      <c r="E98" s="159">
        <v>108</v>
      </c>
      <c r="F98" s="159">
        <v>688</v>
      </c>
      <c r="G98" s="67"/>
      <c r="H98" s="67"/>
      <c r="I98" s="67"/>
      <c r="J98" s="67"/>
      <c r="K98" s="159"/>
      <c r="L98" s="159"/>
      <c r="M98" s="159"/>
      <c r="N98" s="67"/>
      <c r="O98" s="67"/>
      <c r="P98" s="146"/>
      <c r="Q98" s="146"/>
      <c r="R98" s="146"/>
    </row>
    <row customHeight="1" ht="13.5">
      <c r="A99" s="297"/>
      <c r="B99" s="159"/>
      <c r="C99" s="67"/>
      <c r="D99" s="67"/>
      <c r="E99" s="67"/>
      <c r="F99" s="67"/>
      <c r="G99" s="67"/>
      <c r="H99" s="67"/>
      <c r="I99" s="67"/>
      <c r="J99" s="67"/>
      <c r="K99" s="159"/>
      <c r="L99" s="159"/>
      <c r="M99" s="159"/>
      <c r="N99" s="67"/>
      <c r="O99" s="67"/>
      <c r="P99" s="146"/>
      <c r="Q99" s="146"/>
      <c r="R99" s="146"/>
    </row>
    <row customHeight="1" ht="13.5">
      <c r="A100" s="297"/>
      <c r="B100" s="159"/>
      <c r="C100" s="67"/>
      <c r="D100" s="67"/>
      <c r="E100" s="159">
        <v>0</v>
      </c>
      <c r="F100" s="159">
        <v>0</v>
      </c>
      <c r="G100" s="159">
        <v>2075</v>
      </c>
      <c r="H100" s="159">
        <v>18295</v>
      </c>
      <c r="I100" s="67"/>
      <c r="J100" s="67"/>
      <c r="K100" s="159">
        <v>104</v>
      </c>
      <c r="L100" s="159">
        <v>318</v>
      </c>
      <c r="M100" s="159"/>
      <c r="N100" s="67"/>
      <c r="O100" s="67"/>
      <c r="P100" s="146"/>
      <c r="Q100" s="146"/>
      <c r="R100" s="146"/>
    </row>
    <row customHeight="1" ht="13.5">
      <c r="A101" s="297"/>
      <c r="B101" s="159"/>
      <c r="C101" s="67"/>
      <c r="D101" s="67"/>
      <c r="E101" s="67"/>
      <c r="F101" s="67"/>
      <c r="G101" s="159">
        <v>0</v>
      </c>
      <c r="H101" s="159">
        <v>0</v>
      </c>
      <c r="I101" s="67"/>
      <c r="J101" s="67"/>
      <c r="K101" s="159"/>
      <c r="L101" s="159"/>
      <c r="M101" s="159"/>
      <c r="N101" s="67"/>
      <c r="O101" s="67"/>
      <c r="P101" s="146"/>
      <c r="Q101" s="146"/>
      <c r="R101" s="146"/>
    </row>
    <row customHeight="1" ht="13.5">
      <c r="A102" s="297"/>
      <c r="B102" s="67"/>
      <c r="C102" s="67"/>
      <c r="D102" s="67"/>
      <c r="E102" s="159">
        <v>151</v>
      </c>
      <c r="F102" s="159">
        <v>1075</v>
      </c>
      <c r="G102" s="159">
        <v>1352</v>
      </c>
      <c r="H102" s="159">
        <v>1352</v>
      </c>
      <c r="I102" s="67"/>
      <c r="J102" s="67"/>
      <c r="K102" s="159"/>
      <c r="L102" s="159"/>
      <c r="M102" s="67"/>
      <c r="N102" s="67"/>
      <c r="O102" s="67"/>
      <c r="P102" s="146"/>
      <c r="Q102" s="146"/>
      <c r="R102" s="146"/>
    </row>
    <row customHeight="1" ht="16.5">
      <c r="A103" s="297"/>
      <c r="B103" s="159"/>
      <c r="C103" s="67"/>
      <c r="D103" s="67"/>
      <c r="E103" s="67"/>
      <c r="F103" s="67"/>
      <c r="G103" s="159">
        <v>0</v>
      </c>
      <c r="H103" s="159">
        <v>0</v>
      </c>
      <c r="I103" s="67"/>
      <c r="J103" s="67"/>
      <c r="K103" s="159">
        <v>835</v>
      </c>
      <c r="L103" s="159">
        <v>6006</v>
      </c>
      <c r="M103" s="159"/>
      <c r="N103" s="67"/>
      <c r="O103" s="67"/>
      <c r="P103" s="146"/>
      <c r="Q103" s="146"/>
      <c r="R103" s="146"/>
    </row>
    <row customHeight="1" ht="13.5">
      <c r="A104" s="297"/>
      <c r="B104" s="159"/>
      <c r="C104" s="67"/>
      <c r="D104" s="67"/>
      <c r="E104" s="159">
        <v>169</v>
      </c>
      <c r="F104" s="159">
        <v>1128</v>
      </c>
      <c r="G104" s="67"/>
      <c r="H104" s="67"/>
      <c r="I104" s="67"/>
      <c r="J104" s="67"/>
      <c r="K104" s="159"/>
      <c r="L104" s="159"/>
      <c r="M104" s="159"/>
      <c r="N104" s="67"/>
      <c r="O104" s="67"/>
      <c r="P104" s="146"/>
      <c r="Q104" s="146"/>
      <c r="R104" s="146"/>
    </row>
    <row customHeight="1" ht="13.5">
      <c r="A105" s="297"/>
      <c r="B105" s="159"/>
      <c r="C105" s="67"/>
      <c r="D105" s="67"/>
      <c r="E105" s="67"/>
      <c r="F105" s="67"/>
      <c r="G105" s="67"/>
      <c r="H105" s="67"/>
      <c r="I105" s="67"/>
      <c r="J105" s="67"/>
      <c r="K105" s="159"/>
      <c r="L105" s="159"/>
      <c r="M105" s="67"/>
      <c r="N105" s="67"/>
      <c r="O105" s="67"/>
      <c r="P105" s="146"/>
      <c r="Q105" s="146"/>
      <c r="R105" s="146"/>
    </row>
    <row customHeight="1" ht="13.5">
      <c r="A106" s="297"/>
      <c r="B106" s="159"/>
      <c r="C106" s="67"/>
      <c r="D106" s="67"/>
      <c r="E106" s="159">
        <v>13</v>
      </c>
      <c r="F106" s="159">
        <v>100</v>
      </c>
      <c r="G106" s="67"/>
      <c r="H106" s="67"/>
      <c r="I106" s="67"/>
      <c r="J106" s="67"/>
      <c r="K106" s="159"/>
      <c r="L106" s="159"/>
      <c r="M106" s="159"/>
      <c r="N106" s="67"/>
      <c r="O106" s="67"/>
      <c r="P106" s="146"/>
      <c r="Q106" s="146"/>
      <c r="R106" s="146"/>
    </row>
    <row customHeight="1" ht="13.5">
      <c r="A107" s="297"/>
      <c r="B107" s="67"/>
      <c r="C107" s="67"/>
      <c r="D107" s="67"/>
      <c r="E107" s="67"/>
      <c r="F107" s="67"/>
      <c r="G107" s="67"/>
      <c r="H107" s="67"/>
      <c r="I107" s="67"/>
      <c r="J107" s="67"/>
      <c r="K107" s="159"/>
      <c r="L107" s="159"/>
      <c r="M107" s="159"/>
      <c r="N107" s="67"/>
      <c r="O107" s="67"/>
      <c r="P107" s="146"/>
      <c r="Q107" s="146"/>
      <c r="R107" s="146"/>
    </row>
    <row customHeight="1" ht="13.5">
      <c r="A108" s="297"/>
      <c r="B108" s="67"/>
      <c r="C108" s="67"/>
      <c r="D108" s="67"/>
      <c r="E108" s="159"/>
      <c r="F108" s="159"/>
      <c r="G108" s="67"/>
      <c r="H108" s="67"/>
      <c r="I108" s="67"/>
      <c r="J108" s="67"/>
      <c r="K108" s="67"/>
      <c r="L108" s="67"/>
      <c r="M108" s="67"/>
      <c r="N108" s="67"/>
      <c r="O108" s="67"/>
      <c r="P108" s="146"/>
      <c r="Q108" s="146"/>
      <c r="R108" s="146"/>
    </row>
    <row customHeight="1" ht="13.5">
      <c r="A109" s="297"/>
      <c r="B109" s="159"/>
      <c r="C109" s="159"/>
      <c r="D109" s="67"/>
      <c r="E109" s="159"/>
      <c r="F109" s="159"/>
      <c r="G109" s="67"/>
      <c r="H109" s="67"/>
      <c r="I109" s="67"/>
      <c r="J109" s="67"/>
      <c r="K109" s="159">
        <v>800.56</v>
      </c>
      <c r="L109" s="159">
        <v>4784.06</v>
      </c>
      <c r="M109" s="159"/>
      <c r="N109" s="67"/>
      <c r="O109" s="67"/>
      <c r="P109" s="146"/>
      <c r="Q109" s="146"/>
      <c r="R109" s="146"/>
    </row>
    <row customHeight="1" ht="13.5">
      <c r="A110" s="297"/>
      <c r="B110" s="159"/>
      <c r="C110" s="159"/>
      <c r="D110" s="67"/>
      <c r="E110" s="159"/>
      <c r="F110" s="159"/>
      <c r="G110" s="67"/>
      <c r="H110" s="67"/>
      <c r="I110" s="67"/>
      <c r="J110" s="67"/>
      <c r="K110" s="159"/>
      <c r="L110" s="159"/>
      <c r="M110" s="67"/>
      <c r="N110" s="67"/>
      <c r="O110" s="67"/>
      <c r="P110" s="146"/>
      <c r="Q110" s="146"/>
      <c r="R110" s="146"/>
    </row>
    <row customHeight="1" ht="13.5">
      <c r="A111" s="297"/>
      <c r="B111" s="159"/>
      <c r="C111" s="159"/>
      <c r="D111" s="67"/>
      <c r="E111" s="67"/>
      <c r="F111" s="67"/>
      <c r="G111" s="67"/>
      <c r="H111" s="67"/>
      <c r="I111" s="67"/>
      <c r="J111" s="67"/>
      <c r="K111" s="159"/>
      <c r="L111" s="159"/>
      <c r="M111" s="67"/>
      <c r="N111" s="67"/>
      <c r="O111" s="67"/>
      <c r="P111" s="146"/>
      <c r="Q111" s="146"/>
      <c r="R111" s="146"/>
    </row>
    <row customHeight="1" ht="13.5">
      <c r="A112" s="297"/>
      <c r="B112" s="159"/>
      <c r="C112" s="159"/>
      <c r="D112" s="67"/>
      <c r="E112" s="159">
        <v>9857</v>
      </c>
      <c r="F112" s="159">
        <v>32478</v>
      </c>
      <c r="G112" s="67"/>
      <c r="H112" s="67"/>
      <c r="I112" s="67"/>
      <c r="J112" s="67"/>
      <c r="K112" s="159"/>
      <c r="L112" s="159"/>
      <c r="M112" s="67"/>
      <c r="N112" s="67"/>
      <c r="O112" s="67"/>
      <c r="P112" s="146"/>
      <c r="Q112" s="146"/>
      <c r="R112" s="146"/>
    </row>
    <row customHeight="1" ht="13.5">
      <c r="A113" s="297"/>
      <c r="B113" s="159"/>
      <c r="C113" s="159"/>
      <c r="D113" s="67"/>
      <c r="E113" s="159"/>
      <c r="F113" s="159"/>
      <c r="G113" s="67"/>
      <c r="H113" s="67"/>
      <c r="I113" s="67"/>
      <c r="J113" s="67"/>
      <c r="K113" s="159"/>
      <c r="L113" s="159"/>
      <c r="M113" s="159"/>
      <c r="N113" s="67"/>
      <c r="O113" s="67"/>
      <c r="P113" s="146"/>
      <c r="Q113" s="146"/>
      <c r="R113" s="146"/>
    </row>
    <row customHeight="1" ht="13.5">
      <c r="A114" s="297"/>
      <c r="B114" s="159"/>
      <c r="C114" s="159"/>
      <c r="D114" s="67"/>
      <c r="E114" s="159"/>
      <c r="F114" s="159"/>
      <c r="G114" s="67"/>
      <c r="H114" s="67"/>
      <c r="I114" s="67"/>
      <c r="J114" s="67"/>
      <c r="K114" s="159"/>
      <c r="L114" s="159"/>
      <c r="M114" s="159"/>
      <c r="N114" s="67"/>
      <c r="O114" s="67"/>
      <c r="P114" s="146"/>
      <c r="Q114" s="146"/>
      <c r="R114" s="146"/>
    </row>
    <row customHeight="1" ht="13.5">
      <c r="A115" s="297"/>
      <c r="B115" s="159"/>
      <c r="C115" s="159"/>
      <c r="D115" s="67"/>
      <c r="E115" s="159"/>
      <c r="F115" s="159"/>
      <c r="G115" s="67"/>
      <c r="H115" s="67"/>
      <c r="I115" s="67"/>
      <c r="J115" s="67"/>
      <c r="K115" s="159"/>
      <c r="L115" s="159"/>
      <c r="M115" s="159"/>
      <c r="N115" s="67"/>
      <c r="O115" s="67"/>
      <c r="P115" s="146"/>
      <c r="Q115" s="146"/>
      <c r="R115" s="146"/>
    </row>
    <row customHeight="1" ht="13.5">
      <c r="A116" s="297"/>
      <c r="B116" s="159"/>
      <c r="C116" s="159"/>
      <c r="D116" s="67"/>
      <c r="E116" s="159">
        <v>3322</v>
      </c>
      <c r="F116" s="159">
        <v>24582</v>
      </c>
      <c r="G116" s="67"/>
      <c r="H116" s="67"/>
      <c r="I116" s="67"/>
      <c r="J116" s="67"/>
      <c r="K116" s="159"/>
      <c r="L116" s="159"/>
      <c r="M116" s="159"/>
      <c r="N116" s="67"/>
      <c r="O116" s="67"/>
      <c r="P116" s="146"/>
      <c r="Q116" s="146"/>
      <c r="R116" s="146"/>
    </row>
    <row customHeight="1" ht="13.5">
      <c r="A117" s="297"/>
      <c r="B117" s="159"/>
      <c r="C117" s="159"/>
      <c r="D117" s="67"/>
      <c r="E117" s="159"/>
      <c r="F117" s="159"/>
      <c r="G117" s="67"/>
      <c r="H117" s="67"/>
      <c r="I117" s="67"/>
      <c r="J117" s="67"/>
      <c r="K117" s="67"/>
      <c r="L117" s="67"/>
      <c r="M117" s="159"/>
      <c r="N117" s="67"/>
      <c r="O117" s="67"/>
      <c r="P117" s="146"/>
      <c r="Q117" s="146"/>
      <c r="R117" s="146"/>
    </row>
    <row customHeight="1" ht="13.5">
      <c r="A118" s="297"/>
      <c r="B118" s="67"/>
      <c r="C118" s="67"/>
      <c r="D118" s="67"/>
      <c r="E118" s="159"/>
      <c r="F118" s="159"/>
      <c r="G118" s="67"/>
      <c r="H118" s="67"/>
      <c r="I118" s="67"/>
      <c r="J118" s="67"/>
      <c r="K118" s="159">
        <v>151</v>
      </c>
      <c r="L118" s="159">
        <v>1271</v>
      </c>
      <c r="M118" s="159"/>
      <c r="N118" s="67"/>
      <c r="O118" s="67"/>
      <c r="P118" s="146"/>
      <c r="Q118" s="146"/>
      <c r="R118" s="146"/>
    </row>
    <row customHeight="1" ht="13.5">
      <c r="A119" s="29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159"/>
      <c r="N119" s="67"/>
      <c r="O119" s="67"/>
      <c r="P119" s="146"/>
      <c r="Q119" s="146"/>
      <c r="R119" s="146"/>
    </row>
    <row customHeight="1" ht="13.5">
      <c r="A120" s="297"/>
      <c r="B120" s="67"/>
      <c r="C120" s="67"/>
      <c r="D120" s="67"/>
      <c r="E120" s="159">
        <v>528</v>
      </c>
      <c r="F120" s="159">
        <v>2432</v>
      </c>
      <c r="G120" s="67"/>
      <c r="H120" s="67"/>
      <c r="I120" s="67"/>
      <c r="J120" s="67"/>
      <c r="K120" s="159">
        <v>0</v>
      </c>
      <c r="L120" s="159">
        <v>0</v>
      </c>
      <c r="M120" s="159"/>
      <c r="N120" s="67"/>
      <c r="O120" s="67"/>
      <c r="P120" s="146"/>
      <c r="Q120" s="146"/>
      <c r="R120" s="146"/>
    </row>
    <row customHeight="1" ht="13.5">
      <c r="A121" s="297"/>
      <c r="B121" s="67"/>
      <c r="C121" s="67"/>
      <c r="D121" s="67"/>
      <c r="E121" s="159"/>
      <c r="F121" s="159"/>
      <c r="G121" s="67"/>
      <c r="H121" s="67"/>
      <c r="I121" s="67"/>
      <c r="J121" s="67"/>
      <c r="K121" s="67"/>
      <c r="L121" s="67"/>
      <c r="M121" s="67"/>
      <c r="N121" s="67"/>
      <c r="O121" s="67"/>
      <c r="P121" s="146"/>
      <c r="Q121" s="146"/>
      <c r="R121" s="146"/>
    </row>
    <row customHeight="1" ht="13.5">
      <c r="A122" s="297"/>
      <c r="B122" s="67"/>
      <c r="C122" s="67"/>
      <c r="D122" s="67"/>
      <c r="E122" s="159"/>
      <c r="F122" s="159"/>
      <c r="G122" s="67"/>
      <c r="H122" s="67"/>
      <c r="I122" s="67"/>
      <c r="J122" s="67"/>
      <c r="K122" s="67">
        <v>4106</v>
      </c>
      <c r="L122" s="67">
        <v>29162</v>
      </c>
      <c r="M122" s="159"/>
      <c r="N122" s="67"/>
      <c r="O122" s="67"/>
      <c r="P122" s="146"/>
      <c r="Q122" s="146"/>
      <c r="R122" s="146"/>
    </row>
    <row customHeight="1" ht="13.5">
      <c r="A123" s="29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>
        <v>34344</v>
      </c>
      <c r="M123" s="67"/>
      <c r="N123" s="67"/>
      <c r="O123" s="67"/>
      <c r="P123" s="146"/>
      <c r="Q123" s="146"/>
      <c r="R123" s="146"/>
    </row>
    <row customHeight="1" ht="13.5">
      <c r="A124" s="297"/>
      <c r="B124" s="67"/>
      <c r="C124" s="67"/>
      <c r="D124" s="67"/>
      <c r="E124" s="159"/>
      <c r="F124" s="159"/>
      <c r="G124" s="67"/>
      <c r="H124" s="67"/>
      <c r="I124" s="67"/>
      <c r="J124" s="67"/>
      <c r="K124" s="67"/>
      <c r="L124" s="67">
        <v>0</v>
      </c>
      <c r="M124" s="159"/>
      <c r="N124" s="67"/>
      <c r="O124" s="67"/>
      <c r="P124" s="146"/>
      <c r="Q124" s="146"/>
      <c r="R124" s="146"/>
    </row>
    <row customHeight="1" ht="13.5">
      <c r="A125" s="297"/>
      <c r="B125" s="67"/>
      <c r="C125" s="67"/>
      <c r="D125" s="67"/>
      <c r="E125" s="159"/>
      <c r="F125" s="159"/>
      <c r="G125" s="67"/>
      <c r="H125" s="67"/>
      <c r="I125" s="67"/>
      <c r="J125" s="67"/>
      <c r="K125" s="67"/>
      <c r="L125" s="67">
        <v>0</v>
      </c>
      <c r="M125" s="67"/>
      <c r="N125" s="67"/>
      <c r="O125" s="67"/>
      <c r="P125" s="146"/>
      <c r="Q125" s="146"/>
      <c r="R125" s="146"/>
    </row>
    <row customHeight="1" ht="13.5">
      <c r="A126" s="297"/>
      <c r="B126" s="67"/>
      <c r="C126" s="67"/>
      <c r="D126" s="67"/>
      <c r="E126" s="159"/>
      <c r="F126" s="159"/>
      <c r="G126" s="67"/>
      <c r="H126" s="67"/>
      <c r="I126" s="67"/>
      <c r="J126" s="67"/>
      <c r="K126" s="67"/>
      <c r="L126" s="159"/>
      <c r="M126" s="67"/>
      <c r="N126" s="67"/>
      <c r="O126" s="67"/>
      <c r="P126" s="146"/>
      <c r="Q126" s="146"/>
      <c r="R126" s="146"/>
    </row>
    <row customHeight="1" ht="13.5">
      <c r="A127" s="297"/>
      <c r="B127" s="67"/>
      <c r="C127" s="67"/>
      <c r="D127" s="67"/>
      <c r="E127" s="67"/>
      <c r="F127" s="67"/>
      <c r="G127" s="67"/>
      <c r="H127" s="67"/>
      <c r="I127" s="67"/>
      <c r="J127" s="67"/>
      <c r="K127" s="67" t="s">
        <v>222</v>
      </c>
      <c r="L127" s="159"/>
      <c r="M127" s="67"/>
      <c r="N127" s="67"/>
      <c r="O127" s="67"/>
      <c r="P127" s="146"/>
      <c r="Q127" s="146"/>
      <c r="R127" s="146"/>
    </row>
    <row customHeight="1" ht="13.5">
      <c r="A128" s="297"/>
      <c r="B128" s="67"/>
      <c r="C128" s="67"/>
      <c r="D128" s="67"/>
      <c r="E128" s="159"/>
      <c r="F128" s="159"/>
      <c r="G128" s="67"/>
      <c r="H128" s="67"/>
      <c r="I128" s="67"/>
      <c r="J128" s="67"/>
      <c r="K128" s="159">
        <v>1632</v>
      </c>
      <c r="L128" s="159">
        <v>10912</v>
      </c>
      <c r="M128" s="67"/>
      <c r="N128" s="67"/>
      <c r="O128" s="67"/>
      <c r="P128" s="146"/>
      <c r="Q128" s="146"/>
      <c r="R128" s="146"/>
    </row>
    <row customHeight="1" ht="13.5">
      <c r="A129" s="297"/>
      <c r="B129" s="159"/>
      <c r="C129" s="67"/>
      <c r="D129" s="67"/>
      <c r="E129" s="159"/>
      <c r="F129" s="159"/>
      <c r="G129" s="67"/>
      <c r="H129" s="67"/>
      <c r="I129" s="67"/>
      <c r="J129" s="67"/>
      <c r="K129" s="67"/>
      <c r="L129" s="159"/>
      <c r="M129" s="67"/>
      <c r="N129" s="67"/>
      <c r="O129" s="67"/>
      <c r="P129" s="146"/>
      <c r="Q129" s="146"/>
      <c r="R129" s="146"/>
    </row>
    <row customHeight="1" ht="13.5">
      <c r="A130" s="297"/>
      <c r="B130" s="159"/>
      <c r="C130" s="67"/>
      <c r="D130" s="67"/>
      <c r="E130" s="159"/>
      <c r="F130" s="159"/>
      <c r="G130" s="67"/>
      <c r="H130" s="67"/>
      <c r="I130" s="67"/>
      <c r="J130" s="67"/>
      <c r="K130" s="67">
        <v>4870</v>
      </c>
      <c r="L130" s="159"/>
      <c r="M130" s="67"/>
      <c r="N130" s="67"/>
      <c r="O130" s="67"/>
      <c r="P130" s="146"/>
      <c r="Q130" s="146"/>
      <c r="R130" s="146"/>
    </row>
    <row customHeight="1" ht="13.5">
      <c r="A131" s="297"/>
      <c r="B131" s="67"/>
      <c r="C131" s="67"/>
      <c r="D131" s="67"/>
      <c r="E131" s="67"/>
      <c r="F131" s="67"/>
      <c r="G131" s="67"/>
      <c r="H131" s="67"/>
      <c r="I131" s="67"/>
      <c r="J131" s="67"/>
      <c r="K131" s="67">
        <v>0</v>
      </c>
      <c r="L131" s="67"/>
      <c r="M131" s="67"/>
      <c r="N131" s="67"/>
      <c r="O131" s="67"/>
      <c r="P131" s="146"/>
      <c r="Q131" s="146"/>
      <c r="R131" s="146"/>
    </row>
    <row customHeight="1" ht="13.5">
      <c r="A132" s="297"/>
      <c r="B132" s="67"/>
      <c r="C132" s="67"/>
      <c r="D132" s="67"/>
      <c r="E132" s="159"/>
      <c r="F132" s="159"/>
      <c r="G132" s="67"/>
      <c r="H132" s="67"/>
      <c r="I132" s="67"/>
      <c r="J132" s="67"/>
      <c r="K132" s="67">
        <v>0</v>
      </c>
      <c r="L132" s="159"/>
      <c r="M132" s="67"/>
      <c r="N132" s="67"/>
      <c r="O132" s="67"/>
      <c r="P132" s="146"/>
      <c r="Q132" s="146"/>
      <c r="R132" s="146"/>
    </row>
    <row customHeight="1" ht="13.5">
      <c r="A133" s="297"/>
      <c r="B133" s="67"/>
      <c r="C133" s="67"/>
      <c r="D133" s="67"/>
      <c r="E133" s="159"/>
      <c r="F133" s="159"/>
      <c r="G133" s="67"/>
      <c r="H133" s="67"/>
      <c r="I133" s="67"/>
      <c r="J133" s="67"/>
      <c r="K133" s="67"/>
      <c r="L133" s="67"/>
      <c r="M133" s="67"/>
      <c r="N133" s="67"/>
      <c r="O133" s="67"/>
      <c r="P133" s="146"/>
      <c r="Q133" s="146"/>
      <c r="R133" s="146"/>
    </row>
    <row customHeight="1" ht="13.5">
      <c r="A134" s="297"/>
      <c r="B134" s="67"/>
      <c r="C134" s="67"/>
      <c r="D134" s="67"/>
      <c r="E134" s="159">
        <v>603.42</v>
      </c>
      <c r="F134" s="159">
        <v>3562.92</v>
      </c>
      <c r="G134" s="67"/>
      <c r="H134" s="67"/>
      <c r="I134" s="67"/>
      <c r="J134" s="67"/>
      <c r="K134" s="67">
        <v>2435</v>
      </c>
      <c r="L134" s="159">
        <v>17000</v>
      </c>
      <c r="M134" s="67"/>
      <c r="N134" s="67"/>
      <c r="O134" s="67"/>
      <c r="P134" s="146"/>
      <c r="Q134" s="146"/>
      <c r="R134" s="146"/>
    </row>
    <row customHeight="1" ht="13.5">
      <c r="A135" s="297"/>
      <c r="B135" s="67"/>
      <c r="C135" s="67"/>
      <c r="D135" s="67"/>
      <c r="E135" s="159"/>
      <c r="F135" s="159"/>
      <c r="G135" s="67"/>
      <c r="H135" s="67"/>
      <c r="I135" s="67"/>
      <c r="J135" s="67"/>
      <c r="K135" s="67">
        <v>785</v>
      </c>
      <c r="L135" s="67">
        <v>5467</v>
      </c>
      <c r="M135" s="67"/>
      <c r="N135" s="67"/>
      <c r="O135" s="67"/>
      <c r="P135" s="146"/>
      <c r="Q135" s="146"/>
      <c r="R135" s="146"/>
    </row>
    <row customHeight="1" ht="13.5">
      <c r="A136" s="297"/>
      <c r="B136" s="67"/>
      <c r="C136" s="67"/>
      <c r="D136" s="67"/>
      <c r="E136" s="159">
        <v>75.06</v>
      </c>
      <c r="F136" s="159">
        <v>932.22</v>
      </c>
      <c r="G136" s="67"/>
      <c r="H136" s="67"/>
      <c r="I136" s="67"/>
      <c r="J136" s="67"/>
      <c r="K136" s="67">
        <v>373</v>
      </c>
      <c r="L136" s="159">
        <v>2647</v>
      </c>
      <c r="M136" s="67"/>
      <c r="N136" s="67"/>
      <c r="O136" s="67"/>
      <c r="P136" s="146"/>
      <c r="Q136" s="146"/>
      <c r="R136" s="146"/>
    </row>
    <row customHeight="1" ht="13.5">
      <c r="A137" s="297"/>
      <c r="B137" s="67"/>
      <c r="C137" s="67"/>
      <c r="D137" s="67"/>
      <c r="E137" s="159"/>
      <c r="F137" s="159"/>
      <c r="G137" s="67"/>
      <c r="H137" s="67"/>
      <c r="I137" s="67"/>
      <c r="J137" s="67"/>
      <c r="K137" s="67">
        <v>17</v>
      </c>
      <c r="L137" s="159">
        <v>112</v>
      </c>
      <c r="M137" s="67"/>
      <c r="N137" s="67"/>
      <c r="O137" s="67"/>
      <c r="P137" s="146"/>
      <c r="Q137" s="146"/>
      <c r="R137" s="146"/>
    </row>
    <row customHeight="1" ht="13.5">
      <c r="A138" s="297"/>
      <c r="B138" s="67"/>
      <c r="C138" s="67"/>
      <c r="D138" s="67"/>
      <c r="E138" s="159"/>
      <c r="F138" s="159"/>
      <c r="G138" s="67"/>
      <c r="H138" s="67"/>
      <c r="I138" s="67"/>
      <c r="J138" s="67"/>
      <c r="K138" s="67">
        <v>850</v>
      </c>
      <c r="L138" s="159">
        <v>4832</v>
      </c>
      <c r="M138" s="67"/>
      <c r="N138" s="67"/>
      <c r="O138" s="67"/>
      <c r="P138" s="146"/>
      <c r="Q138" s="146"/>
      <c r="R138" s="146"/>
    </row>
    <row customHeight="1" ht="13.5">
      <c r="A139" s="297"/>
      <c r="B139" s="67"/>
      <c r="C139" s="67"/>
      <c r="D139" s="67"/>
      <c r="E139" s="67"/>
      <c r="F139" s="67"/>
      <c r="G139" s="67"/>
      <c r="H139" s="67"/>
      <c r="I139" s="67"/>
      <c r="J139" s="67"/>
      <c r="K139" s="67">
        <v>4106</v>
      </c>
      <c r="L139" s="159">
        <v>28849</v>
      </c>
      <c r="M139" s="67"/>
      <c r="N139" s="67"/>
      <c r="O139" s="67"/>
      <c r="P139" s="146"/>
      <c r="Q139" s="146"/>
      <c r="R139" s="146"/>
    </row>
    <row customHeight="1" ht="13.5">
      <c r="A140" s="297"/>
      <c r="B140" s="67"/>
      <c r="C140" s="67"/>
      <c r="D140" s="67"/>
      <c r="E140" s="159">
        <v>0</v>
      </c>
      <c r="F140" s="159">
        <v>0</v>
      </c>
      <c r="G140" s="67"/>
      <c r="H140" s="67"/>
      <c r="I140" s="67"/>
      <c r="J140" s="67"/>
      <c r="K140" s="67">
        <v>371</v>
      </c>
      <c r="L140" s="159">
        <v>2019</v>
      </c>
      <c r="M140" s="67"/>
      <c r="N140" s="67"/>
      <c r="O140" s="67"/>
      <c r="P140" s="146"/>
      <c r="Q140" s="146"/>
      <c r="R140" s="146"/>
    </row>
    <row customHeight="1" ht="13.5">
      <c r="A141" s="29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159"/>
      <c r="M141" s="67"/>
      <c r="N141" s="67"/>
      <c r="O141" s="67"/>
      <c r="P141" s="146"/>
      <c r="Q141" s="146"/>
      <c r="R141" s="146"/>
    </row>
    <row customHeight="1" ht="13.5">
      <c r="A142" s="297"/>
      <c r="B142" s="67"/>
      <c r="C142" s="67"/>
      <c r="D142" s="67"/>
      <c r="E142" s="159">
        <v>163.82</v>
      </c>
      <c r="F142" s="159">
        <v>1571.54</v>
      </c>
      <c r="G142" s="67"/>
      <c r="H142" s="67"/>
      <c r="I142" s="67"/>
      <c r="J142" s="67"/>
      <c r="K142" s="67">
        <v>1785</v>
      </c>
      <c r="L142" s="159">
        <v>13439</v>
      </c>
      <c r="M142" s="67"/>
      <c r="N142" s="67"/>
      <c r="O142" s="67"/>
      <c r="P142" s="146"/>
      <c r="Q142" s="146"/>
      <c r="R142" s="146"/>
    </row>
    <row customHeight="1" ht="13.5">
      <c r="A143" s="297"/>
      <c r="B143" s="67"/>
      <c r="C143" s="67"/>
      <c r="D143" s="67"/>
      <c r="E143" s="67"/>
      <c r="F143" s="67"/>
      <c r="G143" s="67"/>
      <c r="H143" s="67"/>
      <c r="I143" s="67"/>
      <c r="J143" s="67"/>
      <c r="K143" s="67">
        <v>4620</v>
      </c>
      <c r="L143" s="159">
        <v>32365</v>
      </c>
      <c r="M143" s="67"/>
      <c r="N143" s="67"/>
      <c r="O143" s="67"/>
      <c r="P143" s="146"/>
      <c r="Q143" s="146"/>
      <c r="R143" s="146"/>
    </row>
    <row customHeight="1" ht="13.5">
      <c r="A144" s="297"/>
      <c r="B144" s="67"/>
      <c r="C144" s="67"/>
      <c r="D144" s="67"/>
      <c r="E144" s="159">
        <v>196.02</v>
      </c>
      <c r="F144" s="159">
        <v>1263.62</v>
      </c>
      <c r="G144" s="67"/>
      <c r="H144" s="67"/>
      <c r="I144" s="67"/>
      <c r="J144" s="67"/>
      <c r="K144" s="67"/>
      <c r="L144" s="159"/>
      <c r="M144" s="67"/>
      <c r="N144" s="67"/>
      <c r="O144" s="67"/>
      <c r="P144" s="146"/>
      <c r="Q144" s="146"/>
      <c r="R144" s="146"/>
    </row>
    <row customHeight="1" ht="13.5">
      <c r="A145" s="29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159"/>
      <c r="M145" s="67"/>
      <c r="N145" s="67"/>
      <c r="O145" s="67"/>
      <c r="P145" s="146"/>
      <c r="Q145" s="146"/>
      <c r="R145" s="146"/>
    </row>
    <row customHeight="1" ht="13.5">
      <c r="A146" s="297"/>
      <c r="B146" s="67"/>
      <c r="C146" s="67"/>
      <c r="D146" s="67"/>
      <c r="E146" s="159">
        <v>95.22</v>
      </c>
      <c r="F146" s="159">
        <v>765.34</v>
      </c>
      <c r="G146" s="67"/>
      <c r="H146" s="67"/>
      <c r="I146" s="67"/>
      <c r="J146" s="67"/>
      <c r="K146" s="67"/>
      <c r="L146" s="67"/>
      <c r="M146" s="67"/>
      <c r="N146" s="67"/>
      <c r="O146" s="67"/>
      <c r="P146" s="146"/>
      <c r="Q146" s="146"/>
      <c r="R146" s="146"/>
    </row>
    <row customHeight="1" ht="13.5">
      <c r="A147" s="297"/>
      <c r="B147" s="67"/>
      <c r="C147" s="67"/>
      <c r="D147" s="67"/>
      <c r="E147" s="159"/>
      <c r="F147" s="159"/>
      <c r="G147" s="67"/>
      <c r="H147" s="67"/>
      <c r="I147" s="67"/>
      <c r="J147" s="67"/>
      <c r="K147" s="67"/>
      <c r="L147" s="67"/>
      <c r="M147" s="67"/>
      <c r="N147" s="67"/>
      <c r="O147" s="67"/>
      <c r="P147" s="146"/>
      <c r="Q147" s="146"/>
      <c r="R147" s="146"/>
    </row>
    <row customHeight="1" ht="13.5">
      <c r="A148" s="297"/>
      <c r="B148" s="67"/>
      <c r="C148" s="67"/>
      <c r="D148" s="67"/>
      <c r="E148" s="159">
        <v>0</v>
      </c>
      <c r="F148" s="159">
        <v>0</v>
      </c>
      <c r="G148" s="67"/>
      <c r="H148" s="67"/>
      <c r="I148" s="67"/>
      <c r="J148" s="67"/>
      <c r="K148" s="67"/>
      <c r="L148" s="67"/>
      <c r="M148" s="67"/>
      <c r="N148" s="67"/>
      <c r="O148" s="67"/>
      <c r="P148" s="146"/>
      <c r="Q148" s="146"/>
      <c r="R148" s="146"/>
    </row>
    <row customHeight="1" ht="13.5">
      <c r="A149" s="297"/>
      <c r="B149" s="67"/>
      <c r="C149" s="67"/>
      <c r="D149" s="67"/>
      <c r="E149" s="159"/>
      <c r="F149" s="159"/>
      <c r="G149" s="67"/>
      <c r="H149" s="67"/>
      <c r="I149" s="67"/>
      <c r="J149" s="67"/>
      <c r="K149" s="67"/>
      <c r="L149" s="67"/>
      <c r="M149" s="67"/>
      <c r="N149" s="67"/>
      <c r="O149" s="67"/>
      <c r="P149" s="146"/>
      <c r="Q149" s="146"/>
      <c r="R149" s="146"/>
    </row>
    <row customHeight="1" ht="13.5">
      <c r="A150" s="29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146"/>
      <c r="Q150" s="146"/>
      <c r="R150" s="146"/>
    </row>
    <row customHeight="1" ht="14.25">
      <c r="A151" s="297"/>
      <c r="B151" s="67"/>
      <c r="C151" s="67"/>
      <c r="D151" s="67"/>
      <c r="E151" s="67">
        <v>0</v>
      </c>
      <c r="F151" s="67">
        <v>0</v>
      </c>
      <c r="G151" s="67"/>
      <c r="H151" s="67"/>
      <c r="I151" s="67"/>
      <c r="J151" s="67"/>
      <c r="K151" s="67"/>
      <c r="L151" s="67"/>
      <c r="M151" s="67"/>
      <c r="N151" s="67"/>
      <c r="O151" s="67"/>
      <c r="P151" s="146"/>
      <c r="Q151" s="146"/>
      <c r="R151" s="146"/>
    </row>
    <row customHeight="1" ht="12.75">
      <c r="A152" s="297"/>
      <c r="B152" s="67"/>
      <c r="C152" s="67"/>
      <c r="D152" s="67"/>
      <c r="E152" s="67">
        <v>94</v>
      </c>
      <c r="F152" s="67">
        <v>561</v>
      </c>
      <c r="G152" s="67"/>
      <c r="H152" s="67"/>
      <c r="I152" s="67"/>
      <c r="J152" s="67"/>
      <c r="K152" s="67"/>
      <c r="L152" s="67"/>
      <c r="M152" s="67"/>
      <c r="N152" s="67"/>
      <c r="O152" s="67"/>
      <c r="P152" s="146"/>
      <c r="Q152" s="146"/>
      <c r="R152" s="146"/>
    </row>
    <row customHeight="1" ht="13.5">
      <c r="A153" s="29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146"/>
      <c r="Q153" s="146"/>
      <c r="R153" s="146"/>
    </row>
    <row customHeight="1" ht="13.5">
      <c r="A154" s="297"/>
      <c r="B154" s="67"/>
      <c r="C154" s="67"/>
      <c r="D154" s="67"/>
      <c r="E154" s="159"/>
      <c r="F154" s="67"/>
      <c r="G154" s="67"/>
      <c r="H154" s="67"/>
      <c r="I154" s="67"/>
      <c r="J154" s="67"/>
      <c r="K154" s="67"/>
      <c r="L154" s="159"/>
      <c r="M154" s="67"/>
      <c r="N154" s="67"/>
      <c r="O154" s="67"/>
      <c r="P154" s="146"/>
      <c r="Q154" s="146"/>
      <c r="R154" s="146"/>
    </row>
    <row customHeight="1" ht="13.5">
      <c r="A155" s="29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146"/>
      <c r="Q155" s="146"/>
      <c r="R155" s="146"/>
    </row>
    <row customHeight="1" ht="13.5">
      <c r="A156" s="297"/>
      <c r="B156" s="67"/>
      <c r="C156" s="67"/>
      <c r="D156" s="67"/>
      <c r="E156" s="159"/>
      <c r="F156" s="67"/>
      <c r="G156" s="67"/>
      <c r="H156" s="67"/>
      <c r="I156" s="67"/>
      <c r="J156" s="67"/>
      <c r="K156" s="67"/>
      <c r="L156" s="159"/>
      <c r="M156" s="67"/>
      <c r="N156" s="67"/>
      <c r="O156" s="67"/>
      <c r="P156" s="146"/>
      <c r="Q156" s="146"/>
      <c r="R156" s="146"/>
    </row>
    <row customHeight="1" ht="13.5">
      <c r="A157" s="297"/>
      <c r="B157" s="67"/>
      <c r="C157" s="67"/>
      <c r="D157" s="67"/>
      <c r="E157" s="67" t="s">
        <v>215</v>
      </c>
      <c r="F157" s="67"/>
      <c r="G157" s="67"/>
      <c r="H157" s="67"/>
      <c r="I157" s="67"/>
      <c r="J157" s="67"/>
      <c r="K157" s="67"/>
      <c r="L157" s="159"/>
      <c r="M157" s="67"/>
      <c r="N157" s="67"/>
      <c r="O157" s="67"/>
      <c r="P157" s="146"/>
      <c r="Q157" s="146"/>
      <c r="R157" s="146"/>
    </row>
    <row customHeight="1" ht="13.5">
      <c r="A158" s="297"/>
      <c r="B158" s="67"/>
      <c r="C158" s="67"/>
      <c r="D158" s="67"/>
      <c r="E158" s="159">
        <v>1632</v>
      </c>
      <c r="F158" s="159">
        <v>10912</v>
      </c>
      <c r="G158" s="67"/>
      <c r="H158" s="67"/>
      <c r="I158" s="67"/>
      <c r="J158" s="67"/>
      <c r="K158" s="67"/>
      <c r="L158" s="159"/>
      <c r="M158" s="67"/>
      <c r="N158" s="67"/>
      <c r="O158" s="67"/>
      <c r="P158" s="146"/>
      <c r="Q158" s="146"/>
      <c r="R158" s="146"/>
    </row>
    <row customHeight="1" ht="13.5">
      <c r="A159" s="297"/>
      <c r="B159" s="67"/>
      <c r="C159" s="67"/>
      <c r="D159" s="67"/>
      <c r="E159" s="67" t="s">
        <v>223</v>
      </c>
      <c r="F159" s="67"/>
      <c r="G159" s="67"/>
      <c r="H159" s="67"/>
      <c r="I159" s="67"/>
      <c r="J159" s="67"/>
      <c r="K159" s="67"/>
      <c r="L159" s="159"/>
      <c r="M159" s="67"/>
      <c r="N159" s="67"/>
      <c r="O159" s="67"/>
      <c r="P159" s="146"/>
      <c r="Q159" s="146"/>
      <c r="R159" s="146"/>
    </row>
    <row customHeight="1" ht="13.5">
      <c r="A160" s="297"/>
      <c r="B160" s="67"/>
      <c r="C160" s="67"/>
      <c r="D160" s="67"/>
      <c r="E160" s="159">
        <v>4106</v>
      </c>
      <c r="F160" s="159">
        <v>29162</v>
      </c>
      <c r="G160" s="67"/>
      <c r="H160" s="67"/>
      <c r="I160" s="67"/>
      <c r="J160" s="67"/>
      <c r="K160" s="67"/>
      <c r="L160" s="67"/>
      <c r="M160" s="67"/>
      <c r="N160" s="67"/>
      <c r="O160" s="67"/>
      <c r="P160" s="146"/>
      <c r="Q160" s="146"/>
      <c r="R160" s="146"/>
    </row>
    <row customHeight="1" ht="13.5">
      <c r="A161" s="297"/>
      <c r="B161" s="67"/>
      <c r="C161" s="67"/>
      <c r="D161" s="67"/>
      <c r="E161" s="67" t="s">
        <v>224</v>
      </c>
      <c r="F161" s="67"/>
      <c r="G161" s="67"/>
      <c r="H161" s="67"/>
      <c r="I161" s="67"/>
      <c r="J161" s="67"/>
      <c r="K161" s="67"/>
      <c r="L161" s="159"/>
      <c r="M161" s="67"/>
      <c r="N161" s="67"/>
      <c r="O161" s="67"/>
      <c r="P161" s="146"/>
      <c r="Q161" s="146"/>
      <c r="R161" s="146"/>
    </row>
    <row customHeight="1" ht="13.5">
      <c r="A162" s="297"/>
      <c r="B162" s="67"/>
      <c r="C162" s="67"/>
      <c r="D162" s="67"/>
      <c r="E162" s="159">
        <v>4870</v>
      </c>
      <c r="F162" s="159">
        <v>34344</v>
      </c>
      <c r="G162" s="67"/>
      <c r="H162" s="67"/>
      <c r="I162" s="67"/>
      <c r="J162" s="67"/>
      <c r="K162" s="67"/>
      <c r="L162" s="159"/>
      <c r="M162" s="67"/>
      <c r="N162" s="67"/>
      <c r="O162" s="67"/>
      <c r="P162" s="146"/>
      <c r="Q162" s="146"/>
      <c r="R162" s="146"/>
    </row>
    <row customHeight="1" ht="13.5">
      <c r="A163" s="297"/>
      <c r="B163" s="67"/>
      <c r="C163" s="67"/>
      <c r="D163" s="67"/>
      <c r="E163" s="67" t="s">
        <v>225</v>
      </c>
      <c r="F163" s="67"/>
      <c r="G163" s="67"/>
      <c r="H163" s="67"/>
      <c r="I163" s="67"/>
      <c r="J163" s="67"/>
      <c r="K163" s="67"/>
      <c r="L163" s="159"/>
      <c r="M163" s="67"/>
      <c r="N163" s="67"/>
      <c r="O163" s="67"/>
      <c r="P163" s="146"/>
      <c r="Q163" s="146"/>
      <c r="R163" s="146"/>
    </row>
    <row customHeight="1" ht="13.5">
      <c r="A164" s="297"/>
      <c r="B164" s="67"/>
      <c r="C164" s="67"/>
      <c r="D164" s="67"/>
      <c r="E164" s="159"/>
      <c r="F164" s="159"/>
      <c r="G164" s="67"/>
      <c r="H164" s="67"/>
      <c r="I164" s="67"/>
      <c r="J164" s="67"/>
      <c r="K164" s="67"/>
      <c r="L164" s="159"/>
      <c r="M164" s="67"/>
      <c r="N164" s="67"/>
      <c r="O164" s="67"/>
      <c r="P164" s="146"/>
      <c r="Q164" s="146"/>
      <c r="R164" s="146"/>
    </row>
    <row customHeight="1" ht="13.5">
      <c r="A165" s="29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159"/>
      <c r="M165" s="67"/>
      <c r="N165" s="67"/>
      <c r="O165" s="67"/>
      <c r="P165" s="146"/>
      <c r="Q165" s="146"/>
      <c r="R165" s="146"/>
    </row>
    <row customHeight="1" ht="13.5">
      <c r="A166" s="297"/>
      <c r="B166" s="67"/>
      <c r="C166" s="67"/>
      <c r="D166" s="67"/>
      <c r="E166" s="159">
        <v>13179</v>
      </c>
      <c r="F166" s="159">
        <v>57060</v>
      </c>
      <c r="G166" s="67"/>
      <c r="H166" s="67"/>
      <c r="I166" s="67"/>
      <c r="J166" s="67"/>
      <c r="K166" s="67"/>
      <c r="L166" s="159"/>
      <c r="M166" s="67"/>
      <c r="N166" s="67"/>
      <c r="O166" s="67"/>
      <c r="P166" s="146"/>
      <c r="Q166" s="146"/>
      <c r="R166" s="146"/>
    </row>
    <row customHeight="1" ht="13.5">
      <c r="A167" s="297"/>
      <c r="B167" s="67"/>
      <c r="C167" s="67"/>
      <c r="D167" s="67"/>
      <c r="E167" s="159"/>
      <c r="F167" s="159"/>
      <c r="G167" s="67"/>
      <c r="H167" s="67"/>
      <c r="I167" s="67"/>
      <c r="J167" s="67"/>
      <c r="K167" s="67"/>
      <c r="L167" s="159"/>
      <c r="M167" s="67"/>
      <c r="N167" s="67"/>
      <c r="O167" s="67"/>
      <c r="P167" s="146"/>
      <c r="Q167" s="146"/>
      <c r="R167" s="146"/>
    </row>
    <row customHeight="1" ht="13.5">
      <c r="A168" s="297"/>
      <c r="B168" s="67"/>
      <c r="C168" s="67"/>
      <c r="D168" s="67"/>
      <c r="E168" s="159"/>
      <c r="F168" s="159"/>
      <c r="G168" s="67"/>
      <c r="H168" s="67"/>
      <c r="I168" s="67"/>
      <c r="J168" s="67"/>
      <c r="K168" s="67"/>
      <c r="L168" s="159"/>
      <c r="M168" s="67"/>
      <c r="N168" s="67"/>
      <c r="O168" s="67"/>
      <c r="P168" s="146"/>
      <c r="Q168" s="146"/>
      <c r="R168" s="146"/>
    </row>
    <row customHeight="1" ht="13.5">
      <c r="A169" s="297"/>
      <c r="B169" s="67"/>
      <c r="C169" s="67"/>
      <c r="D169" s="67"/>
      <c r="E169" s="159"/>
      <c r="F169" s="159"/>
      <c r="G169" s="67"/>
      <c r="H169" s="67"/>
      <c r="I169" s="67"/>
      <c r="J169" s="67"/>
      <c r="K169" s="67"/>
      <c r="L169" s="159"/>
      <c r="M169" s="67"/>
      <c r="N169" s="67"/>
      <c r="O169" s="67"/>
      <c r="P169" s="146"/>
      <c r="Q169" s="146"/>
      <c r="R169" s="146"/>
    </row>
    <row customHeight="1" ht="13.5">
      <c r="A170" s="297"/>
      <c r="B170" s="67"/>
      <c r="C170" s="67"/>
      <c r="D170" s="67"/>
      <c r="E170" s="159"/>
      <c r="F170" s="159"/>
      <c r="G170" s="67"/>
      <c r="H170" s="67"/>
      <c r="I170" s="67"/>
      <c r="J170" s="67"/>
      <c r="K170" s="67"/>
      <c r="L170" s="159"/>
      <c r="M170" s="67"/>
      <c r="N170" s="67"/>
      <c r="O170" s="67"/>
      <c r="P170" s="146"/>
      <c r="Q170" s="146"/>
      <c r="R170" s="146"/>
    </row>
    <row customHeight="1" ht="13.5">
      <c r="A171" s="297"/>
      <c r="B171" s="67"/>
      <c r="C171" s="67"/>
      <c r="D171" s="67"/>
      <c r="E171" s="159"/>
      <c r="F171" s="159"/>
      <c r="G171" s="67"/>
      <c r="H171" s="67"/>
      <c r="I171" s="67"/>
      <c r="J171" s="67"/>
      <c r="K171" s="67"/>
      <c r="L171" s="159"/>
      <c r="M171" s="67"/>
      <c r="N171" s="67"/>
      <c r="O171" s="67"/>
      <c r="P171" s="146"/>
      <c r="Q171" s="146"/>
      <c r="R171" s="146"/>
    </row>
    <row customHeight="1" ht="13.5">
      <c r="A172" s="297"/>
      <c r="B172" s="67"/>
      <c r="C172" s="67"/>
      <c r="D172" s="67"/>
      <c r="E172" s="159"/>
      <c r="F172" s="159"/>
      <c r="G172" s="67"/>
      <c r="H172" s="67"/>
      <c r="I172" s="67"/>
      <c r="J172" s="67"/>
      <c r="K172" s="67"/>
      <c r="L172" s="159"/>
      <c r="M172" s="67"/>
      <c r="N172" s="67"/>
      <c r="O172" s="67"/>
      <c r="P172" s="146"/>
      <c r="Q172" s="146"/>
      <c r="R172" s="146"/>
    </row>
    <row customHeight="1" ht="13.5">
      <c r="A173" s="297"/>
      <c r="B173" s="67"/>
      <c r="C173" s="67"/>
      <c r="D173" s="67"/>
      <c r="E173" s="159"/>
      <c r="F173" s="159"/>
      <c r="G173" s="67"/>
      <c r="H173" s="67"/>
      <c r="I173" s="67"/>
      <c r="J173" s="67"/>
      <c r="K173" s="67"/>
      <c r="L173" s="159"/>
      <c r="M173" s="67"/>
      <c r="N173" s="67"/>
      <c r="O173" s="67"/>
      <c r="P173" s="146"/>
      <c r="Q173" s="146"/>
      <c r="R173" s="146"/>
    </row>
    <row customHeight="1" ht="13.5">
      <c r="A174" s="297"/>
      <c r="B174" s="67"/>
      <c r="C174" s="67"/>
      <c r="D174" s="67"/>
      <c r="E174" s="159"/>
      <c r="F174" s="159"/>
      <c r="G174" s="67"/>
      <c r="H174" s="67"/>
      <c r="I174" s="67"/>
      <c r="J174" s="67"/>
      <c r="K174" s="67"/>
      <c r="L174" s="159"/>
      <c r="M174" s="67"/>
      <c r="N174" s="67"/>
      <c r="O174" s="67"/>
      <c r="P174" s="146"/>
      <c r="Q174" s="146"/>
      <c r="R174" s="146"/>
    </row>
    <row customHeight="1" ht="13.5">
      <c r="A175" s="29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159"/>
      <c r="M175" s="67"/>
      <c r="N175" s="67"/>
      <c r="O175" s="67"/>
      <c r="P175" s="146"/>
      <c r="Q175" s="146"/>
      <c r="R175" s="146"/>
    </row>
    <row customHeight="1" ht="13.5">
      <c r="A176" s="29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159"/>
      <c r="M176" s="67"/>
      <c r="N176" s="67"/>
      <c r="O176" s="67"/>
      <c r="P176" s="146"/>
      <c r="Q176" s="146"/>
      <c r="R176" s="146"/>
    </row>
    <row customHeight="1" ht="13.5">
      <c r="A177" s="297"/>
      <c r="B177" s="67"/>
      <c r="C177" s="67"/>
      <c r="D177" s="67"/>
      <c r="E177" s="159">
        <v>3452</v>
      </c>
      <c r="F177" s="159">
        <v>43190</v>
      </c>
      <c r="G177" s="67"/>
      <c r="H177" s="67"/>
      <c r="I177" s="67"/>
      <c r="J177" s="67"/>
      <c r="K177" s="67"/>
      <c r="L177" s="159"/>
      <c r="M177" s="67"/>
      <c r="N177" s="67"/>
      <c r="O177" s="67"/>
      <c r="P177" s="146"/>
      <c r="Q177" s="146"/>
      <c r="R177" s="146"/>
    </row>
    <row customHeight="1" ht="13.5">
      <c r="A178" s="297"/>
      <c r="B178" s="67"/>
      <c r="C178" s="67"/>
      <c r="D178" s="67"/>
      <c r="E178" s="159"/>
      <c r="F178" s="159"/>
      <c r="G178" s="67"/>
      <c r="H178" s="67"/>
      <c r="I178" s="67"/>
      <c r="J178" s="67"/>
      <c r="K178" s="67"/>
      <c r="L178" s="159"/>
      <c r="M178" s="67"/>
      <c r="N178" s="67"/>
      <c r="O178" s="67"/>
      <c r="P178" s="146"/>
      <c r="Q178" s="146"/>
      <c r="R178" s="146"/>
    </row>
    <row customHeight="1" ht="13.5">
      <c r="A179" s="297"/>
      <c r="B179" s="67"/>
      <c r="C179" s="67"/>
      <c r="D179" s="67"/>
      <c r="E179" s="159"/>
      <c r="F179" s="159"/>
      <c r="G179" s="67"/>
      <c r="H179" s="67"/>
      <c r="I179" s="67"/>
      <c r="J179" s="67"/>
      <c r="K179" s="67"/>
      <c r="L179" s="67"/>
      <c r="M179" s="67"/>
      <c r="N179" s="67"/>
      <c r="O179" s="67"/>
      <c r="P179" s="146"/>
      <c r="Q179" s="146"/>
      <c r="R179" s="146"/>
    </row>
    <row customHeight="1" ht="13.5">
      <c r="A180" s="297"/>
      <c r="B180" s="67"/>
      <c r="C180" s="67"/>
      <c r="D180" s="67"/>
      <c r="E180" s="159"/>
      <c r="F180" s="159"/>
      <c r="G180" s="67"/>
      <c r="H180" s="67"/>
      <c r="I180" s="67"/>
      <c r="J180" s="67"/>
      <c r="K180" s="67"/>
      <c r="L180" s="67"/>
      <c r="M180" s="67"/>
      <c r="N180" s="67"/>
      <c r="O180" s="67"/>
      <c r="P180" s="146"/>
      <c r="Q180" s="146"/>
      <c r="R180" s="146"/>
    </row>
    <row customHeight="1" ht="13.5">
      <c r="A181" s="297"/>
      <c r="B181" s="67"/>
      <c r="C181" s="67"/>
      <c r="D181" s="67"/>
      <c r="E181" s="159"/>
      <c r="F181" s="159"/>
      <c r="G181" s="67"/>
      <c r="H181" s="67"/>
      <c r="I181" s="67"/>
      <c r="J181" s="67"/>
      <c r="K181" s="67"/>
      <c r="L181" s="67"/>
      <c r="M181" s="67"/>
      <c r="N181" s="67"/>
      <c r="O181" s="67"/>
      <c r="P181" s="146"/>
      <c r="Q181" s="146"/>
      <c r="R181" s="146"/>
    </row>
    <row customHeight="1" ht="13.5">
      <c r="A182" s="297"/>
      <c r="B182" s="67"/>
      <c r="C182" s="67"/>
      <c r="D182" s="67"/>
      <c r="E182" s="159"/>
      <c r="F182" s="159"/>
      <c r="G182" s="67"/>
      <c r="H182" s="67"/>
      <c r="I182" s="67"/>
      <c r="J182" s="67"/>
      <c r="K182" s="67"/>
      <c r="L182" s="67"/>
      <c r="M182" s="67"/>
      <c r="N182" s="67"/>
      <c r="O182" s="67"/>
      <c r="P182" s="392"/>
      <c r="Q182" s="392"/>
      <c r="R182" s="392"/>
    </row>
    <row customHeight="1" ht="13.5">
      <c r="A183" s="297"/>
      <c r="B183" s="67"/>
      <c r="C183" s="67"/>
      <c r="D183" s="67"/>
      <c r="E183" s="159"/>
      <c r="F183" s="159"/>
      <c r="G183" s="67"/>
      <c r="H183" s="67"/>
      <c r="I183" s="67"/>
      <c r="J183" s="67"/>
      <c r="K183" s="67"/>
      <c r="L183" s="67"/>
      <c r="M183" s="67"/>
      <c r="N183" s="67"/>
      <c r="O183" s="67"/>
      <c r="P183" s="392"/>
      <c r="Q183" s="392"/>
      <c r="R183" s="392"/>
    </row>
    <row customHeight="1" ht="13.5">
      <c r="A184" s="297"/>
      <c r="B184" s="67"/>
      <c r="C184" s="67"/>
      <c r="D184" s="67"/>
      <c r="E184" s="159"/>
      <c r="F184" s="159"/>
      <c r="G184" s="67"/>
      <c r="H184" s="67"/>
      <c r="I184" s="67"/>
      <c r="J184" s="67"/>
      <c r="K184" s="67"/>
      <c r="L184" s="67"/>
      <c r="M184" s="67"/>
      <c r="N184" s="67"/>
      <c r="O184" s="67"/>
      <c r="P184" s="392"/>
      <c r="Q184" s="392"/>
      <c r="R184" s="392"/>
    </row>
    <row customHeight="1" ht="13.5">
      <c r="A185" s="297"/>
      <c r="B185" s="67"/>
      <c r="C185" s="67"/>
      <c r="D185" s="67"/>
      <c r="E185" s="159"/>
      <c r="F185" s="159"/>
      <c r="G185" s="67"/>
      <c r="H185" s="67"/>
      <c r="I185" s="67"/>
      <c r="J185" s="67"/>
      <c r="K185" s="67"/>
      <c r="L185" s="67"/>
      <c r="M185" s="67"/>
      <c r="N185" s="67"/>
      <c r="O185" s="67"/>
      <c r="P185" s="392"/>
      <c r="Q185" s="392"/>
      <c r="R185" s="392"/>
    </row>
    <row customHeight="1" ht="13.5">
      <c r="A186" s="297"/>
      <c r="B186" s="67"/>
      <c r="C186" s="67"/>
      <c r="D186" s="67"/>
      <c r="E186" s="159"/>
      <c r="F186" s="159"/>
      <c r="G186" s="67"/>
      <c r="H186" s="67"/>
      <c r="I186" s="67"/>
      <c r="J186" s="67"/>
      <c r="K186" s="67"/>
      <c r="L186" s="67"/>
      <c r="M186" s="67"/>
      <c r="N186" s="67"/>
      <c r="O186" s="67"/>
      <c r="P186" s="392"/>
      <c r="Q186" s="392"/>
      <c r="R186" s="392"/>
    </row>
    <row customHeight="1" ht="13.5">
      <c r="A187" s="29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392"/>
      <c r="Q187" s="392"/>
      <c r="R187" s="392"/>
    </row>
    <row customHeight="1" ht="13.5">
      <c r="A188" s="297"/>
      <c r="B188" s="67"/>
      <c r="C188" s="67"/>
      <c r="D188" s="67"/>
      <c r="E188" s="252">
        <v>1271</v>
      </c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392"/>
      <c r="Q188" s="392"/>
      <c r="R188" s="392"/>
    </row>
    <row customHeight="1" ht="13.5">
      <c r="A189" s="297"/>
      <c r="B189" s="67"/>
      <c r="C189" s="67"/>
      <c r="D189" s="67"/>
      <c r="E189" s="252">
        <v>0</v>
      </c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392"/>
      <c r="Q189" s="392"/>
      <c r="R189" s="392"/>
    </row>
    <row customHeight="1" ht="13.5">
      <c r="A190" s="297"/>
      <c r="B190" s="67"/>
      <c r="C190" s="67"/>
      <c r="D190" s="67"/>
      <c r="E190" s="159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392"/>
      <c r="Q190" s="392"/>
      <c r="R190" s="392"/>
    </row>
    <row customHeight="1" ht="13.5">
      <c r="A191" s="29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392"/>
      <c r="Q191" s="392"/>
      <c r="R191" s="392"/>
    </row>
    <row customHeight="1" ht="13.5">
      <c r="A192" s="297"/>
      <c r="B192" s="67"/>
      <c r="C192" s="67"/>
      <c r="D192" s="67"/>
      <c r="E192" s="433">
        <v>3452</v>
      </c>
      <c r="F192" s="408">
        <v>43190</v>
      </c>
      <c r="G192" s="67"/>
      <c r="H192" s="67"/>
      <c r="I192" s="67"/>
      <c r="J192" s="67"/>
      <c r="K192" s="67"/>
      <c r="L192" s="67"/>
      <c r="M192" s="67"/>
      <c r="N192" s="67"/>
      <c r="O192" s="67"/>
      <c r="P192" s="392"/>
      <c r="Q192" s="392"/>
      <c r="R192" s="392"/>
    </row>
    <row customHeight="1" ht="13.5">
      <c r="A193" s="297"/>
      <c r="B193" s="67"/>
      <c r="C193" s="67"/>
      <c r="D193" s="67"/>
      <c r="E193" s="67"/>
      <c r="F193" s="408"/>
      <c r="G193" s="67"/>
      <c r="H193" s="67"/>
      <c r="I193" s="67"/>
      <c r="J193" s="67"/>
      <c r="K193" s="67"/>
      <c r="L193" s="67"/>
      <c r="M193" s="67"/>
      <c r="N193" s="67"/>
      <c r="O193" s="67"/>
      <c r="P193" s="392"/>
      <c r="Q193" s="392"/>
      <c r="R193" s="392"/>
    </row>
    <row customHeight="1" ht="13.5">
      <c r="A194" s="297"/>
      <c r="B194" s="67"/>
      <c r="C194" s="67"/>
      <c r="D194" s="67"/>
      <c r="E194" s="67"/>
      <c r="F194" s="408"/>
      <c r="G194" s="67"/>
      <c r="H194" s="67"/>
      <c r="I194" s="67"/>
      <c r="J194" s="67"/>
      <c r="K194" s="67"/>
      <c r="L194" s="67"/>
      <c r="M194" s="67"/>
      <c r="N194" s="67"/>
      <c r="O194" s="67"/>
      <c r="P194" s="392"/>
      <c r="Q194" s="392"/>
      <c r="R194" s="392"/>
    </row>
    <row customHeight="1" ht="13.5">
      <c r="A195" s="29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392"/>
      <c r="Q195" s="392"/>
      <c r="R195" s="392"/>
    </row>
    <row customHeight="1" ht="13.5">
      <c r="A196" s="297"/>
      <c r="B196" s="67"/>
      <c r="C196" s="67"/>
      <c r="D196" s="67"/>
      <c r="E196" s="408">
        <v>0</v>
      </c>
      <c r="F196" s="408">
        <v>0</v>
      </c>
      <c r="G196" s="67"/>
      <c r="H196" s="67"/>
      <c r="I196" s="67"/>
      <c r="J196" s="67"/>
      <c r="K196" s="67"/>
      <c r="L196" s="67"/>
      <c r="M196" s="67"/>
      <c r="N196" s="67"/>
      <c r="O196" s="67"/>
      <c r="P196" s="392"/>
      <c r="Q196" s="392"/>
      <c r="R196" s="392"/>
    </row>
    <row customHeight="1" ht="13.5">
      <c r="A197" s="297"/>
      <c r="B197" s="67"/>
      <c r="C197" s="67"/>
      <c r="D197" s="67"/>
      <c r="E197" s="408"/>
      <c r="F197" s="408"/>
      <c r="G197" s="67"/>
      <c r="H197" s="67"/>
      <c r="I197" s="67"/>
      <c r="J197" s="67"/>
      <c r="K197" s="67"/>
      <c r="L197" s="67"/>
      <c r="M197" s="67"/>
      <c r="N197" s="67"/>
      <c r="O197" s="67"/>
      <c r="P197" s="392"/>
      <c r="Q197" s="392"/>
      <c r="R197" s="392"/>
    </row>
    <row customHeight="1" ht="13.5">
      <c r="A198" s="297"/>
      <c r="B198" s="67"/>
      <c r="C198" s="67"/>
      <c r="D198" s="67"/>
      <c r="E198" s="408"/>
      <c r="F198" s="408"/>
      <c r="G198" s="67"/>
      <c r="H198" s="67"/>
      <c r="I198" s="67"/>
      <c r="J198" s="67"/>
      <c r="K198" s="67"/>
      <c r="L198" s="67"/>
      <c r="M198" s="67"/>
      <c r="N198" s="67"/>
      <c r="O198" s="67"/>
      <c r="P198" s="392"/>
      <c r="Q198" s="392"/>
      <c r="R198" s="392"/>
    </row>
    <row customHeight="1" ht="13.5">
      <c r="A199" s="29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392"/>
      <c r="Q199" s="392"/>
      <c r="R199" s="392"/>
    </row>
    <row customHeight="1" ht="13.5">
      <c r="A200" s="297"/>
      <c r="B200" s="67"/>
      <c r="C200" s="67"/>
      <c r="D200" s="67"/>
      <c r="E200" s="408"/>
      <c r="F200" s="408"/>
      <c r="G200" s="67"/>
      <c r="H200" s="67"/>
      <c r="I200" s="67"/>
      <c r="J200" s="67"/>
      <c r="K200" s="67"/>
      <c r="L200" s="67"/>
      <c r="M200" s="67"/>
      <c r="N200" s="67"/>
      <c r="O200" s="67"/>
      <c r="P200" s="392"/>
      <c r="Q200" s="392"/>
      <c r="R200" s="392"/>
    </row>
    <row customHeight="1" ht="13.5">
      <c r="A201" s="297"/>
      <c r="B201" s="67"/>
      <c r="C201" s="67"/>
      <c r="D201" s="67"/>
      <c r="E201" s="408"/>
      <c r="F201" s="408"/>
      <c r="G201" s="67"/>
      <c r="H201" s="67"/>
      <c r="I201" s="67"/>
      <c r="J201" s="67"/>
      <c r="K201" s="67"/>
      <c r="L201" s="67"/>
      <c r="M201" s="67"/>
      <c r="N201" s="67"/>
      <c r="O201" s="67"/>
      <c r="P201" s="392"/>
      <c r="Q201" s="392"/>
      <c r="R201" s="392"/>
    </row>
  </sheetData>
  <mergeCells count="70">
    <mergeCell ref="B1:O1"/>
    <mergeCell ref="C2:D2"/>
    <mergeCell ref="N2:O2"/>
    <mergeCell ref="E3:F3"/>
    <mergeCell ref="G3:H3"/>
    <mergeCell ref="I3:J3"/>
    <mergeCell ref="K3:L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D15:O15"/>
    <mergeCell ref="B16:C16"/>
    <mergeCell ref="B17:C17"/>
    <mergeCell ref="P17:Q17"/>
    <mergeCell ref="B18:C18"/>
    <mergeCell ref="P18:Q18"/>
    <mergeCell ref="B19:C19"/>
    <mergeCell ref="P19:Q19"/>
    <mergeCell ref="B20:C20"/>
    <mergeCell ref="P20:Q20"/>
    <mergeCell ref="B21:C21"/>
    <mergeCell ref="P21:Q21"/>
    <mergeCell ref="B22:C22"/>
    <mergeCell ref="P22:Q22"/>
    <mergeCell ref="B23:C23"/>
    <mergeCell ref="P23:Q23"/>
    <mergeCell ref="B24:C24"/>
    <mergeCell ref="P24:Q24"/>
    <mergeCell ref="B25:C25"/>
    <mergeCell ref="P25:Q25"/>
    <mergeCell ref="B26:C26"/>
    <mergeCell ref="P26:Q26"/>
    <mergeCell ref="B27:C27"/>
    <mergeCell ref="P27:Q27"/>
    <mergeCell ref="B28:C28"/>
    <mergeCell ref="P28:Q28"/>
    <mergeCell ref="B29:C29"/>
    <mergeCell ref="D29:O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D3:D4"/>
    <mergeCell ref="M3:M4"/>
    <mergeCell ref="N3:N4"/>
    <mergeCell ref="O3:O4"/>
    <mergeCell ref="B3:C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2FA7EE8-D958-F601-91D8-B1AD45ECF8E8}" mc:Ignorable="x14ac xr xr2 xr3">
  <dimension ref="A1:R54"/>
  <sheetViews>
    <sheetView defaultGridColor="0" colorId="31" showGridLines="0" workbookViewId="0">
      <pane xSplit="3" ySplit="4" topLeftCell="D5" activePane="bottomRight" state="frozen"/>
      <selection pane="bottomLeft" activeCell="A5" sqref="A5"/>
      <selection pane="topRight" activeCell="D1" sqref="D1"/>
      <selection pane="bottomRight" activeCell="E54" sqref="E54"/>
    </sheetView>
  </sheetViews>
  <sheetFormatPr defaultColWidth="10.00390625" customHeight="1" defaultRowHeight="13.5"/>
  <cols>
    <col min="1" max="1" style="74" width="2.7109375" customWidth="1"/>
    <col min="2" max="2" style="112" width="14.8515625" customWidth="1"/>
    <col min="3" max="3" style="112" width="14.57421875" customWidth="1"/>
    <col min="4" max="4" style="112" width="11.7109375" customWidth="1"/>
    <col min="5" max="12" style="112" width="8.7109375" customWidth="1"/>
    <col min="13" max="13" style="112" width="10.7109375" customWidth="1"/>
    <col min="14" max="14" style="228" width="10.7109375" customWidth="1"/>
    <col min="15" max="16" style="74" width="10.00390625" hidden="1"/>
  </cols>
  <sheetData>
    <row customHeight="1" ht="27">
      <c r="A1" s="297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297"/>
      <c r="P1" s="297"/>
      <c r="Q1" s="392"/>
      <c r="R1" s="392"/>
    </row>
    <row customHeight="1" ht="18.75">
      <c r="A2" s="297"/>
      <c r="B2" s="76" t="s">
        <v>226</v>
      </c>
      <c r="C2" s="76"/>
      <c r="D2" s="229" t="s">
        <v>2</v>
      </c>
      <c r="E2" s="229"/>
      <c r="F2" s="534" t="str">
        <f>O2</f>
        <v>2026-01-06</v>
      </c>
      <c r="G2" s="534"/>
      <c r="H2" s="436" t="s">
        <v>4</v>
      </c>
      <c r="I2" s="436"/>
      <c r="J2" s="535" t="str">
        <f>P2</f>
        <v>2026-01-07</v>
      </c>
      <c r="K2" s="535"/>
      <c r="L2" s="535"/>
      <c r="M2" s="236" t="s">
        <v>6</v>
      </c>
      <c r="N2" s="236"/>
      <c r="O2" s="439" t="s">
        <v>3</v>
      </c>
      <c r="P2" s="439" t="s">
        <v>5</v>
      </c>
      <c r="Q2" s="392"/>
      <c r="R2" s="392"/>
    </row>
    <row customHeight="1" ht="15.75">
      <c r="A3" s="297"/>
      <c r="B3" s="191" t="s">
        <v>7</v>
      </c>
      <c r="C3" s="191"/>
      <c r="D3" s="537" t="s">
        <v>105</v>
      </c>
      <c r="E3" s="191" t="s">
        <v>9</v>
      </c>
      <c r="F3" s="231"/>
      <c r="G3" s="191" t="s">
        <v>10</v>
      </c>
      <c r="H3" s="191"/>
      <c r="I3" s="191" t="s">
        <v>227</v>
      </c>
      <c r="J3" s="191"/>
      <c r="K3" s="191" t="s">
        <v>12</v>
      </c>
      <c r="L3" s="191"/>
      <c r="M3" s="94" t="s">
        <v>106</v>
      </c>
      <c r="N3" s="80" t="s">
        <v>107</v>
      </c>
      <c r="O3" s="297"/>
      <c r="P3" s="297"/>
      <c r="Q3" s="392"/>
      <c r="R3" s="392"/>
    </row>
    <row customHeight="1" ht="15.75">
      <c r="A4" s="297"/>
      <c r="B4" s="191"/>
      <c r="C4" s="191"/>
      <c r="D4" s="537"/>
      <c r="E4" s="80" t="s">
        <v>108</v>
      </c>
      <c r="F4" s="80"/>
      <c r="G4" s="82" t="s">
        <v>108</v>
      </c>
      <c r="H4" s="82"/>
      <c r="I4" s="82" t="s">
        <v>108</v>
      </c>
      <c r="J4" s="82"/>
      <c r="K4" s="82" t="s">
        <v>108</v>
      </c>
      <c r="L4" s="82"/>
      <c r="M4" s="80"/>
      <c r="N4" s="80"/>
      <c r="O4" s="297"/>
      <c r="P4" s="297"/>
      <c r="Q4" s="392"/>
      <c r="R4" s="392"/>
    </row>
    <row customHeight="1" ht="15.75">
      <c r="A5" s="297"/>
      <c r="B5" s="540" t="s">
        <v>127</v>
      </c>
      <c r="C5" s="540"/>
      <c r="D5" s="84"/>
      <c r="E5" s="84">
        <f>IF(生产日报4取值!E5=0,"",生产日报4取值!E5)</f>
        <v>15104</v>
      </c>
      <c r="F5" s="84"/>
      <c r="G5" s="106" t="str">
        <f>IF(生产日报4取值!F5=0,"",生产日报4取值!F5)</f>
        <v/>
      </c>
      <c r="H5" s="106"/>
      <c r="I5" s="84" t="str">
        <f>IF(生产日报4取值!G5=0,"",生产日报4取值!G5)</f>
        <v/>
      </c>
      <c r="J5" s="84"/>
      <c r="K5" s="84"/>
      <c r="L5" s="84"/>
      <c r="M5" s="84">
        <f>SUM(E5:L5)</f>
        <v>15104</v>
      </c>
      <c r="N5" s="102" t="str">
        <f>IF(生产日报4取值!J5=0,"",生产日报4取值!J5)</f>
        <v/>
      </c>
      <c r="O5" s="297"/>
      <c r="P5" s="297"/>
      <c r="Q5" s="392"/>
      <c r="R5" s="392"/>
    </row>
    <row customHeight="1" ht="15.75">
      <c r="A6" s="297"/>
      <c r="B6" s="540" t="s">
        <v>128</v>
      </c>
      <c r="C6" s="540"/>
      <c r="D6" s="84"/>
      <c r="E6" s="84" t="str">
        <f>IF(生产日报4取值!E6=0,"",生产日报4取值!E6)</f>
        <v/>
      </c>
      <c r="F6" s="84"/>
      <c r="G6" s="84" t="str">
        <f>IF(生产日报4取值!F6=0,"",生产日报4取值!F6)</f>
        <v/>
      </c>
      <c r="H6" s="84"/>
      <c r="I6" s="84" t="str">
        <f>IF(生产日报4取值!G6=0,"",生产日报4取值!G6)</f>
        <v/>
      </c>
      <c r="J6" s="84"/>
      <c r="K6" s="84">
        <f>生产日报4取值!H6</f>
        <v>15427.98</v>
      </c>
      <c r="L6" s="84"/>
      <c r="M6" s="84">
        <f>SUM(E6:L6)</f>
        <v>15427.98</v>
      </c>
      <c r="N6" s="102" t="str">
        <f>IF(生产日报4取值!J6=0,"",生产日报4取值!J6)</f>
        <v/>
      </c>
      <c r="O6" s="297"/>
      <c r="P6" s="297"/>
      <c r="Q6" s="392"/>
      <c r="R6" s="392"/>
    </row>
    <row customHeight="1" ht="15.75">
      <c r="A7" s="297"/>
      <c r="B7" s="540" t="s">
        <v>129</v>
      </c>
      <c r="C7" s="540"/>
      <c r="D7" s="84"/>
      <c r="E7" s="84">
        <f>IF(生产日报4取值!E7=0,"",生产日报4取值!E7)</f>
        <v>10912</v>
      </c>
      <c r="F7" s="84"/>
      <c r="G7" s="84">
        <f>IF(生产日报4取值!F7=0,"",生产日报4取值!F7)</f>
        <v>3190</v>
      </c>
      <c r="H7" s="84"/>
      <c r="I7" s="84">
        <f>IF(生产日报4取值!G7=0,"",生产日报4取值!G7)</f>
        <v>3055.94</v>
      </c>
      <c r="J7" s="84"/>
      <c r="K7" s="84" t="str">
        <f>IF(生产日报4取值!H7=0,"",生产日报4取值!H7)</f>
        <v/>
      </c>
      <c r="L7" s="84"/>
      <c r="M7" s="84">
        <f>SUM(E7:L7)</f>
        <v>17157.94</v>
      </c>
      <c r="N7" s="102" t="str">
        <f>IF(生产日报4取值!J7=0,"",生产日报4取值!J7)</f>
        <v/>
      </c>
      <c r="O7" s="297"/>
      <c r="P7" s="297"/>
      <c r="Q7" s="392"/>
      <c r="R7" s="392"/>
    </row>
    <row customHeight="1" ht="15.75">
      <c r="A8" s="297"/>
      <c r="B8" s="540" t="s">
        <v>130</v>
      </c>
      <c r="C8" s="540"/>
      <c r="D8" s="84"/>
      <c r="E8" s="84">
        <f>IF(生产日报4取值!E8=0,"",生产日报4取值!E8)</f>
        <v>6778.44</v>
      </c>
      <c r="F8" s="84"/>
      <c r="G8" s="84" t="str">
        <f>IF(生产日报4取值!F8=0,"",生产日报4取值!F8)</f>
        <v/>
      </c>
      <c r="H8" s="84"/>
      <c r="I8" s="84" t="str">
        <f>IF(生产日报4取值!G8=0,"",生产日报4取值!G8)</f>
        <v/>
      </c>
      <c r="J8" s="84"/>
      <c r="K8" s="84">
        <f>IF(生产日报4取值!H8=0,"",生产日报4取值!H8)</f>
        <v>10912</v>
      </c>
      <c r="L8" s="84"/>
      <c r="M8" s="84">
        <f>SUM(E8:L8)</f>
        <v>17690.44</v>
      </c>
      <c r="N8" s="102" t="str">
        <f>IF(生产日报4取值!J8=0,"",生产日报4取值!J8)</f>
        <v/>
      </c>
      <c r="O8" s="297"/>
      <c r="P8" s="297"/>
      <c r="Q8" s="392"/>
      <c r="R8" s="392"/>
    </row>
    <row customHeight="1" ht="15.75">
      <c r="A9" s="297"/>
      <c r="B9" s="540" t="s">
        <v>131</v>
      </c>
      <c r="C9" s="540"/>
      <c r="D9" s="84"/>
      <c r="E9" s="84">
        <f>IF(生产日报4取值!E9=0,"",生产日报4取值!E9)</f>
        <v>571.28</v>
      </c>
      <c r="F9" s="84"/>
      <c r="G9" s="84" t="str">
        <f>IF(生产日报4取值!F9=0,"",生产日报4取值!F9)</f>
        <v/>
      </c>
      <c r="H9" s="84"/>
      <c r="I9" s="84" t="str">
        <f>IF(生产日报4取值!G9=0,"",生产日报4取值!G9)</f>
        <v/>
      </c>
      <c r="J9" s="84"/>
      <c r="K9" s="84" t="str">
        <f>IF(生产日报4取值!H9=0,"",生产日报4取值!H9)</f>
        <v/>
      </c>
      <c r="L9" s="84"/>
      <c r="M9" s="84">
        <f>SUM(E9:L9)</f>
        <v>571.28</v>
      </c>
      <c r="N9" s="102" t="str">
        <f>IF(生产日报4取值!J9=0,"",生产日报4取值!J9)</f>
        <v/>
      </c>
      <c r="O9" s="297"/>
      <c r="P9" s="297"/>
      <c r="Q9" s="392"/>
      <c r="R9" s="392"/>
    </row>
    <row customHeight="1" ht="15.75">
      <c r="A10" s="297"/>
      <c r="B10" s="540" t="s">
        <v>132</v>
      </c>
      <c r="C10" s="540"/>
      <c r="D10" s="84"/>
      <c r="E10" s="84">
        <f>IF(生产日报4取值!E10=0,"",生产日报4取值!E10)</f>
        <v>1527</v>
      </c>
      <c r="F10" s="84"/>
      <c r="G10" s="84" t="str">
        <f>IF(生产日报4取值!F10=0,"",生产日报4取值!F10)</f>
        <v/>
      </c>
      <c r="H10" s="84"/>
      <c r="I10" s="84" t="str">
        <f>IF(生产日报4取值!G10=0,"",生产日报4取值!G10)</f>
        <v/>
      </c>
      <c r="J10" s="84"/>
      <c r="K10" s="84" t="str">
        <f>IF(生产日报4取值!H10=0,"",生产日报4取值!H10)</f>
        <v/>
      </c>
      <c r="L10" s="84"/>
      <c r="M10" s="84">
        <f>SUM(E10:L10)</f>
        <v>1527</v>
      </c>
      <c r="N10" s="102" t="str">
        <f>IF(生产日报4取值!J10=0,"",生产日报4取值!J10)</f>
        <v/>
      </c>
      <c r="O10" s="297"/>
      <c r="P10" s="297"/>
      <c r="Q10" s="392"/>
      <c r="R10" s="392"/>
    </row>
    <row customHeight="1" ht="15.75">
      <c r="A11" s="297"/>
      <c r="B11" s="540" t="s">
        <v>133</v>
      </c>
      <c r="C11" s="540"/>
      <c r="D11" s="84"/>
      <c r="E11" s="84">
        <f>IF(生产日报4取值!E11=0,"",生产日报4取值!E11)</f>
        <v>29162</v>
      </c>
      <c r="F11" s="84"/>
      <c r="G11" s="84" t="str">
        <f>IF(生产日报4取值!F11=0,"",生产日报4取值!F11)</f>
        <v/>
      </c>
      <c r="H11" s="84"/>
      <c r="I11" s="84" t="str">
        <f>IF(生产日报4取值!G11=0,"",生产日报4取值!G11)</f>
        <v/>
      </c>
      <c r="J11" s="84"/>
      <c r="K11" s="84" t="str">
        <f>IF(生产日报4取值!H11=0,"",生产日报4取值!H11)</f>
        <v/>
      </c>
      <c r="L11" s="84"/>
      <c r="M11" s="84">
        <f>SUM(E11:L11)</f>
        <v>29162</v>
      </c>
      <c r="N11" s="102" t="str">
        <f>IF(生产日报4取值!J11=0,"",生产日报4取值!J11)</f>
        <v/>
      </c>
      <c r="O11" s="297"/>
      <c r="P11" s="297"/>
      <c r="Q11" s="392"/>
      <c r="R11" s="392"/>
    </row>
    <row customHeight="1" ht="15.75">
      <c r="A12" s="297"/>
      <c r="B12" s="540" t="s">
        <v>134</v>
      </c>
      <c r="C12" s="540"/>
      <c r="D12" s="84"/>
      <c r="E12" s="84" t="str">
        <f>IF(生产日报4取值!E12=0,"",生产日报4取值!E12)</f>
        <v/>
      </c>
      <c r="F12" s="84"/>
      <c r="G12" s="84" t="str">
        <f>IF(生产日报4取值!F12=0,"",生产日报4取值!F12)</f>
        <v/>
      </c>
      <c r="H12" s="84"/>
      <c r="I12" s="84" t="str">
        <f>IF(生产日报4取值!G12=0,"",生产日报4取值!G12)</f>
        <v/>
      </c>
      <c r="J12" s="84"/>
      <c r="K12" s="84">
        <f>IF(生产日报4取值!H12=0,"",生产日报4取值!H12)</f>
        <v>29162</v>
      </c>
      <c r="L12" s="84"/>
      <c r="M12" s="84">
        <f>SUM(E12:L12)</f>
        <v>29162</v>
      </c>
      <c r="N12" s="102" t="str">
        <f>IF(生产日报4取值!J12=0,"",生产日报4取值!J12)</f>
        <v/>
      </c>
      <c r="O12" s="297"/>
      <c r="P12" s="297"/>
      <c r="Q12" s="392"/>
      <c r="R12" s="392"/>
    </row>
    <row customHeight="1" ht="15.75">
      <c r="A13" s="297"/>
      <c r="B13" s="540" t="s">
        <v>135</v>
      </c>
      <c r="C13" s="540"/>
      <c r="D13" s="84"/>
      <c r="E13" s="84">
        <f>IF(生产日报4取值!E13=0,"",生产日报4取值!E13)</f>
        <v>34344</v>
      </c>
      <c r="F13" s="84"/>
      <c r="G13" s="84" t="str">
        <f>IF(生产日报4取值!F13=0,"",生产日报4取值!F13)</f>
        <v/>
      </c>
      <c r="H13" s="84"/>
      <c r="I13" s="84" t="str">
        <f>IF(生产日报4取值!G13=0,"",生产日报4取值!G13)</f>
        <v/>
      </c>
      <c r="J13" s="84"/>
      <c r="K13" s="84" t="str">
        <f>IF(生产日报4取值!H13=0,"",生产日报4取值!H13)</f>
        <v/>
      </c>
      <c r="L13" s="84"/>
      <c r="M13" s="84">
        <f>SUM(E13:L13)</f>
        <v>34344</v>
      </c>
      <c r="N13" s="102" t="str">
        <f>IF(生产日报4取值!J13=0,"",生产日报4取值!J13)</f>
        <v/>
      </c>
      <c r="O13" s="297"/>
      <c r="P13" s="297"/>
      <c r="Q13" s="392"/>
      <c r="R13" s="392"/>
    </row>
    <row customHeight="1" ht="15.75">
      <c r="A14" s="297"/>
      <c r="B14" s="540" t="s">
        <v>136</v>
      </c>
      <c r="C14" s="540"/>
      <c r="D14" s="84"/>
      <c r="E14" s="84" t="str">
        <f>IF(生产日报4取值!E14=0,"",生产日报4取值!E14)</f>
        <v/>
      </c>
      <c r="F14" s="84"/>
      <c r="G14" s="84" t="str">
        <f>IF(生产日报4取值!F14=0,"",生产日报4取值!F14)</f>
        <v/>
      </c>
      <c r="H14" s="84"/>
      <c r="I14" s="84" t="str">
        <f>IF(生产日报4取值!G14=0,"",生产日报4取值!G14)</f>
        <v/>
      </c>
      <c r="J14" s="84"/>
      <c r="K14" s="84">
        <f>IF(生产日报4取值!H14=0,"",生产日报4取值!H14)</f>
        <v>34344</v>
      </c>
      <c r="L14" s="84"/>
      <c r="M14" s="84">
        <f>SUM(E14:L14)</f>
        <v>34344</v>
      </c>
      <c r="N14" s="102" t="str">
        <f>IF(生产日报4取值!J14=0,"",生产日报4取值!J14)</f>
        <v/>
      </c>
      <c r="O14" s="297"/>
      <c r="P14" s="297"/>
      <c r="Q14" s="392"/>
      <c r="R14" s="392"/>
    </row>
    <row customHeight="1" ht="15.75">
      <c r="A15" s="297"/>
      <c r="B15" s="542" t="s">
        <v>137</v>
      </c>
      <c r="C15" s="542"/>
      <c r="D15" s="106"/>
      <c r="E15" s="84" t="str">
        <f>IF(生产日报4取值!E15=0,"",生产日报4取值!E15)</f>
        <v/>
      </c>
      <c r="F15" s="84"/>
      <c r="G15" s="84" t="str">
        <f>IF(生产日报4取值!F15=0,"",生产日报4取值!F15)</f>
        <v/>
      </c>
      <c r="H15" s="84"/>
      <c r="I15" s="84" t="str">
        <f>IF(生产日报4取值!G15=0,"",生产日报4取值!G15)</f>
        <v/>
      </c>
      <c r="J15" s="84"/>
      <c r="K15" s="84" t="str">
        <f>IF(生产日报4取值!H15=0,"",生产日报4取值!H15)</f>
        <v/>
      </c>
      <c r="L15" s="84"/>
      <c r="M15" s="84">
        <f>SUM(E15:L15)</f>
        <v>0</v>
      </c>
      <c r="N15" s="102" t="str">
        <f>IF(生产日报4取值!J15=0,"",生产日报4取值!J15)</f>
        <v/>
      </c>
      <c r="O15" s="297"/>
      <c r="P15" s="297"/>
      <c r="Q15" s="392"/>
      <c r="R15" s="392"/>
    </row>
    <row customHeight="1" ht="15.75">
      <c r="A16" s="297"/>
      <c r="B16" s="540" t="s">
        <v>138</v>
      </c>
      <c r="C16" s="540"/>
      <c r="D16" s="84">
        <f>生产日报4取值!D16</f>
        <v>0</v>
      </c>
      <c r="E16" s="84">
        <f>IF(生产日报4取值!E16=0,"",生产日报4取值!E16)</f>
        <v>43275</v>
      </c>
      <c r="F16" s="84"/>
      <c r="G16" s="84">
        <f>IF(生产日报4取值!F16=0,"",生产日报4取值!F16)</f>
        <v>17294</v>
      </c>
      <c r="H16" s="84"/>
      <c r="I16" s="84">
        <f>IF(生产日报4取值!G16=0,"",生产日报4取值!G16)</f>
        <v>13992</v>
      </c>
      <c r="J16" s="84"/>
      <c r="K16" s="84">
        <f>IF(生产日报4取值!H16=0,"",生产日报4取值!H16)</f>
        <v>64460</v>
      </c>
      <c r="L16" s="84"/>
      <c r="M16" s="84">
        <f>SUM(E16:J16)</f>
        <v>74561</v>
      </c>
      <c r="N16" s="102" t="str">
        <f>IF(生产日报4取值!J16=0,"",生产日报4取值!J16)</f>
        <v/>
      </c>
      <c r="O16" s="297"/>
      <c r="P16" s="297"/>
      <c r="Q16" s="392"/>
      <c r="R16" s="392"/>
    </row>
    <row customHeight="1" ht="15.75">
      <c r="A17" s="297"/>
      <c r="B17" s="540" t="s">
        <v>139</v>
      </c>
      <c r="C17" s="540"/>
      <c r="D17" s="84">
        <f>生产日报4取值!D17</f>
        <v>0</v>
      </c>
      <c r="E17" s="84">
        <f>IF(生产日报4取值!E17=0,"",生产日报4取值!E17)</f>
        <v>50161</v>
      </c>
      <c r="F17" s="84"/>
      <c r="G17" s="84">
        <f>IF(生产日报4取值!F17=0,"",生产日报4取值!F17)</f>
        <v>19647</v>
      </c>
      <c r="H17" s="84"/>
      <c r="I17" s="84">
        <f>IF(生产日报4取值!G17=0,"",生产日报4取值!G17)</f>
        <v>13500</v>
      </c>
      <c r="J17" s="84"/>
      <c r="K17" s="84">
        <f>IF(生产日报4取值!H17=0,"",生产日报4取值!H17)</f>
        <v>45804</v>
      </c>
      <c r="L17" s="84"/>
      <c r="M17" s="84">
        <f>SUM(E17:J17)</f>
        <v>83308</v>
      </c>
      <c r="N17" s="102" t="str">
        <f>IF(生产日报4取值!J17=0,"",生产日报4取值!J17)</f>
        <v/>
      </c>
      <c r="O17" s="297"/>
      <c r="P17" s="297"/>
      <c r="Q17" s="392"/>
      <c r="R17" s="392"/>
    </row>
    <row customHeight="1" ht="15.75">
      <c r="A18" s="297"/>
      <c r="B18" s="540" t="s">
        <v>140</v>
      </c>
      <c r="C18" s="540"/>
      <c r="D18" s="84"/>
      <c r="E18" s="84">
        <f>IF(生产日报4取值!E18=0,"",生产日报4取值!E18)</f>
        <v>10205</v>
      </c>
      <c r="F18" s="84"/>
      <c r="G18" s="84">
        <f>IF(生产日报4取值!F18=0,"",生产日报4取值!F18)</f>
        <v>4282</v>
      </c>
      <c r="H18" s="84"/>
      <c r="I18" s="84">
        <f>IF(生产日报4取值!G18=0,"",生产日报4取值!G18)</f>
        <v>4572</v>
      </c>
      <c r="J18" s="84"/>
      <c r="K18" s="84" t="str">
        <f>IF(生产日报4取值!H18=0,"",生产日报4取值!H18)</f>
        <v/>
      </c>
      <c r="L18" s="84"/>
      <c r="M18" s="84">
        <f>SUM(E18:J18)</f>
        <v>19059</v>
      </c>
      <c r="N18" s="102" t="str">
        <f>IF(生产日报4取值!J18=0,"",生产日报4取值!J18)</f>
        <v/>
      </c>
      <c r="O18" s="297"/>
      <c r="P18" s="297"/>
      <c r="Q18" s="392"/>
      <c r="R18" s="392"/>
    </row>
    <row customHeight="1" ht="15.75">
      <c r="A19" s="297"/>
      <c r="B19" s="540" t="s">
        <v>141</v>
      </c>
      <c r="C19" s="540"/>
      <c r="D19" s="84">
        <f>生产日报4取值!D19</f>
        <v>0</v>
      </c>
      <c r="E19" s="84">
        <f>IF(生产日报4取值!E19=0,"",生产日报4取值!E19)</f>
        <v>3397</v>
      </c>
      <c r="F19" s="84"/>
      <c r="G19" s="84" t="str">
        <f>IF(生产日报4取值!F19=0,"",生产日报4取值!F19)</f>
        <v/>
      </c>
      <c r="H19" s="84"/>
      <c r="I19" s="84"/>
      <c r="J19" s="84"/>
      <c r="K19" s="84" t="str">
        <f>IF(生产日报4取值!H19=0,"",生产日报4取值!H19)</f>
        <v/>
      </c>
      <c r="L19" s="84"/>
      <c r="M19" s="84">
        <f>SUM(E19:J19)</f>
        <v>3397</v>
      </c>
      <c r="N19" s="102" t="str">
        <f>IF(生产日报4取值!J19=0,"",生产日报4取值!J19)</f>
        <v/>
      </c>
      <c r="O19" s="297"/>
      <c r="P19" s="297"/>
      <c r="Q19" s="392"/>
      <c r="R19" s="392"/>
    </row>
    <row customHeight="1" ht="15.75">
      <c r="A20" s="297"/>
      <c r="B20" s="540" t="s">
        <v>142</v>
      </c>
      <c r="C20" s="540"/>
      <c r="D20" s="84"/>
      <c r="E20" s="84">
        <f>IF(生产日报4取值!E20=0,"",生产日报4取值!E20)</f>
        <v>561</v>
      </c>
      <c r="F20" s="84"/>
      <c r="G20" s="84" t="str">
        <f>IF(生产日报4取值!F20=0,"",生产日报4取值!F20)</f>
        <v/>
      </c>
      <c r="H20" s="84"/>
      <c r="I20" s="84" t="str">
        <f>IF(生产日报4取值!G20=0,"",生产日报4取值!G20)</f>
        <v/>
      </c>
      <c r="J20" s="84"/>
      <c r="K20" s="84">
        <f>IF(生产日报4取值!H20=0,"",生产日报4取值!H20)</f>
        <v>1647</v>
      </c>
      <c r="L20" s="84"/>
      <c r="M20" s="84">
        <f>SUM(E20:K20)</f>
        <v>2208</v>
      </c>
      <c r="N20" s="102" t="str">
        <f>IF(生产日报4取值!J20=0,"",生产日报4取值!J20)</f>
        <v/>
      </c>
      <c r="O20" s="297"/>
      <c r="P20" s="297"/>
      <c r="Q20" s="392"/>
      <c r="R20" s="392"/>
    </row>
    <row customHeight="1" ht="15.75">
      <c r="A21" s="297"/>
      <c r="B21" s="540" t="s">
        <v>143</v>
      </c>
      <c r="C21" s="540"/>
      <c r="D21" s="84"/>
      <c r="E21" s="84" t="str">
        <f>IF(生产日报4取值!E21=0,"",生产日报4取值!E21)</f>
        <v/>
      </c>
      <c r="F21" s="84"/>
      <c r="G21" s="84" t="str">
        <f>IF(生产日报4取值!F21=0,"",生产日报4取值!F21)</f>
        <v/>
      </c>
      <c r="H21" s="84"/>
      <c r="I21" s="84" t="str">
        <f>IF(生产日报4取值!G21=0,"",生产日报4取值!G21)</f>
        <v/>
      </c>
      <c r="J21" s="84"/>
      <c r="K21" s="84">
        <f>IF(生产日报4取值!H21=0,"",生产日报4取值!H21)</f>
        <v>2327</v>
      </c>
      <c r="L21" s="84"/>
      <c r="M21" s="84">
        <f>SUM(E21:K21)</f>
        <v>2327</v>
      </c>
      <c r="N21" s="102" t="str">
        <f>IF(生产日报4取值!J21=0,"",生产日报4取值!J21)</f>
        <v/>
      </c>
      <c r="O21" s="297"/>
      <c r="P21" s="297"/>
      <c r="Q21" s="392"/>
      <c r="R21" s="392"/>
    </row>
    <row customHeight="1" ht="15.75">
      <c r="A22" s="297"/>
      <c r="B22" s="540" t="s">
        <v>144</v>
      </c>
      <c r="C22" s="540"/>
      <c r="D22" s="84">
        <f>生产日报4取值!D22</f>
        <v>0</v>
      </c>
      <c r="E22" s="84">
        <f>IF(生产日报4取值!E22=0,"",生产日报4取值!E22)</f>
        <v>2100</v>
      </c>
      <c r="F22" s="84"/>
      <c r="G22" s="84" t="str">
        <f>IF(生产日报4取值!F22=0,"",生产日报4取值!F22)</f>
        <v/>
      </c>
      <c r="H22" s="84"/>
      <c r="I22" s="84" t="str">
        <f>IF(生产日报4取值!G22=0,"",生产日报4取值!G22)</f>
        <v/>
      </c>
      <c r="J22" s="84"/>
      <c r="K22" s="84">
        <f>IF(生产日报4取值!H22=0,"",生产日报4取值!H22)</f>
        <v>4269.06</v>
      </c>
      <c r="L22" s="84"/>
      <c r="M22" s="84">
        <f>SUM(E22:L22)</f>
        <v>6369.06</v>
      </c>
      <c r="N22" s="102" t="str">
        <f>IF(生产日报4取值!J22=0,"",生产日报4取值!J22)</f>
        <v/>
      </c>
      <c r="O22" s="297"/>
      <c r="P22" s="297"/>
      <c r="Q22" s="392"/>
      <c r="R22" s="392"/>
    </row>
    <row customHeight="1" ht="15.75">
      <c r="A23" s="297"/>
      <c r="B23" s="540" t="s">
        <v>145</v>
      </c>
      <c r="C23" s="540"/>
      <c r="D23" s="84">
        <f>生产日报4取值!D23</f>
        <v>0</v>
      </c>
      <c r="E23" s="84">
        <f>IF(生产日报4取值!E23=0,"",生产日报4取值!E23)</f>
        <v>688</v>
      </c>
      <c r="F23" s="84"/>
      <c r="G23" s="84" t="str">
        <f>IF(生产日报4取值!F23=0,"",生产日报4取值!F23)</f>
        <v/>
      </c>
      <c r="H23" s="84"/>
      <c r="I23" s="84" t="str">
        <f>IF(生产日报4取值!G23=0,"",生产日报4取值!G23)</f>
        <v/>
      </c>
      <c r="J23" s="84"/>
      <c r="K23" s="84">
        <f>IF(生产日报4取值!H23=0,"",生产日报4取值!H23)</f>
        <v>6006</v>
      </c>
      <c r="L23" s="84"/>
      <c r="M23" s="84">
        <f>SUM(E23:L23)</f>
        <v>6694</v>
      </c>
      <c r="N23" s="102" t="str">
        <f>IF(生产日报4取值!J23=0,"",生产日报4取值!J23)</f>
        <v/>
      </c>
      <c r="O23" s="297"/>
      <c r="P23" s="297"/>
      <c r="Q23" s="392"/>
      <c r="R23" s="392"/>
    </row>
    <row customHeight="1" ht="15.75">
      <c r="A24" s="297"/>
      <c r="B24" s="540" t="s">
        <v>146</v>
      </c>
      <c r="C24" s="540"/>
      <c r="D24" s="84">
        <f>生产日报4取值!D24</f>
        <v>0</v>
      </c>
      <c r="E24" s="84" t="str">
        <f>IF(生产日报4取值!E24=0,"",生产日报4取值!E24)</f>
        <v/>
      </c>
      <c r="F24" s="84"/>
      <c r="G24" s="84" t="str">
        <f>IF(生产日报4取值!F24=0,"",生产日报4取值!F24)</f>
        <v/>
      </c>
      <c r="H24" s="84"/>
      <c r="I24" s="84">
        <f>IF(生产日报4取值!G24=0,"",生产日报4取值!G24)</f>
        <v>1002</v>
      </c>
      <c r="J24" s="84"/>
      <c r="K24" s="84">
        <f>IF(生产日报4取值!H24=0,"",生产日报4取值!H24)</f>
        <v>1308</v>
      </c>
      <c r="L24" s="84"/>
      <c r="M24" s="84">
        <f>SUM(E24:L24)</f>
        <v>2310</v>
      </c>
      <c r="N24" s="102" t="str">
        <f>IF(生产日报4取值!J24=0,"",生产日报4取值!J24)</f>
        <v/>
      </c>
      <c r="O24" s="297"/>
      <c r="P24" s="297"/>
      <c r="Q24" s="392"/>
      <c r="R24" s="392"/>
    </row>
    <row customHeight="1" ht="15.75">
      <c r="A25" s="297"/>
      <c r="B25" s="540" t="s">
        <v>147</v>
      </c>
      <c r="C25" s="540"/>
      <c r="D25" s="84">
        <f>生产日报4取值!D25</f>
        <v>0</v>
      </c>
      <c r="E25" s="84">
        <f>IF(生产日报4取值!E25=0,"",生产日报4取值!E25)</f>
        <v>1075</v>
      </c>
      <c r="F25" s="84"/>
      <c r="G25" s="84" t="str">
        <f>IF(生产日报4取值!F25=0,"",生产日报4取值!F25)</f>
        <v/>
      </c>
      <c r="H25" s="84"/>
      <c r="I25" s="84" t="str">
        <f>IF(生产日报4取值!G25=0,"",生产日报4取值!G25)</f>
        <v/>
      </c>
      <c r="J25" s="84"/>
      <c r="K25" s="84" t="str">
        <f>IF(生产日报4取值!H25=0,"",生产日报4取值!H25)</f>
        <v/>
      </c>
      <c r="L25" s="84"/>
      <c r="M25" s="84">
        <f>SUM(E25:L25)</f>
        <v>1075</v>
      </c>
      <c r="N25" s="102" t="str">
        <f>IF(生产日报4取值!J25=0,"",生产日报4取值!J25)</f>
        <v/>
      </c>
      <c r="O25" s="297"/>
      <c r="P25" s="297"/>
      <c r="Q25" s="392"/>
      <c r="R25" s="392"/>
    </row>
    <row customHeight="1" ht="15.75">
      <c r="A26" s="297"/>
      <c r="B26" s="540" t="s">
        <v>148</v>
      </c>
      <c r="C26" s="540"/>
      <c r="D26" s="84">
        <f>生产日报4取值!D26</f>
        <v>0</v>
      </c>
      <c r="E26" s="84">
        <f>IF(生产日报4取值!E26=0,"",生产日报4取值!E26)</f>
        <v>1128</v>
      </c>
      <c r="F26" s="84"/>
      <c r="G26" s="84" t="str">
        <f>IF(生产日报4取值!F26=0,"",生产日报4取值!F26)</f>
        <v/>
      </c>
      <c r="H26" s="84"/>
      <c r="I26" s="84" t="str">
        <f>IF(生产日报4取值!G26=0,"",生产日报4取值!G26)</f>
        <v/>
      </c>
      <c r="J26" s="84"/>
      <c r="K26" s="84" t="str">
        <f>IF(生产日报4取值!H26=0,"",生产日报4取值!H26)</f>
        <v/>
      </c>
      <c r="L26" s="84"/>
      <c r="M26" s="84">
        <f>SUM(E26:L26)</f>
        <v>1128</v>
      </c>
      <c r="N26" s="102" t="str">
        <f>IF(生产日报4取值!J26=0,"",生产日报4取值!J26)</f>
        <v/>
      </c>
      <c r="O26" s="297"/>
      <c r="P26" s="297"/>
      <c r="Q26" s="392"/>
      <c r="R26" s="392"/>
    </row>
    <row customHeight="1" ht="15.75">
      <c r="A27" s="297"/>
      <c r="B27" s="540" t="s">
        <v>149</v>
      </c>
      <c r="C27" s="540"/>
      <c r="D27" s="84">
        <f>生产日报4取值!D27</f>
        <v>0</v>
      </c>
      <c r="E27" s="84">
        <f>IF(生产日报4取值!E27=0,"",生产日报4取值!E27)</f>
        <v>100</v>
      </c>
      <c r="F27" s="84"/>
      <c r="G27" s="84">
        <f>IF(生产日报4取值!F27=0,"",生产日报4取值!F27)</f>
        <v>54</v>
      </c>
      <c r="H27" s="84"/>
      <c r="I27" s="84">
        <f>IF(生产日报4取值!G27=0,"",生产日报4取值!G27)</f>
        <v>111</v>
      </c>
      <c r="J27" s="84"/>
      <c r="K27" s="84">
        <f>IF(生产日报4取值!H27=0,"",生产日报4取值!H27)</f>
        <v>1</v>
      </c>
      <c r="L27" s="84"/>
      <c r="M27" s="84">
        <f>SUM(E27:L27)</f>
        <v>266</v>
      </c>
      <c r="N27" s="102" t="str">
        <f>IF(生产日报4取值!J27=0,"",生产日报4取值!J27)</f>
        <v/>
      </c>
      <c r="O27" s="297"/>
      <c r="P27" s="297"/>
      <c r="Q27" s="392"/>
      <c r="R27" s="392"/>
    </row>
    <row customHeight="1" ht="15.75">
      <c r="A28" s="297"/>
      <c r="B28" s="540" t="s">
        <v>150</v>
      </c>
      <c r="C28" s="540"/>
      <c r="D28" s="84">
        <f>生产日报4取值!D28</f>
        <v>0</v>
      </c>
      <c r="E28" s="84" t="str">
        <f>IF(生产日报4取值!E28=0,"",生产日报4取值!E28)</f>
        <v/>
      </c>
      <c r="F28" s="84"/>
      <c r="G28" s="84" t="str">
        <f>IF(生产日报4取值!F28=0,"",生产日报4取值!F28)</f>
        <v/>
      </c>
      <c r="H28" s="84"/>
      <c r="I28" s="84"/>
      <c r="J28" s="84"/>
      <c r="K28" s="84" t="str">
        <f>IF(生产日报4取值!H28=0,"",生产日报4取值!H28)</f>
        <v/>
      </c>
      <c r="L28" s="84"/>
      <c r="M28" s="84">
        <f>SUM(E28:L28)</f>
        <v>0</v>
      </c>
      <c r="N28" s="102" t="str">
        <f>IF(生产日报4取值!J28=0,"",生产日报4取值!J28)</f>
        <v/>
      </c>
      <c r="O28" s="297"/>
      <c r="P28" s="297"/>
      <c r="Q28" s="392"/>
      <c r="R28" s="543"/>
    </row>
    <row customHeight="1" ht="15.75">
      <c r="A29" s="297"/>
      <c r="B29" s="542" t="s">
        <v>151</v>
      </c>
      <c r="C29" s="542"/>
      <c r="D29" s="84"/>
      <c r="E29" s="84" t="str">
        <f>IF(生产日报4取值!E29=0,"",生产日报4取值!E29)</f>
        <v/>
      </c>
      <c r="F29" s="84"/>
      <c r="G29" s="84" t="str">
        <f>IF(生产日报4取值!F29=0,"",生产日报4取值!F29)</f>
        <v/>
      </c>
      <c r="H29" s="84"/>
      <c r="I29" s="84" t="str">
        <f>IF(生产日报4取值!G29=0,"",生产日报4取值!G29)</f>
        <v/>
      </c>
      <c r="J29" s="84"/>
      <c r="K29" s="84" t="str">
        <f>IF(生产日报4取值!H29=0,"",生产日报4取值!H29)</f>
        <v/>
      </c>
      <c r="L29" s="84"/>
      <c r="M29" s="84">
        <f>SUM(E29:L29)</f>
        <v>0</v>
      </c>
      <c r="N29" s="102" t="str">
        <f>IF(生产日报4取值!J29=0,"",生产日报4取值!J29)</f>
        <v/>
      </c>
      <c r="O29" s="297"/>
      <c r="P29" s="297"/>
      <c r="Q29" s="392"/>
      <c r="R29" s="392"/>
    </row>
    <row customHeight="1" ht="15.75">
      <c r="A30" s="297"/>
      <c r="B30" s="540" t="s">
        <v>152</v>
      </c>
      <c r="C30" s="540"/>
      <c r="D30" s="84"/>
      <c r="E30" s="84">
        <f>IF(生产日报4取值!E30=0,"",生产日报4取值!E30)</f>
        <v>57060</v>
      </c>
      <c r="F30" s="84"/>
      <c r="G30" s="84">
        <f>IF(生产日报4取值!F30=0,"",生产日报4取值!F30)</f>
        <v>17226</v>
      </c>
      <c r="H30" s="84"/>
      <c r="I30" s="84">
        <f>IF(生产日报4取值!G30=0,"",生产日报4取值!G30)</f>
        <v>19096</v>
      </c>
      <c r="J30" s="84"/>
      <c r="K30" s="84" t="str">
        <f>IF(生产日报4取值!H30=0,"",生产日报4取值!H30)</f>
        <v/>
      </c>
      <c r="L30" s="84"/>
      <c r="M30" s="84">
        <f>SUM(E30:L30)</f>
        <v>93382</v>
      </c>
      <c r="N30" s="102" t="str">
        <f>IF(生产日报4取值!J30=0,"",生产日报4取值!J30)</f>
        <v/>
      </c>
      <c r="O30" s="297"/>
      <c r="P30" s="297"/>
      <c r="Q30" s="392"/>
      <c r="R30" s="392"/>
    </row>
    <row customHeight="1" ht="15.75">
      <c r="A31" s="297"/>
      <c r="B31" s="540" t="s">
        <v>228</v>
      </c>
      <c r="C31" s="540"/>
      <c r="D31" s="84"/>
      <c r="E31" s="84" t="str">
        <f>IF(生产日报4取值!E31=0,"",生产日报4取值!E31)</f>
        <v/>
      </c>
      <c r="F31" s="84"/>
      <c r="G31" s="84" t="str">
        <f>IF(生产日报4取值!F31=0,"",生产日报4取值!F31)</f>
        <v/>
      </c>
      <c r="H31" s="84"/>
      <c r="I31" s="84" t="str">
        <f>IF(生产日报4取值!G31=0,"",生产日报4取值!G31)</f>
        <v/>
      </c>
      <c r="J31" s="84"/>
      <c r="K31" s="84" t="str">
        <f>IF(生产日报4取值!H31=0,"",生产日报4取值!H31)</f>
        <v/>
      </c>
      <c r="L31" s="84"/>
      <c r="M31" s="84">
        <f>SUM(E31:L31)</f>
        <v>0</v>
      </c>
      <c r="N31" s="102" t="str">
        <f>IF(生产日报4取值!J31=0,"",生产日报4取值!J31)</f>
        <v/>
      </c>
      <c r="O31" s="297"/>
      <c r="P31" s="297"/>
      <c r="Q31" s="392"/>
      <c r="R31" s="392"/>
    </row>
    <row customHeight="1" ht="15.75">
      <c r="A32" s="297"/>
      <c r="B32" s="540" t="s">
        <v>229</v>
      </c>
      <c r="C32" s="540"/>
      <c r="D32" s="84"/>
      <c r="E32" s="84">
        <f>IF(生产日报4取值!E32=0,"",生产日报4取值!E32)</f>
        <v>32478</v>
      </c>
      <c r="F32" s="84"/>
      <c r="G32" s="84">
        <f>IF(生产日报4取值!F32=0,"",生产日报4取值!F32)</f>
        <v>17226</v>
      </c>
      <c r="H32" s="84"/>
      <c r="I32" s="84">
        <f>IF(生产日报4取值!G32=0,"",生产日报4取值!G32)</f>
        <v>16566</v>
      </c>
      <c r="J32" s="84"/>
      <c r="K32" s="84" t="str">
        <f>IF(生产日报4取值!H32=0,"",生产日报4取值!H32)</f>
        <v/>
      </c>
      <c r="L32" s="84"/>
      <c r="M32" s="84">
        <f>SUM(E32:L32)</f>
        <v>66270</v>
      </c>
      <c r="N32" s="102" t="str">
        <f>IF(生产日报4取值!J32=0,"",生产日报4取值!J32)</f>
        <v/>
      </c>
      <c r="O32" s="297"/>
      <c r="P32" s="297"/>
      <c r="Q32" s="392"/>
      <c r="R32" s="392"/>
    </row>
    <row customHeight="1" ht="15.75">
      <c r="A33" s="297"/>
      <c r="B33" s="540" t="s">
        <v>230</v>
      </c>
      <c r="C33" s="540"/>
      <c r="D33" s="84"/>
      <c r="E33" s="84" t="str">
        <f>IF(生产日报4取值!E33=0,"",生产日报4取值!E33)</f>
        <v/>
      </c>
      <c r="F33" s="84"/>
      <c r="G33" s="84" t="str">
        <f>IF(生产日报4取值!F33=0,"",生产日报4取值!F33)</f>
        <v/>
      </c>
      <c r="H33" s="84"/>
      <c r="I33" s="84" t="str">
        <f>IF(生产日报4取值!G33=0,"",生产日报4取值!G33)</f>
        <v/>
      </c>
      <c r="J33" s="84"/>
      <c r="K33" s="84" t="str">
        <f>IF(生产日报4取值!H33=0,"",生产日报4取值!H33)</f>
        <v/>
      </c>
      <c r="L33" s="84"/>
      <c r="M33" s="84">
        <f>SUM(E33:L33)</f>
        <v>0</v>
      </c>
      <c r="N33" s="102" t="str">
        <f>IF(生产日报4取值!J33=0,"",生产日报4取值!J33)</f>
        <v/>
      </c>
      <c r="O33" s="297"/>
      <c r="P33" s="297"/>
      <c r="Q33" s="392"/>
      <c r="R33" s="392"/>
    </row>
    <row customHeight="1" ht="15.75">
      <c r="A34" s="297"/>
      <c r="B34" s="540" t="s">
        <v>231</v>
      </c>
      <c r="C34" s="540"/>
      <c r="D34" s="84"/>
      <c r="E34" s="84">
        <f>IF(生产日报4取值!E34=0,"",生产日报4取值!E34)</f>
        <v>24582</v>
      </c>
      <c r="F34" s="84"/>
      <c r="G34" s="84" t="str">
        <f>IF(生产日报4取值!F34=0,"",生产日报4取值!F34)</f>
        <v/>
      </c>
      <c r="H34" s="84"/>
      <c r="I34" s="84">
        <f>IF(生产日报4取值!G34=0,"",生产日报4取值!G34)</f>
        <v>2530</v>
      </c>
      <c r="J34" s="84"/>
      <c r="K34" s="84" t="str">
        <f>IF(生产日报4取值!H34=0,"",生产日报4取值!H34)</f>
        <v/>
      </c>
      <c r="L34" s="84"/>
      <c r="M34" s="84">
        <f>SUM(E34:L34)</f>
        <v>27112</v>
      </c>
      <c r="N34" s="102" t="str">
        <f>IF(生产日报4取值!J34=0,"",生产日报4取值!J34)</f>
        <v/>
      </c>
      <c r="O34" s="297"/>
      <c r="P34" s="297"/>
      <c r="Q34" s="392"/>
      <c r="R34" s="392"/>
    </row>
    <row customHeight="1" ht="15.75">
      <c r="A35" s="297"/>
      <c r="B35" s="540" t="s">
        <v>157</v>
      </c>
      <c r="C35" s="540"/>
      <c r="D35" s="84"/>
      <c r="E35" s="84">
        <f>IF(生产日报4取值!E35=0,"",生产日报4取值!E35)</f>
        <v>43190</v>
      </c>
      <c r="F35" s="84"/>
      <c r="G35" s="84">
        <f>IF(生产日报4取值!F35=0,"",生产日报4取值!F35)</f>
        <v>17769</v>
      </c>
      <c r="H35" s="84"/>
      <c r="I35" s="84">
        <f>IF(生产日报4取值!G35=0,"",生产日报4取值!G35)</f>
        <v>22878</v>
      </c>
      <c r="J35" s="84"/>
      <c r="K35" s="84" t="str">
        <f>IF(生产日报4取值!H35=0,"",生产日报4取值!H35)</f>
        <v/>
      </c>
      <c r="L35" s="84"/>
      <c r="M35" s="84">
        <f>SUM(E35:L35)</f>
        <v>83837</v>
      </c>
      <c r="N35" s="102" t="str">
        <f>IF(生产日报4取值!J35=0,"",生产日报4取值!J35)</f>
        <v/>
      </c>
      <c r="O35" s="297"/>
      <c r="P35" s="297"/>
      <c r="Q35" s="392"/>
      <c r="R35" s="392"/>
    </row>
    <row customHeight="1" ht="15.75">
      <c r="A36" s="297"/>
      <c r="B36" s="540" t="s">
        <v>232</v>
      </c>
      <c r="C36" s="540"/>
      <c r="D36" s="84">
        <f>生产日报4取值!D36</f>
        <v>0</v>
      </c>
      <c r="E36" s="84">
        <f>IF(生产日报4取值!E36=0,"",生产日报4取值!E36)</f>
        <v>43190</v>
      </c>
      <c r="F36" s="84"/>
      <c r="G36" s="84">
        <f>IF(生产日报4取值!F36=0,"",生产日报4取值!F36)</f>
        <v>14410</v>
      </c>
      <c r="H36" s="84"/>
      <c r="I36" s="84">
        <f>IF(生产日报4取值!G36=0,"",生产日报4取值!G36)</f>
        <v>17922</v>
      </c>
      <c r="J36" s="84"/>
      <c r="K36" s="84" t="str">
        <f>IF(生产日报4取值!H36=0,"",生产日报4取值!H36)</f>
        <v/>
      </c>
      <c r="L36" s="84"/>
      <c r="M36" s="84">
        <f>SUM(E36:L36)</f>
        <v>75522</v>
      </c>
      <c r="N36" s="102" t="str">
        <f>IF(生产日报4取值!J36=0,"",生产日报4取值!J36)</f>
        <v/>
      </c>
      <c r="O36" s="297"/>
      <c r="P36" s="297"/>
      <c r="Q36" s="392"/>
      <c r="R36" s="392"/>
    </row>
    <row customHeight="1" ht="15.75">
      <c r="A37" s="297"/>
      <c r="B37" s="540" t="s">
        <v>159</v>
      </c>
      <c r="C37" s="540"/>
      <c r="D37" s="84"/>
      <c r="E37" s="84" t="str">
        <f>IF(生产日报4取值!E37=0,"",生产日报4取值!E37)</f>
        <v/>
      </c>
      <c r="F37" s="84"/>
      <c r="G37" s="84" t="str">
        <f>IF(生产日报4取值!F37=0,"",生产日报4取值!F37)</f>
        <v/>
      </c>
      <c r="H37" s="84"/>
      <c r="I37" s="84">
        <f>IF(生产日报4取值!G37=0,"",生产日报4取值!G37)</f>
        <v>3792</v>
      </c>
      <c r="J37" s="84"/>
      <c r="K37" s="84" t="str">
        <f>IF(生产日报4取值!H37=0,"",生产日报4取值!H37)</f>
        <v/>
      </c>
      <c r="L37" s="84"/>
      <c r="M37" s="84">
        <f>SUM(E37:L37)</f>
        <v>3792</v>
      </c>
      <c r="N37" s="102" t="str">
        <f>IF(生产日报4取值!J37=0,"",生产日报4取值!J37)</f>
        <v/>
      </c>
      <c r="O37" s="297"/>
      <c r="P37" s="297"/>
      <c r="Q37" s="392"/>
      <c r="R37" s="392"/>
    </row>
    <row customHeight="1" ht="15.75">
      <c r="A38" s="297"/>
      <c r="B38" s="540" t="s">
        <v>160</v>
      </c>
      <c r="C38" s="540"/>
      <c r="D38" s="84"/>
      <c r="E38" s="84" t="str">
        <f>IF(生产日报4取值!E38=0,"",生产日报4取值!E38)</f>
        <v/>
      </c>
      <c r="F38" s="84"/>
      <c r="G38" s="84">
        <f>IF(生产日报4取值!F38=0,"",生产日报4取值!F38)</f>
        <v>3359</v>
      </c>
      <c r="H38" s="84"/>
      <c r="I38" s="84">
        <f>IF(生产日报4取值!G38=0,"",生产日报4取值!G38)</f>
        <v>1164</v>
      </c>
      <c r="J38" s="84"/>
      <c r="K38" s="84" t="str">
        <f>IF(生产日报4取值!H38=0,"",生产日报4取值!H38)</f>
        <v/>
      </c>
      <c r="L38" s="84"/>
      <c r="M38" s="84">
        <f>SUM(E38:L38)</f>
        <v>4523</v>
      </c>
      <c r="N38" s="102" t="str">
        <f>IF(生产日报4取值!J38=0,"",生产日报4取值!J38)</f>
        <v/>
      </c>
      <c r="O38" s="297"/>
      <c r="P38" s="297"/>
      <c r="Q38" s="392"/>
      <c r="R38" s="392"/>
    </row>
    <row customHeight="1" ht="15.75">
      <c r="A39" s="297"/>
      <c r="B39" s="540" t="s">
        <v>161</v>
      </c>
      <c r="C39" s="540"/>
      <c r="D39" s="84">
        <f>生产日报4取值!D39</f>
        <v>0</v>
      </c>
      <c r="E39" s="84">
        <f>IF(生产日报4取值!E39=0,"",生产日报4取值!E39)</f>
        <v>3562.92</v>
      </c>
      <c r="F39" s="84"/>
      <c r="G39" s="84" t="str">
        <f>IF(生产日报4取值!F39=0,"",生产日报4取值!F39)</f>
        <v/>
      </c>
      <c r="H39" s="84"/>
      <c r="I39" s="84" t="str">
        <f>IF(生产日报4取值!G39=0,"",生产日报4取值!G39)</f>
        <v/>
      </c>
      <c r="J39" s="84"/>
      <c r="K39" s="84" t="str">
        <f>IF(生产日报4取值!H39=0,"",生产日报4取值!H39)</f>
        <v/>
      </c>
      <c r="L39" s="84"/>
      <c r="M39" s="84">
        <f>SUM(E39:L39)</f>
        <v>3562.92</v>
      </c>
      <c r="N39" s="102" t="str">
        <f>IF(生产日报4取值!J39=0,"",生产日报4取值!J39)</f>
        <v/>
      </c>
      <c r="O39" s="297"/>
      <c r="P39" s="297"/>
      <c r="Q39" s="392"/>
      <c r="R39" s="392"/>
    </row>
    <row customHeight="1" ht="15.75">
      <c r="A40" s="297"/>
      <c r="B40" s="540" t="s">
        <v>162</v>
      </c>
      <c r="C40" s="540"/>
      <c r="D40" s="84"/>
      <c r="E40" s="84">
        <f>IF(生产日报4取值!E40=0,"",生产日报4取值!E40)</f>
        <v>765.34</v>
      </c>
      <c r="F40" s="84"/>
      <c r="G40" s="84" t="str">
        <f>IF(生产日报4取值!F40=0,"",生产日报4取值!F40)</f>
        <v/>
      </c>
      <c r="H40" s="84"/>
      <c r="I40" s="84" t="str">
        <f>IF(生产日报4取值!G40=0,"",生产日报4取值!G40)</f>
        <v/>
      </c>
      <c r="J40" s="84"/>
      <c r="K40" s="84" t="str">
        <f>IF(生产日报4取值!H40=0,"",生产日报4取值!H40)</f>
        <v/>
      </c>
      <c r="L40" s="84"/>
      <c r="M40" s="84">
        <f>SUM(E40:L40)</f>
        <v>765.34</v>
      </c>
      <c r="N40" s="102" t="str">
        <f>IF(生产日报4取值!J40=0,"",生产日报4取值!J40)</f>
        <v/>
      </c>
      <c r="O40" s="297"/>
      <c r="P40" s="297"/>
      <c r="Q40" s="392"/>
      <c r="R40" s="392"/>
    </row>
    <row customHeight="1" ht="15.75">
      <c r="A41" s="297"/>
      <c r="B41" s="540" t="s">
        <v>163</v>
      </c>
      <c r="C41" s="540"/>
      <c r="D41" s="84"/>
      <c r="E41" s="84">
        <f>IF(生产日报4取值!E41=0,"",生产日报4取值!E41)</f>
        <v>932.22</v>
      </c>
      <c r="F41" s="84"/>
      <c r="G41" s="84" t="str">
        <f>IF(生产日报4取值!F41=0,"",生产日报4取值!F41)</f>
        <v/>
      </c>
      <c r="H41" s="84"/>
      <c r="I41" s="84" t="str">
        <f>IF(生产日报4取值!G41=0,"",生产日报4取值!G41)</f>
        <v/>
      </c>
      <c r="J41" s="84"/>
      <c r="K41" s="84">
        <f>IF(生产日报4取值!H41=0,"",生产日报4取值!H41)</f>
        <v>2327</v>
      </c>
      <c r="L41" s="84"/>
      <c r="M41" s="84">
        <f>SUM(E41:L41)</f>
        <v>3259.22</v>
      </c>
      <c r="N41" s="102" t="str">
        <f>IF(生产日报4取值!J41=0,"",生产日报4取值!J41)</f>
        <v/>
      </c>
      <c r="O41" s="297"/>
      <c r="P41" s="297"/>
      <c r="Q41" s="392"/>
      <c r="R41" s="392"/>
    </row>
    <row customHeight="1" ht="15.75">
      <c r="A42" s="297"/>
      <c r="B42" s="540" t="s">
        <v>164</v>
      </c>
      <c r="C42" s="540"/>
      <c r="D42" s="84"/>
      <c r="E42" s="84">
        <f>IF(生产日报4取值!E42=0,"",生产日报4取值!E42)</f>
        <v>2432</v>
      </c>
      <c r="F42" s="84"/>
      <c r="G42" s="84" t="str">
        <f>IF(生产日报4取值!F42=0,"",生产日报4取值!F42)</f>
        <v/>
      </c>
      <c r="H42" s="84"/>
      <c r="I42" s="84" t="str">
        <f>IF(生产日报4取值!G42=0,"",生产日报4取值!G42)</f>
        <v/>
      </c>
      <c r="J42" s="84"/>
      <c r="K42" s="84">
        <f>IF(生产日报4取值!H42=0,"",生产日报4取值!H42)</f>
        <v>4784.06</v>
      </c>
      <c r="L42" s="84"/>
      <c r="M42" s="84">
        <f>SUM(E42:L42)</f>
        <v>7216.06</v>
      </c>
      <c r="N42" s="102" t="str">
        <f>IF(生产日报4取值!J42=0,"",生产日报4取值!J42)</f>
        <v/>
      </c>
      <c r="O42" s="297"/>
      <c r="P42" s="297"/>
      <c r="Q42" s="392"/>
      <c r="R42" s="392"/>
    </row>
    <row customHeight="1" ht="15.75">
      <c r="A43" s="297"/>
      <c r="B43" s="540" t="s">
        <v>165</v>
      </c>
      <c r="C43" s="540"/>
      <c r="D43" s="84"/>
      <c r="E43" s="84" t="str">
        <f>IF(生产日报4取值!E43=0,"",生产日报4取值!E43)</f>
        <v/>
      </c>
      <c r="F43" s="84"/>
      <c r="G43" s="84" t="str">
        <f>IF(生产日报4取值!F43=0,"",生产日报4取值!F43)</f>
        <v/>
      </c>
      <c r="H43" s="84"/>
      <c r="I43" s="84">
        <f>IF(生产日报4取值!G43=0,"",生产日报4取值!G43)</f>
        <v>1252</v>
      </c>
      <c r="J43" s="84"/>
      <c r="K43" s="84">
        <f>IF(生产日报4取值!H43=0,"",生产日报4取值!H43)</f>
        <v>1271</v>
      </c>
      <c r="L43" s="84"/>
      <c r="M43" s="84">
        <f>SUM(E43:L43)</f>
        <v>2523</v>
      </c>
      <c r="N43" s="102" t="str">
        <f>IF(生产日报4取值!J43=0,"",生产日报4取值!J43)</f>
        <v/>
      </c>
      <c r="O43" s="297"/>
      <c r="P43" s="297"/>
      <c r="Q43" s="392"/>
      <c r="R43" s="392"/>
    </row>
    <row customHeight="1" ht="15.75">
      <c r="A44" s="297"/>
      <c r="B44" s="540" t="s">
        <v>166</v>
      </c>
      <c r="C44" s="540"/>
      <c r="D44" s="84"/>
      <c r="E44" s="84">
        <f>IF(生产日报4取值!E44=0,"",生产日报4取值!E44)</f>
        <v>1571.54</v>
      </c>
      <c r="F44" s="84"/>
      <c r="G44" s="84" t="str">
        <f>IF(生产日报4取值!F44=0,"",生产日报4取值!F44)</f>
        <v/>
      </c>
      <c r="H44" s="84"/>
      <c r="I44" s="84" t="str">
        <f>IF(生产日报4取值!G44=0,"",生产日报4取值!G44)</f>
        <v/>
      </c>
      <c r="J44" s="84"/>
      <c r="K44" s="84" t="str">
        <f>IF(生产日报4取值!H44=0,"",生产日报4取值!H44)</f>
        <v/>
      </c>
      <c r="L44" s="84"/>
      <c r="M44" s="84">
        <f>SUM(E44:L44)</f>
        <v>1571.54</v>
      </c>
      <c r="N44" s="102" t="str">
        <f>IF(生产日报4取值!J44=0,"",生产日报4取值!J44)</f>
        <v/>
      </c>
      <c r="O44" s="297"/>
      <c r="P44" s="297"/>
      <c r="Q44" s="392"/>
      <c r="R44" s="392"/>
    </row>
    <row customHeight="1" ht="15.75">
      <c r="A45" s="297"/>
      <c r="B45" s="540" t="s">
        <v>167</v>
      </c>
      <c r="C45" s="540"/>
      <c r="D45" s="84"/>
      <c r="E45" s="84">
        <f>IF(生产日报4取值!E45=0,"",生产日报4取值!E45)</f>
        <v>1263.62</v>
      </c>
      <c r="F45" s="84"/>
      <c r="G45" s="84" t="str">
        <f>IF(生产日报4取值!F45=0,"",生产日报4取值!F45)</f>
        <v/>
      </c>
      <c r="H45" s="84"/>
      <c r="I45" s="84" t="str">
        <f>IF(生产日报4取值!G45=0,"",生产日报4取值!G45)</f>
        <v/>
      </c>
      <c r="J45" s="84"/>
      <c r="K45" s="84" t="str">
        <f>IF(生产日报4取值!H45=0,"",生产日报4取值!H45)</f>
        <v/>
      </c>
      <c r="L45" s="84"/>
      <c r="M45" s="84">
        <f>SUM(E45:L45)</f>
        <v>1263.62</v>
      </c>
      <c r="N45" s="102" t="str">
        <f>IF(生产日报4取值!J45=0,"",生产日报4取值!J45)</f>
        <v/>
      </c>
      <c r="O45" s="297"/>
      <c r="P45" s="297"/>
      <c r="Q45" s="392"/>
      <c r="R45" s="392"/>
    </row>
    <row customHeight="1" ht="15.75">
      <c r="A46" s="297"/>
      <c r="B46" s="540" t="s">
        <v>168</v>
      </c>
      <c r="C46" s="540"/>
      <c r="D46" s="84"/>
      <c r="E46" s="84"/>
      <c r="F46" s="84"/>
      <c r="G46" s="84" t="str">
        <f>IF(生产日报4取值!F46=0,"",生产日报4取值!F46)</f>
        <v/>
      </c>
      <c r="H46" s="84"/>
      <c r="I46" s="84" t="str">
        <f>IF(生产日报4取值!G46=0,"",生产日报4取值!G46)</f>
        <v/>
      </c>
      <c r="J46" s="84"/>
      <c r="K46" s="84" t="str">
        <f>IF(生产日报4取值!H46=0,"",生产日报4取值!H46)</f>
        <v/>
      </c>
      <c r="L46" s="84"/>
      <c r="M46" s="84"/>
      <c r="N46" s="102" t="str">
        <f>IF(生产日报4取值!J46=0,"",生产日报4取值!J46)</f>
        <v/>
      </c>
      <c r="O46" s="297"/>
      <c r="P46" s="297"/>
      <c r="Q46" s="392"/>
      <c r="R46" s="392"/>
    </row>
    <row customHeight="1" ht="15.75">
      <c r="A47" s="297"/>
      <c r="B47" s="540" t="s">
        <v>169</v>
      </c>
      <c r="C47" s="540"/>
      <c r="D47" s="84">
        <f>生产日报4取值!D47</f>
        <v>0</v>
      </c>
      <c r="E47" s="84">
        <f>IF(生产日报4取值!E47=0,"",生产日报4取值!E47)</f>
        <v>527.4</v>
      </c>
      <c r="F47" s="84"/>
      <c r="G47" s="84" t="str">
        <f>IF(生产日报4取值!F47=0,"",生产日报4取值!F47)</f>
        <v/>
      </c>
      <c r="H47" s="84"/>
      <c r="I47" s="87">
        <f>IF(生产日报4取值!G47=0,"",生产日报4取值!G47)</f>
        <v>1427</v>
      </c>
      <c r="J47" s="87"/>
      <c r="K47" s="84" t="str">
        <f>IF(生产日报4取值!H47=0,"",生产日报4取值!H47)</f>
        <v/>
      </c>
      <c r="L47" s="84"/>
      <c r="M47" s="84">
        <f>SUM(E47:L47)</f>
        <v>1954.4</v>
      </c>
      <c r="N47" s="102" t="str">
        <f>IF(生产日报4取值!J47=0,"",生产日报4取值!J47)</f>
        <v/>
      </c>
      <c r="O47" s="297"/>
      <c r="P47" s="297"/>
      <c r="Q47" s="392"/>
      <c r="R47" s="392"/>
    </row>
    <row customHeight="1" ht="15.75">
      <c r="A48" s="297"/>
      <c r="B48" s="540" t="s">
        <v>170</v>
      </c>
      <c r="C48" s="540"/>
      <c r="D48" s="84"/>
      <c r="E48" s="84" t="str">
        <f>IF(生产日报4取值!E48=0,"",生产日报4取值!E48)</f>
        <v/>
      </c>
      <c r="F48" s="84"/>
      <c r="G48" s="84" t="str">
        <f>IF(生产日报4取值!F48=0,"",生产日报4取值!F48)</f>
        <v/>
      </c>
      <c r="H48" s="140"/>
      <c r="I48" s="84">
        <f>IF(生产日报4取值!G48=0,"",生产日报4取值!G48)</f>
        <v>163.18</v>
      </c>
      <c r="J48" s="84"/>
      <c r="K48" s="179" t="str">
        <f>IF(生产日报4取值!H48=0,"",生产日报4取值!H48)</f>
        <v/>
      </c>
      <c r="L48" s="84"/>
      <c r="M48" s="84">
        <f>SUM(E48:L48)</f>
        <v>163.18</v>
      </c>
      <c r="N48" s="102" t="str">
        <f>IF(生产日报4取值!J48=0,"",生产日报4取值!J48)</f>
        <v/>
      </c>
      <c r="O48" s="297"/>
      <c r="P48" s="297"/>
      <c r="Q48" s="392"/>
      <c r="R48" s="392"/>
    </row>
    <row customHeight="1" ht="15.75">
      <c r="A49" s="297"/>
      <c r="B49" s="232" t="s">
        <v>59</v>
      </c>
      <c r="C49" s="233" t="s">
        <v>60</v>
      </c>
      <c r="D49" s="90" t="s">
        <v>233</v>
      </c>
      <c r="E49" s="90"/>
      <c r="F49" s="88" t="s">
        <v>110</v>
      </c>
      <c r="G49" s="548"/>
      <c r="H49" s="390" t="str">
        <f>IF(生产日报6!I33=0,"",生产日报6!I33)</f>
        <v>胡连鹏</v>
      </c>
      <c r="I49" s="390"/>
      <c r="J49" s="549"/>
      <c r="K49" s="88" t="s">
        <v>121</v>
      </c>
      <c r="L49" s="88"/>
      <c r="M49" s="389" t="str">
        <f>IF(生产日报6!N33=0,"",生产日报6!N33)</f>
        <v>李阿君</v>
      </c>
      <c r="N49" s="238"/>
      <c r="O49" s="297"/>
      <c r="P49" s="297"/>
      <c r="Q49" s="392"/>
      <c r="R49" s="392"/>
    </row>
    <row customHeight="1" ht="13.5">
      <c r="A50" s="297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3"/>
      <c r="O50" s="297"/>
      <c r="P50" s="297"/>
      <c r="Q50" s="392"/>
      <c r="R50" s="392"/>
    </row>
    <row customHeight="1" ht="13.5">
      <c r="A51" s="297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3"/>
      <c r="O51" s="297"/>
      <c r="P51" s="297"/>
      <c r="Q51" s="392"/>
      <c r="R51" s="392"/>
    </row>
    <row customHeight="1" ht="13.5">
      <c r="A52" s="297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3"/>
      <c r="O52" s="297"/>
      <c r="P52" s="297"/>
      <c r="Q52" s="392"/>
      <c r="R52" s="392"/>
    </row>
    <row customHeight="1" ht="13.5">
      <c r="A53" s="297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3"/>
      <c r="O53" s="297"/>
      <c r="P53" s="297"/>
      <c r="Q53" s="392"/>
      <c r="R53" s="392"/>
    </row>
    <row customHeight="1" ht="13.5">
      <c r="A54" s="297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3"/>
      <c r="O54" s="297"/>
      <c r="P54" s="297"/>
      <c r="Q54" s="392"/>
      <c r="R54" s="392"/>
    </row>
  </sheetData>
  <mergeCells count="243">
    <mergeCell ref="B1:N1"/>
    <mergeCell ref="B2:C2"/>
    <mergeCell ref="D2:E2"/>
    <mergeCell ref="F2:G2"/>
    <mergeCell ref="H2:I2"/>
    <mergeCell ref="J2:L2"/>
    <mergeCell ref="M2:N2"/>
    <mergeCell ref="E3:F3"/>
    <mergeCell ref="G3:H3"/>
    <mergeCell ref="I3:J3"/>
    <mergeCell ref="K3:L3"/>
    <mergeCell ref="E4:F4"/>
    <mergeCell ref="G4:H4"/>
    <mergeCell ref="I4:J4"/>
    <mergeCell ref="K4:L4"/>
    <mergeCell ref="B5:C5"/>
    <mergeCell ref="E5:F5"/>
    <mergeCell ref="G5:H5"/>
    <mergeCell ref="I5:J5"/>
    <mergeCell ref="K5:L5"/>
    <mergeCell ref="B6:C6"/>
    <mergeCell ref="E6:F6"/>
    <mergeCell ref="G6:H6"/>
    <mergeCell ref="I6:J6"/>
    <mergeCell ref="K6:L6"/>
    <mergeCell ref="B7:C7"/>
    <mergeCell ref="E7:F7"/>
    <mergeCell ref="G7:H7"/>
    <mergeCell ref="I7:J7"/>
    <mergeCell ref="K7:L7"/>
    <mergeCell ref="B8:C8"/>
    <mergeCell ref="E8:F8"/>
    <mergeCell ref="G8:H8"/>
    <mergeCell ref="I8:J8"/>
    <mergeCell ref="K8:L8"/>
    <mergeCell ref="B9:C9"/>
    <mergeCell ref="E9:F9"/>
    <mergeCell ref="G9:H9"/>
    <mergeCell ref="I9:J9"/>
    <mergeCell ref="K9:L9"/>
    <mergeCell ref="B10:C10"/>
    <mergeCell ref="E10:F10"/>
    <mergeCell ref="G10:H10"/>
    <mergeCell ref="I10:J10"/>
    <mergeCell ref="K10:L10"/>
    <mergeCell ref="B11:C11"/>
    <mergeCell ref="E11:F11"/>
    <mergeCell ref="G11:H11"/>
    <mergeCell ref="I11:J11"/>
    <mergeCell ref="K11:L11"/>
    <mergeCell ref="B12:C12"/>
    <mergeCell ref="E12:F12"/>
    <mergeCell ref="G12:H12"/>
    <mergeCell ref="I12:J12"/>
    <mergeCell ref="K12:L12"/>
    <mergeCell ref="B13:C13"/>
    <mergeCell ref="E13:F13"/>
    <mergeCell ref="G13:H13"/>
    <mergeCell ref="I13:J13"/>
    <mergeCell ref="K13:L13"/>
    <mergeCell ref="B14:C14"/>
    <mergeCell ref="E14:F14"/>
    <mergeCell ref="G14:H14"/>
    <mergeCell ref="I14:J14"/>
    <mergeCell ref="K14:L14"/>
    <mergeCell ref="B15:C15"/>
    <mergeCell ref="E15:F15"/>
    <mergeCell ref="G15:H15"/>
    <mergeCell ref="I15:J15"/>
    <mergeCell ref="K15:L15"/>
    <mergeCell ref="B16:C16"/>
    <mergeCell ref="E16:F16"/>
    <mergeCell ref="G16:H16"/>
    <mergeCell ref="I16:J16"/>
    <mergeCell ref="K16:L16"/>
    <mergeCell ref="B17:C17"/>
    <mergeCell ref="E17:F17"/>
    <mergeCell ref="G17:H17"/>
    <mergeCell ref="I17:J17"/>
    <mergeCell ref="K17:L17"/>
    <mergeCell ref="B18:C18"/>
    <mergeCell ref="E18:F18"/>
    <mergeCell ref="G18:H18"/>
    <mergeCell ref="I18:J18"/>
    <mergeCell ref="K18:L18"/>
    <mergeCell ref="B19:C19"/>
    <mergeCell ref="E19:F19"/>
    <mergeCell ref="G19:H19"/>
    <mergeCell ref="I19:J19"/>
    <mergeCell ref="K19:L19"/>
    <mergeCell ref="B20:C20"/>
    <mergeCell ref="E20:F20"/>
    <mergeCell ref="G20:H20"/>
    <mergeCell ref="I20:J20"/>
    <mergeCell ref="K20:L20"/>
    <mergeCell ref="B21:C21"/>
    <mergeCell ref="E21:F21"/>
    <mergeCell ref="G21:H21"/>
    <mergeCell ref="I21:J21"/>
    <mergeCell ref="K21:L21"/>
    <mergeCell ref="B22:C22"/>
    <mergeCell ref="E22:F22"/>
    <mergeCell ref="G22:H22"/>
    <mergeCell ref="I22:J22"/>
    <mergeCell ref="K22:L22"/>
    <mergeCell ref="B23:C23"/>
    <mergeCell ref="E23:F23"/>
    <mergeCell ref="G23:H23"/>
    <mergeCell ref="I23:J23"/>
    <mergeCell ref="K23:L23"/>
    <mergeCell ref="B24:C24"/>
    <mergeCell ref="E24:F24"/>
    <mergeCell ref="G24:H24"/>
    <mergeCell ref="I24:J24"/>
    <mergeCell ref="K24:L24"/>
    <mergeCell ref="B25:C25"/>
    <mergeCell ref="E25:F25"/>
    <mergeCell ref="G25:H25"/>
    <mergeCell ref="I25:J25"/>
    <mergeCell ref="K25:L25"/>
    <mergeCell ref="B26:C26"/>
    <mergeCell ref="E26:F26"/>
    <mergeCell ref="G26:H26"/>
    <mergeCell ref="I26:J26"/>
    <mergeCell ref="K26:L26"/>
    <mergeCell ref="B27:C27"/>
    <mergeCell ref="E27:F27"/>
    <mergeCell ref="G27:H27"/>
    <mergeCell ref="I27:J27"/>
    <mergeCell ref="K27:L27"/>
    <mergeCell ref="B28:C28"/>
    <mergeCell ref="E28:F28"/>
    <mergeCell ref="G28:H28"/>
    <mergeCell ref="I28:J28"/>
    <mergeCell ref="K28:L28"/>
    <mergeCell ref="B29:C29"/>
    <mergeCell ref="E29:F29"/>
    <mergeCell ref="G29:H29"/>
    <mergeCell ref="I29:J29"/>
    <mergeCell ref="K29:L29"/>
    <mergeCell ref="B30:C30"/>
    <mergeCell ref="E30:F30"/>
    <mergeCell ref="G30:H30"/>
    <mergeCell ref="I30:J30"/>
    <mergeCell ref="K30:L30"/>
    <mergeCell ref="B31:C31"/>
    <mergeCell ref="E31:F31"/>
    <mergeCell ref="G31:H31"/>
    <mergeCell ref="I31:J31"/>
    <mergeCell ref="K31:L31"/>
    <mergeCell ref="B32:C32"/>
    <mergeCell ref="E32:F32"/>
    <mergeCell ref="G32:H32"/>
    <mergeCell ref="I32:J32"/>
    <mergeCell ref="K32:L32"/>
    <mergeCell ref="B33:C33"/>
    <mergeCell ref="E33:F33"/>
    <mergeCell ref="G33:H33"/>
    <mergeCell ref="I33:J33"/>
    <mergeCell ref="K33:L33"/>
    <mergeCell ref="B34:C34"/>
    <mergeCell ref="E34:F34"/>
    <mergeCell ref="G34:H34"/>
    <mergeCell ref="I34:J34"/>
    <mergeCell ref="K34:L34"/>
    <mergeCell ref="B35:C35"/>
    <mergeCell ref="E35:F35"/>
    <mergeCell ref="G35:H35"/>
    <mergeCell ref="I35:J35"/>
    <mergeCell ref="K35:L35"/>
    <mergeCell ref="B36:C36"/>
    <mergeCell ref="E36:F36"/>
    <mergeCell ref="G36:H36"/>
    <mergeCell ref="I36:J36"/>
    <mergeCell ref="K36:L36"/>
    <mergeCell ref="B37:C37"/>
    <mergeCell ref="E37:F37"/>
    <mergeCell ref="G37:H37"/>
    <mergeCell ref="I37:J37"/>
    <mergeCell ref="K37:L37"/>
    <mergeCell ref="B38:C38"/>
    <mergeCell ref="E38:F38"/>
    <mergeCell ref="G38:H38"/>
    <mergeCell ref="I38:J38"/>
    <mergeCell ref="K38:L38"/>
    <mergeCell ref="B39:C39"/>
    <mergeCell ref="E39:F39"/>
    <mergeCell ref="G39:H39"/>
    <mergeCell ref="I39:J39"/>
    <mergeCell ref="K39:L39"/>
    <mergeCell ref="B40:C40"/>
    <mergeCell ref="E40:F40"/>
    <mergeCell ref="G40:H40"/>
    <mergeCell ref="I40:J40"/>
    <mergeCell ref="K40:L40"/>
    <mergeCell ref="B41:C41"/>
    <mergeCell ref="E41:F41"/>
    <mergeCell ref="G41:H41"/>
    <mergeCell ref="I41:J41"/>
    <mergeCell ref="K41:L41"/>
    <mergeCell ref="B42:C42"/>
    <mergeCell ref="E42:F42"/>
    <mergeCell ref="G42:H42"/>
    <mergeCell ref="I42:J42"/>
    <mergeCell ref="K42:L42"/>
    <mergeCell ref="B43:C43"/>
    <mergeCell ref="E43:F43"/>
    <mergeCell ref="G43:H43"/>
    <mergeCell ref="I43:J43"/>
    <mergeCell ref="K43:L43"/>
    <mergeCell ref="B44:C44"/>
    <mergeCell ref="E44:F44"/>
    <mergeCell ref="G44:H44"/>
    <mergeCell ref="I44:J44"/>
    <mergeCell ref="K44:L44"/>
    <mergeCell ref="B45:C45"/>
    <mergeCell ref="E45:F45"/>
    <mergeCell ref="G45:H45"/>
    <mergeCell ref="I45:J45"/>
    <mergeCell ref="K45:L45"/>
    <mergeCell ref="B46:C46"/>
    <mergeCell ref="E46:F46"/>
    <mergeCell ref="G46:H46"/>
    <mergeCell ref="I46:J46"/>
    <mergeCell ref="K46:L46"/>
    <mergeCell ref="B47:C47"/>
    <mergeCell ref="E47:F47"/>
    <mergeCell ref="G47:H47"/>
    <mergeCell ref="I47:J47"/>
    <mergeCell ref="K47:L47"/>
    <mergeCell ref="B48:C48"/>
    <mergeCell ref="E48:F48"/>
    <mergeCell ref="G48:H48"/>
    <mergeCell ref="I48:J48"/>
    <mergeCell ref="K48:L48"/>
    <mergeCell ref="F49:G49"/>
    <mergeCell ref="H49:I49"/>
    <mergeCell ref="K49:L49"/>
    <mergeCell ref="M49:N49"/>
    <mergeCell ref="D3:D4"/>
    <mergeCell ref="M3:M4"/>
    <mergeCell ref="N3:N4"/>
    <mergeCell ref="B3:C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B7C9548-EE37-88D2-B512-A4E7E10C3258}" mc:Ignorable="x14ac xr xr2 xr3">
  <dimension ref="A1:U183"/>
  <sheetViews>
    <sheetView defaultGridColor="0" colorId="31" zoomScale="90" workbookViewId="0">
      <pane xSplit="3" ySplit="4" topLeftCell="D57" activePane="bottomRight" state="frozen"/>
      <selection pane="bottomLeft" activeCell="A5" sqref="A5"/>
      <selection pane="topRight" activeCell="D1" sqref="D1"/>
      <selection pane="bottomRight" activeCell="H79" sqref="H79"/>
    </sheetView>
  </sheetViews>
  <sheetFormatPr defaultColWidth="10.00390625" customHeight="1" defaultRowHeight="13.5"/>
  <cols>
    <col min="1" max="1" style="74" width="2.7109375" customWidth="1"/>
    <col min="2" max="2" style="67" width="14.7109375" customWidth="1"/>
    <col min="3" max="3" style="67" width="10.421875" customWidth="1"/>
    <col min="4" max="4" style="67" width="9.7109375" customWidth="1"/>
    <col min="5" max="5" style="67" width="11.8515625" customWidth="1"/>
    <col min="6" max="6" style="67" width="11.00390625" customWidth="1"/>
    <col min="7" max="8" style="67" width="11.57421875" customWidth="1"/>
    <col min="9" max="9" style="67" width="8.140625" customWidth="1"/>
    <col min="10" max="10" style="67" width="10.00390625"/>
  </cols>
  <sheetData>
    <row customHeight="1" ht="18">
      <c r="A1" s="297"/>
      <c r="B1" s="200" t="s">
        <v>0</v>
      </c>
      <c r="C1" s="200"/>
      <c r="D1" s="200"/>
      <c r="E1" s="200"/>
      <c r="F1" s="200"/>
      <c r="G1" s="200"/>
      <c r="H1" s="200"/>
      <c r="I1" s="200"/>
      <c r="J1" s="200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</row>
    <row customHeight="1" ht="18.75">
      <c r="A2" s="297"/>
      <c r="B2" s="201" t="s">
        <v>64</v>
      </c>
      <c r="C2" s="202" t="s">
        <v>65</v>
      </c>
      <c r="D2" s="202"/>
      <c r="E2" s="201"/>
      <c r="F2" s="203" t="s">
        <v>3</v>
      </c>
      <c r="G2" s="203"/>
      <c r="H2" s="202" t="s">
        <v>6</v>
      </c>
      <c r="I2" s="202"/>
      <c r="J2" s="20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</row>
    <row customHeight="1" ht="14.25">
      <c r="A3" s="297"/>
      <c r="B3" s="204" t="s">
        <v>234</v>
      </c>
      <c r="C3" s="204"/>
      <c r="D3" s="205" t="s">
        <v>105</v>
      </c>
      <c r="E3" s="204" t="s">
        <v>9</v>
      </c>
      <c r="F3" s="204" t="s">
        <v>10</v>
      </c>
      <c r="G3" s="204" t="s">
        <v>11</v>
      </c>
      <c r="H3" s="204" t="s">
        <v>12</v>
      </c>
      <c r="I3" s="206" t="s">
        <v>106</v>
      </c>
      <c r="J3" s="206" t="s">
        <v>113</v>
      </c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</row>
    <row customHeight="1" ht="14.25">
      <c r="A4" s="297"/>
      <c r="B4" s="204"/>
      <c r="C4" s="204"/>
      <c r="D4" s="205"/>
      <c r="E4" s="206" t="s">
        <v>108</v>
      </c>
      <c r="F4" s="206" t="s">
        <v>108</v>
      </c>
      <c r="G4" s="206" t="s">
        <v>108</v>
      </c>
      <c r="H4" s="207" t="s">
        <v>108</v>
      </c>
      <c r="I4" s="206"/>
      <c r="J4" s="206"/>
      <c r="K4" s="392"/>
      <c r="L4" s="392"/>
      <c r="M4" s="392"/>
      <c r="N4" s="392"/>
      <c r="O4" s="392"/>
      <c r="P4" s="392"/>
      <c r="Q4" s="392"/>
      <c r="R4" s="392"/>
      <c r="S4" s="392"/>
      <c r="T4" s="392"/>
      <c r="U4" s="392"/>
    </row>
    <row customHeight="1" ht="13.5">
      <c r="A5" s="297"/>
      <c r="B5" s="553" t="s">
        <v>127</v>
      </c>
      <c r="C5" s="553"/>
      <c r="D5" s="209"/>
      <c r="E5" s="209">
        <f>_xlfn.IFERROR(E62,"")</f>
        <v>15104</v>
      </c>
      <c r="F5" s="209"/>
      <c r="G5" s="210"/>
      <c r="H5" s="103"/>
      <c r="I5" s="225">
        <f>_xlfn.IFERROR(E5+F5+G5+H5,"")</f>
        <v>15104</v>
      </c>
      <c r="J5" s="22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</row>
    <row customHeight="1" ht="13.5">
      <c r="A6" s="297"/>
      <c r="B6" s="559" t="s">
        <v>235</v>
      </c>
      <c r="C6" s="559"/>
      <c r="D6" s="212"/>
      <c r="E6" s="212"/>
      <c r="F6" s="212"/>
      <c r="G6" s="213">
        <f>_xlfn.IFERROR(SUM(G52:G54),"")</f>
        <v>0</v>
      </c>
      <c r="H6" s="101">
        <f>_xlfn.IFERROR(SUM(H104:H106),"")</f>
        <v>15427.98</v>
      </c>
      <c r="I6" s="225">
        <f>_xlfn.IFERROR(E6+F6+G6+H6,"")</f>
        <v>15427.98</v>
      </c>
      <c r="J6" s="218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</row>
    <row customHeight="1" ht="13.5">
      <c r="A7" s="297"/>
      <c r="B7" s="559" t="s">
        <v>129</v>
      </c>
      <c r="C7" s="559"/>
      <c r="D7" s="212"/>
      <c r="E7" s="212">
        <f>_xlfn.IFERROR(E131,"")</f>
        <v>10912</v>
      </c>
      <c r="F7" s="212">
        <f>_xlfn.IFERROR(F73,"")</f>
        <v>3190</v>
      </c>
      <c r="G7" s="212">
        <f>_xlfn.IFERROR(G83,"")</f>
        <v>3055.94</v>
      </c>
      <c r="H7" s="209"/>
      <c r="I7" s="225">
        <f>_xlfn.IFERROR(E7+F7+G7+H7,"")</f>
        <v>17157.94</v>
      </c>
      <c r="J7" s="218"/>
      <c r="K7" s="146"/>
      <c r="L7" s="146"/>
      <c r="M7" s="159"/>
      <c r="N7" s="146"/>
      <c r="O7" s="146"/>
      <c r="P7" s="146"/>
      <c r="Q7" s="146"/>
      <c r="R7" s="146"/>
      <c r="S7" s="146"/>
      <c r="T7" s="146"/>
      <c r="U7" s="146"/>
    </row>
    <row customHeight="1" ht="13.5">
      <c r="A8" s="297"/>
      <c r="B8" s="559" t="s">
        <v>236</v>
      </c>
      <c r="C8" s="559"/>
      <c r="D8" s="212"/>
      <c r="E8" s="212">
        <f>_xlfn.IFERROR(E126,"")</f>
        <v>6778.44</v>
      </c>
      <c r="F8" s="212"/>
      <c r="G8" s="212"/>
      <c r="H8" s="212">
        <f>_xlfn.IFERROR(I52,"")</f>
        <v>10912</v>
      </c>
      <c r="I8" s="225">
        <f>_xlfn.IFERROR(E8+F8+G8+H8,"")</f>
        <v>17690.44</v>
      </c>
      <c r="J8" s="218"/>
      <c r="K8" s="227"/>
      <c r="L8" s="146"/>
      <c r="M8" s="159"/>
      <c r="N8" s="146"/>
      <c r="O8" s="146"/>
      <c r="P8" s="146"/>
      <c r="Q8" s="146"/>
      <c r="R8" s="146"/>
      <c r="S8" s="146"/>
      <c r="T8" s="146"/>
      <c r="U8" s="146"/>
    </row>
    <row customHeight="1" ht="13.5">
      <c r="A9" s="297"/>
      <c r="B9" s="559" t="s">
        <v>131</v>
      </c>
      <c r="C9" s="559"/>
      <c r="D9" s="212"/>
      <c r="E9" s="212">
        <f>_xlfn.IFERROR(E149,"")</f>
        <v>571.28</v>
      </c>
      <c r="F9" s="212"/>
      <c r="G9" s="212"/>
      <c r="H9" s="212"/>
      <c r="I9" s="225">
        <f>_xlfn.IFERROR(E9+F9+G9+H9,"")</f>
        <v>571.28</v>
      </c>
      <c r="J9" s="218"/>
      <c r="K9" s="227"/>
      <c r="L9" s="146"/>
      <c r="M9" s="159"/>
      <c r="N9" s="146"/>
      <c r="O9" s="146"/>
      <c r="P9" s="146"/>
      <c r="Q9" s="146"/>
      <c r="R9" s="146"/>
      <c r="S9" s="146"/>
      <c r="T9" s="146"/>
      <c r="U9" s="146"/>
    </row>
    <row customHeight="1" ht="13.5">
      <c r="A10" s="297"/>
      <c r="B10" s="559" t="s">
        <v>237</v>
      </c>
      <c r="C10" s="559"/>
      <c r="D10" s="212"/>
      <c r="E10" s="212">
        <f>_xlfn.IFERROR(E150,"")</f>
        <v>1527</v>
      </c>
      <c r="F10" s="212"/>
      <c r="G10" s="212"/>
      <c r="H10" s="212"/>
      <c r="I10" s="225">
        <f>_xlfn.IFERROR(E10+F10+G10+H10,"")</f>
        <v>1527</v>
      </c>
      <c r="J10" s="218"/>
      <c r="K10" s="392"/>
      <c r="L10" s="146"/>
      <c r="M10" s="159"/>
      <c r="N10" s="146"/>
      <c r="O10" s="146"/>
      <c r="P10" s="146"/>
      <c r="Q10" s="146"/>
      <c r="R10" s="146"/>
      <c r="S10" s="146"/>
      <c r="T10" s="146"/>
      <c r="U10" s="146"/>
    </row>
    <row customHeight="1" ht="13.5">
      <c r="A11" s="297"/>
      <c r="B11" s="559" t="s">
        <v>133</v>
      </c>
      <c r="C11" s="559"/>
      <c r="D11" s="212"/>
      <c r="E11" s="212">
        <f>_xlfn.IFERROR(E133,"")</f>
        <v>29162</v>
      </c>
      <c r="F11" s="212"/>
      <c r="G11" s="212"/>
      <c r="H11" s="212"/>
      <c r="I11" s="225">
        <f>_xlfn.IFERROR(E11+F11+G11+H11,"")</f>
        <v>29162</v>
      </c>
      <c r="J11" s="218"/>
      <c r="K11" s="392"/>
      <c r="L11" s="146"/>
      <c r="M11" s="159"/>
      <c r="N11" s="146"/>
      <c r="O11" s="146"/>
      <c r="P11" s="146"/>
      <c r="Q11" s="146"/>
      <c r="R11" s="146"/>
      <c r="S11" s="146"/>
      <c r="T11" s="146"/>
      <c r="U11" s="146"/>
    </row>
    <row customHeight="1" ht="13.5">
      <c r="A12" s="297"/>
      <c r="B12" s="559" t="s">
        <v>238</v>
      </c>
      <c r="C12" s="559"/>
      <c r="D12" s="212"/>
      <c r="E12" s="212"/>
      <c r="F12" s="212"/>
      <c r="G12" s="212"/>
      <c r="H12" s="212">
        <f>_xlfn.IFERROR(H79,"")</f>
        <v>29162</v>
      </c>
      <c r="I12" s="225">
        <f>_xlfn.IFERROR(E12+F12+G12+H12,"")</f>
        <v>29162</v>
      </c>
      <c r="J12" s="218"/>
      <c r="K12" s="392"/>
      <c r="L12" s="146"/>
      <c r="M12" s="146"/>
      <c r="N12" s="146"/>
      <c r="O12" s="146"/>
      <c r="P12" s="146"/>
      <c r="Q12" s="146"/>
      <c r="R12" s="146"/>
      <c r="S12" s="146"/>
      <c r="T12" s="146"/>
      <c r="U12" s="146"/>
    </row>
    <row customHeight="1" ht="13.5">
      <c r="A13" s="297"/>
      <c r="B13" s="559" t="s">
        <v>135</v>
      </c>
      <c r="C13" s="559"/>
      <c r="D13" s="212"/>
      <c r="E13" s="212">
        <f>_xlfn.IFERROR(E135,"")</f>
        <v>34344</v>
      </c>
      <c r="F13" s="212"/>
      <c r="G13" s="212"/>
      <c r="H13" s="212"/>
      <c r="I13" s="225">
        <f>_xlfn.IFERROR(E13+F13+G13+H13,"")</f>
        <v>34344</v>
      </c>
      <c r="J13" s="218"/>
      <c r="K13" s="392"/>
      <c r="L13" s="146"/>
      <c r="M13" s="146"/>
      <c r="N13" s="146"/>
      <c r="O13" s="146"/>
      <c r="P13" s="146"/>
      <c r="Q13" s="146"/>
      <c r="R13" s="146"/>
      <c r="S13" s="146"/>
      <c r="T13" s="146"/>
      <c r="U13" s="146"/>
    </row>
    <row customHeight="1" ht="13.5">
      <c r="A14" s="297"/>
      <c r="B14" s="559" t="s">
        <v>239</v>
      </c>
      <c r="C14" s="559"/>
      <c r="D14" s="212"/>
      <c r="E14" s="212"/>
      <c r="F14" s="212"/>
      <c r="G14" s="212"/>
      <c r="H14" s="212">
        <f>_xlfn.IFERROR(SUM(H81:H83),"")</f>
        <v>34344</v>
      </c>
      <c r="I14" s="225">
        <f>_xlfn.IFERROR(E14+F14+G14+H14,"")</f>
        <v>34344</v>
      </c>
      <c r="J14" s="218"/>
      <c r="K14" s="392"/>
      <c r="L14" s="146"/>
      <c r="M14" s="159"/>
      <c r="N14" s="146"/>
      <c r="O14" s="146"/>
      <c r="P14" s="146"/>
      <c r="Q14" s="146"/>
      <c r="R14" s="146"/>
      <c r="S14" s="146"/>
      <c r="T14" s="146"/>
      <c r="U14" s="146"/>
    </row>
    <row customHeight="1" ht="13.5">
      <c r="A15" s="297"/>
      <c r="B15" s="559" t="s">
        <v>137</v>
      </c>
      <c r="C15" s="559"/>
      <c r="D15" s="214"/>
      <c r="E15" s="214"/>
      <c r="F15" s="214"/>
      <c r="G15" s="214"/>
      <c r="H15" s="214"/>
      <c r="I15" s="225">
        <f>_xlfn.IFERROR(E15+F15+G15+H15,"")</f>
        <v>0</v>
      </c>
      <c r="J15" s="218"/>
      <c r="K15" s="392"/>
      <c r="L15" s="392"/>
      <c r="M15" s="392"/>
      <c r="N15" s="392"/>
      <c r="O15" s="392"/>
      <c r="P15" s="392"/>
      <c r="Q15" s="392"/>
      <c r="R15" s="392"/>
      <c r="S15" s="392"/>
      <c r="T15" s="392"/>
      <c r="U15" s="392"/>
    </row>
    <row customHeight="1" ht="18">
      <c r="A16" s="297"/>
      <c r="B16" s="559" t="s">
        <v>138</v>
      </c>
      <c r="C16" s="559"/>
      <c r="D16" s="212"/>
      <c r="E16" s="212">
        <f>_xlfn.IFERROR(E73,"")</f>
        <v>43275</v>
      </c>
      <c r="F16" s="212">
        <f>_xlfn.IFERROR(SUM(F64:F66),"")</f>
        <v>17294</v>
      </c>
      <c r="G16" s="212">
        <f>_xlfn.IFERROR(SUM(G56:G57),"")</f>
        <v>13992</v>
      </c>
      <c r="H16" s="212">
        <f>_xlfn.IFERROR(SUM(H60:H67),"")</f>
        <v>64460</v>
      </c>
      <c r="I16" s="225">
        <f>_xlfn.IFERROR(E16+F16+G16,"")</f>
        <v>74561</v>
      </c>
      <c r="J16" s="218" t="str">
        <f>_xlfn.IFERROR(I16/D16*100,"")</f>
        <v/>
      </c>
      <c r="K16" s="392"/>
      <c r="L16" s="392"/>
      <c r="M16" s="392"/>
      <c r="N16" s="392"/>
      <c r="O16" s="392"/>
      <c r="P16" s="392"/>
      <c r="Q16" s="392"/>
      <c r="R16" s="392"/>
      <c r="S16" s="392"/>
      <c r="T16" s="392"/>
      <c r="U16" s="392"/>
    </row>
    <row customHeight="1" ht="13.5">
      <c r="A17" s="297"/>
      <c r="B17" s="559" t="s">
        <v>139</v>
      </c>
      <c r="C17" s="559"/>
      <c r="D17" s="212"/>
      <c r="E17" s="212">
        <f>_xlfn.IFERROR(E77,"")</f>
        <v>50161</v>
      </c>
      <c r="F17" s="212">
        <f>_xlfn.IFERROR(SUM(F52:F55),"")</f>
        <v>19647</v>
      </c>
      <c r="G17" s="212">
        <f>_xlfn.IFERROR(SUM(G59:G61),"")</f>
        <v>13500</v>
      </c>
      <c r="H17" s="212">
        <f>_xlfn.IFERROR(SUM(H57:H58),"")</f>
        <v>45804</v>
      </c>
      <c r="I17" s="225">
        <f>_xlfn.IFERROR(E17+F17+G17,"")</f>
        <v>83308</v>
      </c>
      <c r="J17" s="218" t="str">
        <f>_xlfn.IFERROR(I17/D17*100,"")</f>
        <v/>
      </c>
      <c r="K17" s="392"/>
      <c r="L17" s="392"/>
      <c r="M17" s="392"/>
      <c r="N17" s="392"/>
      <c r="O17" s="392"/>
      <c r="P17" s="392"/>
      <c r="Q17" s="392"/>
      <c r="R17" s="392"/>
      <c r="S17" s="392"/>
      <c r="T17" s="392"/>
      <c r="U17" s="392"/>
    </row>
    <row customHeight="1" ht="13.5">
      <c r="A18" s="297"/>
      <c r="B18" s="559" t="s">
        <v>140</v>
      </c>
      <c r="C18" s="559"/>
      <c r="D18" s="212"/>
      <c r="E18" s="212">
        <f>_xlfn.IFERROR(E82,"")</f>
        <v>10205</v>
      </c>
      <c r="F18" s="212">
        <f>_xlfn.IFERROR(F56,"")</f>
        <v>4282</v>
      </c>
      <c r="G18" s="212">
        <f>_xlfn.IFERROR(G63,"")</f>
        <v>4572</v>
      </c>
      <c r="H18" s="212"/>
      <c r="I18" s="225">
        <f>_xlfn.IFERROR(E18+F18+G18,"")</f>
        <v>19059</v>
      </c>
      <c r="J18" s="218" t="str">
        <f>_xlfn.IFERROR(I18/D18*100,"")</f>
        <v/>
      </c>
      <c r="K18" s="392"/>
      <c r="L18" s="392"/>
      <c r="M18" s="392"/>
      <c r="N18" s="392"/>
      <c r="O18" s="392"/>
      <c r="P18" s="392"/>
      <c r="Q18" s="392"/>
      <c r="R18" s="392"/>
      <c r="S18" s="392"/>
      <c r="T18" s="392"/>
      <c r="U18" s="392"/>
    </row>
    <row customHeight="1" ht="13.5">
      <c r="A19" s="297"/>
      <c r="B19" s="559" t="s">
        <v>141</v>
      </c>
      <c r="C19" s="559"/>
      <c r="D19" s="212"/>
      <c r="E19" s="212">
        <f>_xlfn.IFERROR(E83,"")</f>
        <v>3397</v>
      </c>
      <c r="F19" s="212">
        <f>_xlfn.IFERROR(F70,"")</f>
        <v>0</v>
      </c>
      <c r="G19" s="212"/>
      <c r="H19" s="212"/>
      <c r="I19" s="225">
        <f>_xlfn.IFERROR(E19+F19+G19,"")</f>
        <v>3397</v>
      </c>
      <c r="J19" s="218" t="str">
        <f>_xlfn.IFERROR(I19/D19*100,"")</f>
        <v/>
      </c>
      <c r="K19" s="392"/>
      <c r="L19" s="392"/>
      <c r="M19" s="392"/>
      <c r="N19" s="392"/>
      <c r="O19" s="392"/>
      <c r="P19" s="392"/>
      <c r="Q19" s="392"/>
      <c r="R19" s="392"/>
      <c r="S19" s="392"/>
      <c r="T19" s="392"/>
      <c r="U19" s="392"/>
    </row>
    <row customHeight="1" ht="13.5">
      <c r="A20" s="297"/>
      <c r="B20" s="559" t="s">
        <v>142</v>
      </c>
      <c r="C20" s="559"/>
      <c r="D20" s="212"/>
      <c r="E20" s="212">
        <f>_xlfn.IFERROR(E85,"")</f>
        <v>561</v>
      </c>
      <c r="F20" s="212"/>
      <c r="G20" s="212"/>
      <c r="H20" s="212">
        <f>_xlfn.IFERROR(H54,"")</f>
        <v>1647</v>
      </c>
      <c r="I20" s="225">
        <f>_xlfn.IFERROR(E20+F20+G20,"")</f>
        <v>561</v>
      </c>
      <c r="J20" s="218" t="str">
        <f>_xlfn.IFERROR(I20/D20*100,"")</f>
        <v/>
      </c>
      <c r="K20" s="67"/>
      <c r="L20" s="146"/>
      <c r="M20" s="392"/>
      <c r="N20" s="392"/>
      <c r="O20" s="392"/>
      <c r="P20" s="392"/>
      <c r="Q20" s="392"/>
      <c r="R20" s="392"/>
      <c r="S20" s="392"/>
      <c r="T20" s="392"/>
      <c r="U20" s="392"/>
    </row>
    <row customHeight="1" ht="13.5">
      <c r="A21" s="297"/>
      <c r="B21" s="559" t="s">
        <v>143</v>
      </c>
      <c r="C21" s="559"/>
      <c r="D21" s="212"/>
      <c r="E21" s="212">
        <f>_xlfn.IFERROR(E147,"")</f>
        <v>0</v>
      </c>
      <c r="F21" s="212"/>
      <c r="G21" s="212"/>
      <c r="H21" s="212">
        <f>_xlfn.IFERROR(H71,"")</f>
        <v>2327</v>
      </c>
      <c r="I21" s="225">
        <f>_xlfn.IFERROR(E21+F21+G21,"")</f>
        <v>0</v>
      </c>
      <c r="J21" s="218" t="str">
        <f>_xlfn.IFERROR(I21/D21*100,"")</f>
        <v/>
      </c>
      <c r="K21" s="392"/>
      <c r="L21" s="392"/>
      <c r="M21" s="392"/>
      <c r="N21" s="392"/>
      <c r="O21" s="392"/>
      <c r="P21" s="392"/>
      <c r="Q21" s="392"/>
      <c r="R21" s="392"/>
      <c r="S21" s="392"/>
      <c r="T21" s="392"/>
      <c r="U21" s="392"/>
    </row>
    <row customHeight="1" ht="11.25">
      <c r="A22" s="297"/>
      <c r="B22" s="559" t="s">
        <v>144</v>
      </c>
      <c r="C22" s="559"/>
      <c r="D22" s="212"/>
      <c r="E22" s="212">
        <f>_xlfn.IFERROR(E86,"")</f>
        <v>2100</v>
      </c>
      <c r="F22" s="212"/>
      <c r="G22" s="212"/>
      <c r="H22" s="212">
        <f>_xlfn.IFERROR(H73,"")</f>
        <v>4269.06</v>
      </c>
      <c r="I22" s="225">
        <f>_xlfn.IFERROR(E22+F22+G22+H22,"")</f>
        <v>6369.06</v>
      </c>
      <c r="J22" s="218" t="str">
        <f>_xlfn.IFERROR(I22/D22*100,"")</f>
        <v/>
      </c>
      <c r="K22" s="392"/>
      <c r="L22" s="392"/>
      <c r="M22" s="392"/>
      <c r="N22" s="392"/>
      <c r="O22" s="392"/>
      <c r="P22" s="392"/>
      <c r="Q22" s="392"/>
      <c r="R22" s="392"/>
      <c r="S22" s="392"/>
      <c r="T22" s="392"/>
      <c r="U22" s="392"/>
    </row>
    <row customHeight="1" ht="21.75">
      <c r="A23" s="297"/>
      <c r="B23" s="559" t="s">
        <v>145</v>
      </c>
      <c r="C23" s="559"/>
      <c r="D23" s="212"/>
      <c r="E23" s="212">
        <f>_xlfn.IFERROR(E94,"")</f>
        <v>688</v>
      </c>
      <c r="F23" s="212"/>
      <c r="G23" s="212">
        <f>_xlfn.IFERROR(G67,"")</f>
        <v>0</v>
      </c>
      <c r="H23" s="212">
        <f>_xlfn.IFERROR(H55,"")</f>
        <v>6006</v>
      </c>
      <c r="I23" s="212">
        <f>_xlfn.IFERROR(E23+F23+G23+H23,"")</f>
        <v>6694</v>
      </c>
      <c r="J23" s="218" t="str">
        <f>_xlfn.IFERROR(I23/D23*100,"")</f>
        <v/>
      </c>
      <c r="K23" s="67"/>
      <c r="L23" s="392"/>
      <c r="M23" s="392"/>
      <c r="N23" s="392"/>
      <c r="O23" s="392"/>
      <c r="P23" s="392"/>
      <c r="Q23" s="392"/>
      <c r="R23" s="392"/>
      <c r="S23" s="392"/>
      <c r="T23" s="392"/>
      <c r="U23" s="392"/>
    </row>
    <row customHeight="1" ht="13.5">
      <c r="A24" s="297"/>
      <c r="B24" s="559" t="s">
        <v>146</v>
      </c>
      <c r="C24" s="559"/>
      <c r="D24" s="212"/>
      <c r="E24" s="212">
        <f>_xlfn.IFERROR(E96,"")</f>
        <v>0</v>
      </c>
      <c r="F24" s="212"/>
      <c r="G24" s="212">
        <f>_xlfn.IFERROR(G65,"")</f>
        <v>1002</v>
      </c>
      <c r="H24" s="212">
        <f>_xlfn.IFERROR(H85,"")</f>
        <v>1308</v>
      </c>
      <c r="I24" s="212">
        <f>_xlfn.IFERROR(E24+F24+G24+H24,"")</f>
        <v>2310</v>
      </c>
      <c r="J24" s="218" t="str">
        <f>_xlfn.IFERROR(I24/D24*100,"")</f>
        <v/>
      </c>
      <c r="K24" s="392"/>
      <c r="L24" s="392"/>
      <c r="M24" s="392"/>
      <c r="N24" s="392"/>
      <c r="O24" s="392"/>
      <c r="P24" s="392"/>
      <c r="Q24" s="392"/>
      <c r="R24" s="392"/>
      <c r="S24" s="392"/>
      <c r="T24" s="392"/>
      <c r="U24" s="392"/>
    </row>
    <row customHeight="1" ht="13.5">
      <c r="A25" s="297"/>
      <c r="B25" s="559" t="s">
        <v>147</v>
      </c>
      <c r="C25" s="559"/>
      <c r="D25" s="212"/>
      <c r="E25" s="212">
        <f>_xlfn.IFERROR(E98,"")</f>
        <v>1075</v>
      </c>
      <c r="F25" s="212"/>
      <c r="G25" s="212"/>
      <c r="H25" s="212"/>
      <c r="I25" s="212">
        <f>_xlfn.IFERROR(E25+F25+G25+H25,"")</f>
        <v>1075</v>
      </c>
      <c r="J25" s="218" t="str">
        <f>_xlfn.IFERROR(I25/D25*100,"")</f>
        <v/>
      </c>
      <c r="K25" s="392"/>
      <c r="L25" s="392"/>
      <c r="M25" s="392"/>
      <c r="N25" s="392"/>
      <c r="O25" s="392"/>
      <c r="P25" s="392"/>
      <c r="Q25" s="392"/>
      <c r="R25" s="392"/>
      <c r="S25" s="392"/>
      <c r="T25" s="392"/>
      <c r="U25" s="392"/>
    </row>
    <row customHeight="1" ht="13.5">
      <c r="A26" s="297"/>
      <c r="B26" s="559" t="s">
        <v>148</v>
      </c>
      <c r="C26" s="559"/>
      <c r="D26" s="212"/>
      <c r="E26" s="212">
        <f>_xlfn.IFERROR(E100,"")</f>
        <v>1128</v>
      </c>
      <c r="F26" s="212"/>
      <c r="G26" s="212"/>
      <c r="H26" s="212"/>
      <c r="I26" s="212">
        <f>_xlfn.IFERROR(E26+F26+G26+H26,"")</f>
        <v>1128</v>
      </c>
      <c r="J26" s="218" t="str">
        <f>_xlfn.IFERROR(I26/D26*100,"")</f>
        <v/>
      </c>
      <c r="K26" s="392"/>
      <c r="L26" s="392"/>
      <c r="M26" s="392"/>
      <c r="N26" s="392"/>
      <c r="O26" s="392"/>
      <c r="P26" s="392"/>
      <c r="Q26" s="392"/>
      <c r="R26" s="392"/>
      <c r="S26" s="392"/>
      <c r="T26" s="392"/>
      <c r="U26" s="392"/>
    </row>
    <row customHeight="1" ht="13.5">
      <c r="A27" s="297"/>
      <c r="B27" s="559" t="s">
        <v>149</v>
      </c>
      <c r="C27" s="559"/>
      <c r="D27" s="212"/>
      <c r="E27" s="212">
        <f>_xlfn.IFERROR(E102,"")</f>
        <v>100</v>
      </c>
      <c r="F27" s="212">
        <f>_xlfn.IFERROR(F57,"")</f>
        <v>54</v>
      </c>
      <c r="G27" s="212">
        <f>_xlfn.IFERROR(G87,"")</f>
        <v>111</v>
      </c>
      <c r="H27" s="212">
        <f>_xlfn.IFERROR(H87,"")</f>
        <v>1</v>
      </c>
      <c r="I27" s="212">
        <f>_xlfn.IFERROR(E27+F27+G27+H27,"")</f>
        <v>266</v>
      </c>
      <c r="J27" s="218" t="str">
        <f>_xlfn.IFERROR(I27/D27*100,"")</f>
        <v/>
      </c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</row>
    <row customHeight="1" ht="13.5">
      <c r="A28" s="297"/>
      <c r="B28" s="559" t="s">
        <v>150</v>
      </c>
      <c r="C28" s="559"/>
      <c r="D28" s="212"/>
      <c r="E28" s="212"/>
      <c r="F28" s="215"/>
      <c r="G28" s="212"/>
      <c r="H28" s="212">
        <f>_xlfn.IFERROR(H88,"")</f>
        <v>0</v>
      </c>
      <c r="I28" s="212">
        <f>_xlfn.IFERROR(E28+F28+G28+H28,"")</f>
        <v>0</v>
      </c>
      <c r="J28" s="218" t="str">
        <f>_xlfn.IFERROR(I28/D28*100,"")</f>
        <v/>
      </c>
      <c r="K28" s="392"/>
      <c r="L28" s="392"/>
      <c r="M28" s="392"/>
      <c r="N28" s="392"/>
      <c r="O28" s="392"/>
      <c r="P28" s="392"/>
      <c r="Q28" s="392"/>
      <c r="R28" s="392"/>
      <c r="S28" s="392"/>
      <c r="T28" s="392"/>
      <c r="U28" s="392"/>
    </row>
    <row customHeight="1" ht="13.5">
      <c r="A29" s="297"/>
      <c r="B29" s="559" t="s">
        <v>151</v>
      </c>
      <c r="C29" s="559"/>
      <c r="D29" s="214"/>
      <c r="E29" s="214"/>
      <c r="F29" s="214"/>
      <c r="G29" s="214"/>
      <c r="H29" s="214"/>
      <c r="I29" s="212"/>
      <c r="J29" s="218"/>
      <c r="K29" s="392"/>
      <c r="L29" s="392"/>
      <c r="M29" s="392"/>
      <c r="N29" s="392"/>
      <c r="O29" s="392"/>
      <c r="P29" s="392"/>
      <c r="Q29" s="392"/>
      <c r="R29" s="392"/>
      <c r="S29" s="392"/>
      <c r="T29" s="392"/>
      <c r="U29" s="392"/>
    </row>
    <row customHeight="1" ht="13.5">
      <c r="A30" s="297"/>
      <c r="B30" s="559" t="s">
        <v>152</v>
      </c>
      <c r="C30" s="559"/>
      <c r="D30" s="212"/>
      <c r="E30" s="212">
        <f>_xlfn.IFERROR(E66,"")</f>
        <v>57060</v>
      </c>
      <c r="F30" s="212">
        <f>_xlfn.IFERROR(SUM(F31:F34)+F76,"")</f>
        <v>17226</v>
      </c>
      <c r="G30" s="212">
        <f>_xlfn.IFERROR(SUM(G32+G34),"")</f>
        <v>19096</v>
      </c>
      <c r="H30" s="212"/>
      <c r="I30" s="212">
        <f>_xlfn.IFERROR(E30+F30+G30,"")</f>
        <v>93382</v>
      </c>
      <c r="J30" s="218" t="str">
        <f>_xlfn.IFERROR(I30/D30*100,"")</f>
        <v/>
      </c>
      <c r="K30" s="392"/>
      <c r="L30" s="392"/>
      <c r="M30" s="392"/>
      <c r="N30" s="392"/>
      <c r="O30" s="392"/>
      <c r="P30" s="392"/>
      <c r="Q30" s="392"/>
      <c r="R30" s="392"/>
      <c r="S30" s="392"/>
      <c r="T30" s="392"/>
      <c r="U30" s="392"/>
    </row>
    <row customHeight="1" ht="13.5">
      <c r="A31" s="297"/>
      <c r="B31" s="559" t="s">
        <v>228</v>
      </c>
      <c r="C31" s="559"/>
      <c r="D31" s="212"/>
      <c r="E31" s="212"/>
      <c r="F31" s="212"/>
      <c r="G31" s="212"/>
      <c r="H31" s="212"/>
      <c r="I31" s="212">
        <f>_xlfn.IFERROR(E31+F31+G31+H31,"")</f>
        <v>0</v>
      </c>
      <c r="J31" s="218" t="str">
        <f>_xlfn.IFERROR(I31/D31*100,"")</f>
        <v/>
      </c>
      <c r="K31" s="392"/>
      <c r="L31" s="392"/>
      <c r="M31" s="392"/>
      <c r="N31" s="392"/>
      <c r="O31" s="392"/>
      <c r="P31" s="392"/>
      <c r="Q31" s="392"/>
      <c r="R31" s="392"/>
      <c r="S31" s="392"/>
      <c r="T31" s="392"/>
      <c r="U31" s="392"/>
    </row>
    <row customHeight="1" ht="13.5">
      <c r="A32" s="297"/>
      <c r="B32" s="559" t="s">
        <v>229</v>
      </c>
      <c r="C32" s="559"/>
      <c r="D32" s="212"/>
      <c r="E32" s="212">
        <f>_xlfn.IFERROR(E52,"")</f>
        <v>32478</v>
      </c>
      <c r="F32" s="212">
        <f>_xlfn.IFERROR(F58,"")</f>
        <v>17226</v>
      </c>
      <c r="G32" s="212">
        <f>_xlfn.IFERROR(G71,"")</f>
        <v>16566</v>
      </c>
      <c r="H32" s="212"/>
      <c r="I32" s="212">
        <f>_xlfn.IFERROR(E32+F32+G32+H32,"")</f>
        <v>66270</v>
      </c>
      <c r="J32" s="218" t="str">
        <f>_xlfn.IFERROR(I32/D32*100,"")</f>
        <v/>
      </c>
      <c r="K32" s="392"/>
      <c r="L32" s="392"/>
      <c r="M32" s="392"/>
      <c r="N32" s="392"/>
      <c r="O32" s="392"/>
      <c r="P32" s="392"/>
      <c r="Q32" s="392"/>
      <c r="R32" s="392"/>
      <c r="S32" s="392"/>
      <c r="T32" s="392"/>
      <c r="U32" s="392"/>
    </row>
    <row customHeight="1" ht="13.5">
      <c r="A33" s="297"/>
      <c r="B33" s="559" t="s">
        <v>230</v>
      </c>
      <c r="C33" s="559"/>
      <c r="D33" s="212"/>
      <c r="E33" s="212"/>
      <c r="F33" s="212"/>
      <c r="G33" s="212"/>
      <c r="H33" s="212"/>
      <c r="I33" s="212"/>
      <c r="J33" s="218" t="str">
        <f>_xlfn.IFERROR(I33/D33*100,"")</f>
        <v/>
      </c>
      <c r="K33" s="392"/>
      <c r="L33" s="392"/>
      <c r="M33" s="392"/>
      <c r="N33" s="392"/>
      <c r="O33" s="392"/>
      <c r="P33" s="392"/>
      <c r="Q33" s="392"/>
      <c r="R33" s="392"/>
      <c r="S33" s="392"/>
      <c r="T33" s="392"/>
      <c r="U33" s="392"/>
    </row>
    <row customHeight="1" ht="13.5">
      <c r="A34" s="297"/>
      <c r="B34" s="559" t="s">
        <v>231</v>
      </c>
      <c r="C34" s="559"/>
      <c r="D34" s="212"/>
      <c r="E34" s="212">
        <f>_xlfn.IFERROR(E56,"")</f>
        <v>24582</v>
      </c>
      <c r="F34" s="212"/>
      <c r="G34" s="212">
        <f>_xlfn.IFERROR(G73,"")</f>
        <v>2530</v>
      </c>
      <c r="H34" s="212"/>
      <c r="I34" s="212">
        <f>_xlfn.IFERROR(E34+F34+G34+H34,"")</f>
        <v>27112</v>
      </c>
      <c r="J34" s="218" t="str">
        <f>_xlfn.IFERROR(I34/D34*100,"")</f>
        <v/>
      </c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/>
    </row>
    <row customHeight="1" ht="13.5">
      <c r="A35" s="297"/>
      <c r="B35" s="559" t="s">
        <v>157</v>
      </c>
      <c r="C35" s="559"/>
      <c r="D35" s="212"/>
      <c r="E35" s="212">
        <f>_xlfn.IFERROR(E58,"")</f>
        <v>43190</v>
      </c>
      <c r="F35" s="212">
        <f>_xlfn.IFERROR(SUM(F36:F38),"")</f>
        <v>17769</v>
      </c>
      <c r="G35" s="212">
        <f>_xlfn.IFERROR(SUM(G36:G38),"")</f>
        <v>22878</v>
      </c>
      <c r="H35" s="212"/>
      <c r="I35" s="212">
        <f>_xlfn.IFERROR(E35+F35+G35,"")</f>
        <v>83837</v>
      </c>
      <c r="J35" s="218" t="str">
        <f>_xlfn.IFERROR(I35/D35*100,"")</f>
        <v/>
      </c>
      <c r="K35" s="392"/>
      <c r="L35" s="392"/>
      <c r="M35" s="392"/>
      <c r="N35" s="392"/>
      <c r="O35" s="392"/>
      <c r="P35" s="392"/>
      <c r="Q35" s="392"/>
      <c r="R35" s="392"/>
      <c r="S35" s="392"/>
      <c r="T35" s="392"/>
      <c r="U35" s="392"/>
    </row>
    <row customHeight="1" ht="13.5">
      <c r="A36" s="297"/>
      <c r="B36" s="559" t="s">
        <v>232</v>
      </c>
      <c r="C36" s="559"/>
      <c r="D36" s="212"/>
      <c r="E36" s="212">
        <f>_xlfn.IFERROR(E140,"")</f>
        <v>43190</v>
      </c>
      <c r="F36" s="212">
        <f>_xlfn.IFERROR(F59,"")</f>
        <v>14410</v>
      </c>
      <c r="G36" s="212">
        <f>_xlfn.IFERROR(G75,"")</f>
        <v>17922</v>
      </c>
      <c r="H36" s="212"/>
      <c r="I36" s="212">
        <f>_xlfn.IFERROR(E36+F36+G36+H36,"")</f>
        <v>75522</v>
      </c>
      <c r="J36" s="218" t="str">
        <f>_xlfn.IFERROR(I36/D36*100,"")</f>
        <v/>
      </c>
      <c r="K36" s="392"/>
      <c r="L36" s="392"/>
      <c r="M36" s="392"/>
      <c r="N36" s="392"/>
      <c r="O36" s="392"/>
      <c r="P36" s="392"/>
      <c r="Q36" s="392"/>
      <c r="R36" s="392"/>
      <c r="S36" s="392"/>
      <c r="T36" s="392"/>
      <c r="U36" s="392"/>
    </row>
    <row customHeight="1" ht="13.5">
      <c r="A37" s="297"/>
      <c r="B37" s="559" t="s">
        <v>159</v>
      </c>
      <c r="C37" s="559"/>
      <c r="D37" s="212"/>
      <c r="E37" s="212">
        <f>_xlfn.IFERROR(E104,"")</f>
        <v>0</v>
      </c>
      <c r="F37" s="212">
        <f>_xlfn.IFERROR(F68,"")</f>
        <v>0</v>
      </c>
      <c r="G37" s="212">
        <f>_xlfn.IFERROR(G77,"")</f>
        <v>3792</v>
      </c>
      <c r="H37" s="212"/>
      <c r="I37" s="212">
        <f>_xlfn.IFERROR(E37+F37+G37+H37,"")</f>
        <v>3792</v>
      </c>
      <c r="J37" s="218" t="str">
        <f>_xlfn.IFERROR(I37/D37*100,"")</f>
        <v/>
      </c>
      <c r="K37" s="392"/>
      <c r="L37" s="392"/>
      <c r="M37" s="392"/>
      <c r="N37" s="392"/>
      <c r="O37" s="392"/>
      <c r="P37" s="392"/>
      <c r="Q37" s="392"/>
      <c r="R37" s="392"/>
      <c r="S37" s="392"/>
      <c r="T37" s="392"/>
      <c r="U37" s="392"/>
    </row>
    <row customHeight="1" ht="13.5">
      <c r="A38" s="297"/>
      <c r="B38" s="559" t="s">
        <v>160</v>
      </c>
      <c r="C38" s="559"/>
      <c r="D38" s="212"/>
      <c r="E38" s="212"/>
      <c r="F38" s="212">
        <f>_xlfn.IFERROR(F60,"")</f>
        <v>3359</v>
      </c>
      <c r="G38" s="212">
        <f>_xlfn.IFERROR(G79,"")</f>
        <v>1164</v>
      </c>
      <c r="H38" s="212"/>
      <c r="I38" s="212">
        <f>_xlfn.IFERROR(E38+F38+G38+H38,"")</f>
        <v>4523</v>
      </c>
      <c r="J38" s="218" t="str">
        <f>_xlfn.IFERROR(I38/D38*100,"")</f>
        <v/>
      </c>
      <c r="K38" s="392"/>
      <c r="L38" s="392"/>
      <c r="M38" s="392"/>
      <c r="N38" s="392"/>
      <c r="O38" s="392"/>
      <c r="P38" s="392"/>
      <c r="Q38" s="392"/>
      <c r="R38" s="392"/>
      <c r="S38" s="392"/>
      <c r="T38" s="392"/>
      <c r="U38" s="392"/>
    </row>
    <row customHeight="1" ht="13.5">
      <c r="A39" s="297"/>
      <c r="B39" s="559" t="s">
        <v>161</v>
      </c>
      <c r="C39" s="559"/>
      <c r="D39" s="212"/>
      <c r="E39" s="212">
        <f>_xlfn.IFERROR(E108,"")</f>
        <v>3562.92</v>
      </c>
      <c r="F39" s="212">
        <f>_xlfn.IFERROR(F71,"")</f>
        <v>0</v>
      </c>
      <c r="G39" s="212"/>
      <c r="H39" s="212"/>
      <c r="I39" s="212">
        <f>_xlfn.IFERROR(E39+F39+G39+H39,"")</f>
        <v>3562.92</v>
      </c>
      <c r="J39" s="218" t="str">
        <f>_xlfn.IFERROR(I39/D39*100,"")</f>
        <v/>
      </c>
      <c r="K39" s="392"/>
      <c r="L39" s="392"/>
      <c r="M39" s="392"/>
      <c r="N39" s="392"/>
      <c r="O39" s="392"/>
      <c r="P39" s="392"/>
      <c r="Q39" s="392"/>
      <c r="R39" s="392"/>
      <c r="S39" s="392"/>
      <c r="T39" s="392"/>
      <c r="U39" s="392"/>
    </row>
    <row customHeight="1" ht="13.5">
      <c r="A40" s="297"/>
      <c r="B40" s="559" t="s">
        <v>240</v>
      </c>
      <c r="C40" s="559"/>
      <c r="D40" s="212"/>
      <c r="E40" s="212">
        <f>_xlfn.IFERROR(E129,"")</f>
        <v>765.34</v>
      </c>
      <c r="F40" s="212"/>
      <c r="G40" s="212"/>
      <c r="H40" s="212"/>
      <c r="I40" s="212">
        <f>_xlfn.IFERROR(E40+F40+G40+H40,"")</f>
        <v>765.34</v>
      </c>
      <c r="J40" s="218" t="str">
        <f>_xlfn.IFERROR(I40/D40*100,"")</f>
        <v/>
      </c>
      <c r="K40" s="392"/>
      <c r="L40" s="392"/>
      <c r="M40" s="392"/>
      <c r="N40" s="392"/>
      <c r="O40" s="392"/>
      <c r="P40" s="392"/>
      <c r="Q40" s="392"/>
      <c r="R40" s="392"/>
      <c r="S40" s="392"/>
      <c r="T40" s="392"/>
      <c r="U40" s="392"/>
    </row>
    <row customHeight="1" ht="13.5">
      <c r="A41" s="297"/>
      <c r="B41" s="559" t="s">
        <v>163</v>
      </c>
      <c r="C41" s="559"/>
      <c r="D41" s="212"/>
      <c r="E41" s="212">
        <f>_xlfn.IFERROR(E110,"")</f>
        <v>932.22</v>
      </c>
      <c r="F41" s="212"/>
      <c r="G41" s="212"/>
      <c r="H41" s="212">
        <f>H99</f>
        <v>2327</v>
      </c>
      <c r="I41" s="212">
        <f>_xlfn.IFERROR(E41+F41+G41,"")</f>
        <v>932.22</v>
      </c>
      <c r="J41" s="218" t="str">
        <f>_xlfn.IFERROR(I41/D41*100,"")</f>
        <v/>
      </c>
      <c r="K41" s="392"/>
      <c r="L41" s="392"/>
      <c r="M41" s="392"/>
      <c r="N41" s="392"/>
      <c r="O41" s="392"/>
      <c r="P41" s="392"/>
      <c r="Q41" s="392"/>
      <c r="R41" s="392"/>
      <c r="S41" s="392"/>
      <c r="T41" s="392"/>
      <c r="U41" s="392"/>
    </row>
    <row customHeight="1" ht="13.5">
      <c r="A42" s="297"/>
      <c r="B42" s="559" t="s">
        <v>164</v>
      </c>
      <c r="C42" s="559"/>
      <c r="D42" s="212"/>
      <c r="E42" s="212">
        <f>_xlfn.IFERROR(E118,"")</f>
        <v>2432</v>
      </c>
      <c r="F42" s="212"/>
      <c r="G42" s="212"/>
      <c r="H42" s="212">
        <f>_xlfn.IFERROR(H52,"")</f>
        <v>4784.06</v>
      </c>
      <c r="I42" s="212">
        <f>_xlfn.IFERROR(E42+F42+G42,"")</f>
        <v>2432</v>
      </c>
      <c r="J42" s="218" t="str">
        <f>_xlfn.IFERROR(I42/D42*100,"")</f>
        <v/>
      </c>
      <c r="K42" s="392"/>
      <c r="L42" s="392"/>
      <c r="M42" s="392"/>
      <c r="N42" s="392"/>
      <c r="O42" s="392"/>
      <c r="P42" s="392"/>
      <c r="Q42" s="392"/>
      <c r="R42" s="392"/>
      <c r="S42" s="392"/>
      <c r="T42" s="392"/>
      <c r="U42" s="392"/>
    </row>
    <row customHeight="1" ht="13.5">
      <c r="A43" s="297"/>
      <c r="B43" s="559" t="s">
        <v>165</v>
      </c>
      <c r="C43" s="559"/>
      <c r="D43" s="212"/>
      <c r="E43" s="212">
        <f>_xlfn.IFERROR(E112,"")</f>
        <v>0</v>
      </c>
      <c r="F43" s="212"/>
      <c r="G43" s="212">
        <f>_xlfn.IFERROR(G81,"")</f>
        <v>1252</v>
      </c>
      <c r="H43" s="212">
        <f>_xlfn.IFERROR(H75,"")</f>
        <v>1271</v>
      </c>
      <c r="I43" s="212">
        <f>_xlfn.IFERROR(E43+F43+G43+H43,"")</f>
        <v>2523</v>
      </c>
      <c r="J43" s="218" t="str">
        <f>_xlfn.IFERROR(I43/D43*100,"")</f>
        <v/>
      </c>
      <c r="K43" s="392"/>
      <c r="L43" s="392"/>
      <c r="M43" s="392"/>
      <c r="N43" s="392"/>
      <c r="O43" s="392"/>
      <c r="P43" s="392"/>
      <c r="Q43" s="392"/>
      <c r="R43" s="392"/>
      <c r="S43" s="392"/>
      <c r="T43" s="392"/>
      <c r="U43" s="392"/>
    </row>
    <row customHeight="1" ht="13.5">
      <c r="A44" s="297"/>
      <c r="B44" s="559" t="s">
        <v>166</v>
      </c>
      <c r="C44" s="559"/>
      <c r="D44" s="212"/>
      <c r="E44" s="212">
        <f>_xlfn.IFERROR(E114,"")</f>
        <v>1571.54</v>
      </c>
      <c r="F44" s="212"/>
      <c r="G44" s="212"/>
      <c r="H44" s="212"/>
      <c r="I44" s="212">
        <f>_xlfn.IFERROR(E44+F44+G44+H44,"")</f>
        <v>1571.54</v>
      </c>
      <c r="J44" s="218" t="str">
        <f>_xlfn.IFERROR(I44/D44*100,"")</f>
        <v/>
      </c>
      <c r="K44" s="392"/>
      <c r="L44" s="392"/>
      <c r="M44" s="392"/>
      <c r="N44" s="392"/>
      <c r="O44" s="392"/>
      <c r="P44" s="392"/>
      <c r="Q44" s="392"/>
      <c r="R44" s="392"/>
      <c r="S44" s="392"/>
      <c r="T44" s="392"/>
      <c r="U44" s="392"/>
    </row>
    <row customHeight="1" ht="13.5">
      <c r="A45" s="297"/>
      <c r="B45" s="559" t="s">
        <v>167</v>
      </c>
      <c r="C45" s="559"/>
      <c r="D45" s="212"/>
      <c r="E45" s="212">
        <f>_xlfn.IFERROR(E116,"")</f>
        <v>1263.62</v>
      </c>
      <c r="F45" s="212"/>
      <c r="G45" s="212"/>
      <c r="H45" s="212"/>
      <c r="I45" s="212">
        <f>_xlfn.IFERROR(E45+F45+G45+H45,"")</f>
        <v>1263.62</v>
      </c>
      <c r="J45" s="218" t="str">
        <f>_xlfn.IFERROR(I45/D45*100,"")</f>
        <v/>
      </c>
      <c r="K45" s="392"/>
      <c r="L45" s="392"/>
      <c r="M45" s="392"/>
      <c r="N45" s="392"/>
      <c r="O45" s="392"/>
      <c r="P45" s="392"/>
      <c r="Q45" s="392"/>
      <c r="R45" s="392"/>
      <c r="S45" s="392"/>
      <c r="T45" s="392"/>
      <c r="U45" s="392"/>
    </row>
    <row customHeight="1" ht="13.5">
      <c r="A46" s="297"/>
      <c r="B46" s="559" t="s">
        <v>168</v>
      </c>
      <c r="C46" s="559"/>
      <c r="D46" s="212"/>
      <c r="E46" s="212">
        <f>_xlfn.IFERROR(E152,"")</f>
        <v>19355</v>
      </c>
      <c r="F46" s="212"/>
      <c r="G46" s="212"/>
      <c r="H46" s="212"/>
      <c r="I46" s="212">
        <f>_xlfn.IFERROR(E46+F46+G46+H46,"")</f>
        <v>19355</v>
      </c>
      <c r="J46" s="218" t="str">
        <f>_xlfn.IFERROR(I46/D46*100,"")</f>
        <v/>
      </c>
      <c r="K46" s="392"/>
      <c r="L46" s="392"/>
      <c r="M46" s="392"/>
      <c r="N46" s="392"/>
      <c r="O46" s="392"/>
      <c r="P46" s="392"/>
      <c r="Q46" s="392"/>
      <c r="R46" s="392"/>
      <c r="S46" s="392"/>
      <c r="T46" s="392"/>
      <c r="U46" s="392"/>
    </row>
    <row customHeight="1" ht="13.5">
      <c r="A47" s="297"/>
      <c r="B47" s="559" t="s">
        <v>169</v>
      </c>
      <c r="C47" s="559"/>
      <c r="D47" s="212"/>
      <c r="E47" s="212">
        <f>_xlfn.IFERROR(E71,"")</f>
        <v>527.4</v>
      </c>
      <c r="F47" s="212">
        <f>_xlfn.IFERROR(F81,"")</f>
        <v>0</v>
      </c>
      <c r="G47" s="212">
        <f>_xlfn.IFERROR(G89,"")</f>
        <v>1427</v>
      </c>
      <c r="H47" s="212"/>
      <c r="I47" s="212">
        <f>_xlfn.IFERROR(E47+F47+G47+H47,"")</f>
        <v>1954.4</v>
      </c>
      <c r="J47" s="218" t="str">
        <f>_xlfn.IFERROR(I47/D47*100,"")</f>
        <v/>
      </c>
      <c r="K47" s="392"/>
      <c r="L47" s="392"/>
      <c r="M47" s="392"/>
      <c r="N47" s="392"/>
      <c r="O47" s="392"/>
      <c r="P47" s="392"/>
      <c r="Q47" s="392"/>
      <c r="R47" s="392"/>
      <c r="S47" s="392"/>
      <c r="T47" s="392"/>
      <c r="U47" s="392"/>
    </row>
    <row customHeight="1" ht="13.5">
      <c r="A48" s="297"/>
      <c r="B48" s="566" t="s">
        <v>170</v>
      </c>
      <c r="C48" s="566"/>
      <c r="D48" s="212"/>
      <c r="E48" s="212">
        <f>_xlfn.IFERROR(E137,"")</f>
        <v>0</v>
      </c>
      <c r="F48" s="212">
        <f>_xlfn.IFERROR(F62,"")</f>
        <v>0</v>
      </c>
      <c r="G48" s="212">
        <f>_xlfn.IFERROR(G91,"")</f>
        <v>163.18</v>
      </c>
      <c r="H48" s="212">
        <f>_xlfn.IFERROR(SUM(H77:H77),"")</f>
        <v>0</v>
      </c>
      <c r="I48" s="212">
        <f>_xlfn.IFERROR(E48+F48+G48+H48,"")</f>
        <v>163.18</v>
      </c>
      <c r="J48" s="218" t="str">
        <f>_xlfn.IFERROR(I48/D48*100,"")</f>
        <v/>
      </c>
      <c r="K48" s="392"/>
      <c r="L48" s="392"/>
      <c r="M48" s="392"/>
      <c r="N48" s="392"/>
      <c r="O48" s="392"/>
      <c r="P48" s="392"/>
      <c r="Q48" s="392"/>
      <c r="R48" s="392"/>
      <c r="S48" s="392"/>
      <c r="T48" s="392"/>
      <c r="U48" s="392"/>
    </row>
    <row customHeight="1" ht="13.5">
      <c r="A49" s="297"/>
      <c r="B49" s="217" t="s">
        <v>59</v>
      </c>
      <c r="C49" s="217"/>
      <c r="D49" s="218"/>
      <c r="E49" s="217"/>
      <c r="F49" s="217"/>
      <c r="G49" s="217"/>
      <c r="H49" s="218"/>
      <c r="I49" s="217"/>
      <c r="J49" s="218" t="str">
        <f>_xlfn.IFERROR(I49/D49*100,"")</f>
        <v/>
      </c>
      <c r="K49" s="392"/>
      <c r="L49" s="392"/>
      <c r="M49" s="392"/>
      <c r="N49" s="392"/>
      <c r="O49" s="392"/>
      <c r="P49" s="392"/>
      <c r="Q49" s="392"/>
      <c r="R49" s="392"/>
      <c r="S49" s="392"/>
      <c r="T49" s="392"/>
      <c r="U49" s="392"/>
    </row>
    <row customHeight="1" ht="22.5">
      <c r="A50" s="297"/>
      <c r="B50" s="206" t="s">
        <v>59</v>
      </c>
      <c r="C50" s="206" t="s">
        <v>104</v>
      </c>
      <c r="D50" s="206"/>
      <c r="E50" s="206"/>
      <c r="F50" s="206" t="s">
        <v>110</v>
      </c>
      <c r="G50" s="219"/>
      <c r="H50" s="206"/>
      <c r="I50" s="206" t="s">
        <v>121</v>
      </c>
      <c r="J50" s="206" t="s">
        <v>122</v>
      </c>
      <c r="K50" s="392"/>
      <c r="L50" s="392"/>
      <c r="M50" s="392"/>
      <c r="N50" s="392"/>
      <c r="O50" s="392"/>
      <c r="P50" s="392"/>
      <c r="Q50" s="392"/>
      <c r="R50" s="392"/>
      <c r="S50" s="392"/>
      <c r="T50" s="392"/>
      <c r="U50" s="392"/>
    </row>
    <row customHeight="1" ht="22.5">
      <c r="A51" s="297"/>
      <c r="B51" s="90"/>
      <c r="C51" s="90"/>
      <c r="D51" s="90"/>
      <c r="E51" s="67"/>
      <c r="F51" s="90"/>
      <c r="G51" s="220"/>
      <c r="H51" s="90"/>
      <c r="I51" s="90"/>
      <c r="J51" s="90"/>
      <c r="K51" s="146"/>
      <c r="L51" s="146"/>
      <c r="M51" s="146"/>
      <c r="N51" s="146"/>
      <c r="O51" s="392"/>
      <c r="P51" s="392"/>
      <c r="Q51" s="392"/>
      <c r="R51" s="392"/>
      <c r="S51" s="392"/>
      <c r="T51" s="392"/>
      <c r="U51" s="392"/>
    </row>
    <row customHeight="1" ht="14.25">
      <c r="A52" s="297"/>
      <c r="B52" s="220"/>
      <c r="C52" s="220"/>
      <c r="D52" s="221"/>
      <c r="E52" s="159">
        <v>32478</v>
      </c>
      <c r="F52" s="222">
        <v>18295</v>
      </c>
      <c r="G52" s="67"/>
      <c r="H52" s="146">
        <v>4784.06</v>
      </c>
      <c r="I52" s="67">
        <v>10912</v>
      </c>
      <c r="J52" s="221"/>
      <c r="K52" s="146"/>
      <c r="L52" s="146"/>
      <c r="M52" s="146"/>
      <c r="N52" s="146"/>
      <c r="O52" s="392"/>
      <c r="P52" s="392"/>
      <c r="Q52" s="392"/>
      <c r="R52" s="392"/>
      <c r="S52" s="392"/>
      <c r="T52" s="392"/>
      <c r="U52" s="392"/>
    </row>
    <row customHeight="1" ht="14.25">
      <c r="A53" s="297"/>
      <c r="B53" s="67"/>
      <c r="C53" s="67"/>
      <c r="D53" s="67"/>
      <c r="E53" s="159"/>
      <c r="F53" s="222">
        <v>0</v>
      </c>
      <c r="G53" s="67"/>
      <c r="H53" s="221"/>
      <c r="I53" s="221"/>
      <c r="J53" s="221"/>
      <c r="K53" s="67"/>
      <c r="L53" s="146"/>
      <c r="M53" s="146"/>
      <c r="N53" s="146"/>
      <c r="O53" s="392"/>
      <c r="P53" s="392"/>
      <c r="Q53" s="392"/>
      <c r="R53" s="392"/>
      <c r="S53" s="392"/>
      <c r="T53" s="392"/>
      <c r="U53" s="392"/>
    </row>
    <row customHeight="1" ht="14.25">
      <c r="A54" s="297"/>
      <c r="B54" s="67"/>
      <c r="C54" s="67"/>
      <c r="D54" s="67"/>
      <c r="E54" s="159"/>
      <c r="F54" s="222">
        <v>1352</v>
      </c>
      <c r="G54" s="67"/>
      <c r="H54" s="146">
        <v>1647</v>
      </c>
      <c r="I54" s="221"/>
      <c r="J54" s="224"/>
      <c r="K54" s="67"/>
      <c r="L54" s="146"/>
      <c r="M54" s="146"/>
      <c r="N54" s="146"/>
      <c r="O54" s="392"/>
      <c r="P54" s="392"/>
      <c r="Q54" s="392"/>
      <c r="R54" s="392"/>
      <c r="S54" s="392"/>
      <c r="T54" s="392"/>
      <c r="U54" s="392"/>
    </row>
    <row customHeight="1" ht="14.25">
      <c r="A55" s="297"/>
      <c r="B55" s="67"/>
      <c r="C55" s="67"/>
      <c r="D55" s="67"/>
      <c r="E55" s="67"/>
      <c r="F55" s="222">
        <v>0</v>
      </c>
      <c r="G55" s="67"/>
      <c r="H55" s="146">
        <v>6006</v>
      </c>
      <c r="I55" s="220"/>
      <c r="J55" s="224"/>
      <c r="K55" s="67"/>
      <c r="L55" s="146"/>
      <c r="M55" s="146"/>
      <c r="N55" s="146"/>
      <c r="O55" s="392"/>
      <c r="P55" s="392"/>
      <c r="Q55" s="392"/>
      <c r="R55" s="392"/>
      <c r="S55" s="392"/>
      <c r="T55" s="392"/>
      <c r="U55" s="392"/>
    </row>
    <row customHeight="1" ht="14.25">
      <c r="A56" s="297"/>
      <c r="B56" s="67"/>
      <c r="C56" s="67"/>
      <c r="D56" s="221"/>
      <c r="E56" s="159">
        <v>24582</v>
      </c>
      <c r="F56" s="222">
        <v>4282</v>
      </c>
      <c r="G56" s="67">
        <v>8500</v>
      </c>
      <c r="H56" s="223"/>
      <c r="I56" s="220"/>
      <c r="J56" s="220"/>
      <c r="K56" s="146"/>
      <c r="L56" s="146"/>
      <c r="M56" s="146"/>
      <c r="N56" s="146"/>
      <c r="O56" s="392"/>
      <c r="P56" s="392"/>
      <c r="Q56" s="392"/>
      <c r="R56" s="392"/>
      <c r="S56" s="392"/>
      <c r="T56" s="392"/>
      <c r="U56" s="392"/>
    </row>
    <row customHeight="1" ht="14.25">
      <c r="A57" s="297"/>
      <c r="B57" s="67"/>
      <c r="C57" s="67"/>
      <c r="D57" s="221"/>
      <c r="E57" s="159"/>
      <c r="F57" s="222">
        <v>54</v>
      </c>
      <c r="G57" s="67">
        <v>5492</v>
      </c>
      <c r="H57" s="224">
        <v>13439</v>
      </c>
      <c r="I57" s="220"/>
      <c r="J57" s="220"/>
      <c r="K57" s="146"/>
      <c r="L57" s="146"/>
      <c r="M57" s="146"/>
      <c r="N57" s="146"/>
      <c r="O57" s="392"/>
      <c r="P57" s="392"/>
      <c r="Q57" s="392"/>
      <c r="R57" s="392"/>
      <c r="S57" s="392"/>
      <c r="T57" s="392"/>
      <c r="U57" s="392"/>
    </row>
    <row customHeight="1" ht="14.25">
      <c r="A58" s="297"/>
      <c r="B58" s="67"/>
      <c r="C58" s="67"/>
      <c r="D58" s="221"/>
      <c r="E58" s="159">
        <v>43190</v>
      </c>
      <c r="F58" s="67">
        <v>17226</v>
      </c>
      <c r="G58" s="67"/>
      <c r="H58" s="224">
        <v>32365</v>
      </c>
      <c r="I58" s="220"/>
      <c r="J58" s="220"/>
      <c r="K58" s="146"/>
      <c r="L58" s="146"/>
      <c r="M58" s="146"/>
      <c r="N58" s="146"/>
      <c r="O58" s="392"/>
      <c r="P58" s="392"/>
      <c r="Q58" s="392"/>
      <c r="R58" s="392"/>
      <c r="S58" s="392"/>
      <c r="T58" s="392"/>
      <c r="U58" s="392"/>
    </row>
    <row customHeight="1" ht="14.25">
      <c r="A59" s="297"/>
      <c r="B59" s="67"/>
      <c r="C59" s="67"/>
      <c r="D59" s="221"/>
      <c r="E59" s="67"/>
      <c r="F59" s="67">
        <v>14410</v>
      </c>
      <c r="G59" s="67">
        <v>10000</v>
      </c>
      <c r="H59" s="67"/>
      <c r="I59" s="220"/>
      <c r="J59" s="220"/>
      <c r="K59" s="146"/>
      <c r="L59" s="146"/>
      <c r="M59" s="146"/>
      <c r="N59" s="146"/>
      <c r="O59" s="392"/>
      <c r="P59" s="392"/>
      <c r="Q59" s="392"/>
      <c r="R59" s="392"/>
      <c r="S59" s="392"/>
      <c r="T59" s="392"/>
      <c r="U59" s="392"/>
    </row>
    <row customHeight="1" ht="13.5">
      <c r="A60" s="297"/>
      <c r="B60" s="220"/>
      <c r="C60" s="220"/>
      <c r="D60" s="220"/>
      <c r="E60" s="67"/>
      <c r="F60" s="67">
        <v>3359</v>
      </c>
      <c r="G60" s="67">
        <v>3500</v>
      </c>
      <c r="H60" s="146">
        <v>17000</v>
      </c>
      <c r="I60" s="220"/>
      <c r="J60" s="220"/>
      <c r="K60" s="146"/>
      <c r="L60" s="146"/>
      <c r="M60" s="146"/>
      <c r="N60" s="146"/>
      <c r="O60" s="392"/>
      <c r="P60" s="392"/>
      <c r="Q60" s="392"/>
      <c r="R60" s="392"/>
      <c r="S60" s="392"/>
      <c r="T60" s="392"/>
      <c r="U60" s="392"/>
    </row>
    <row customHeight="1" ht="13.5">
      <c r="A61" s="297"/>
      <c r="B61" s="220"/>
      <c r="C61" s="220"/>
      <c r="D61" s="220"/>
      <c r="E61" s="67"/>
      <c r="F61" s="67"/>
      <c r="G61" s="67"/>
      <c r="H61" s="146">
        <v>5467</v>
      </c>
      <c r="I61" s="220"/>
      <c r="J61" s="220"/>
      <c r="K61" s="146"/>
      <c r="L61" s="146"/>
      <c r="M61" s="146"/>
      <c r="N61" s="146"/>
      <c r="O61" s="392"/>
      <c r="P61" s="392"/>
      <c r="Q61" s="392"/>
      <c r="R61" s="392"/>
      <c r="S61" s="392"/>
      <c r="T61" s="392"/>
      <c r="U61" s="392"/>
    </row>
    <row customHeight="1" ht="13.5">
      <c r="A62" s="297"/>
      <c r="B62" s="220"/>
      <c r="C62" s="220"/>
      <c r="D62" s="220"/>
      <c r="E62" s="67">
        <v>15104</v>
      </c>
      <c r="F62" s="222">
        <v>0</v>
      </c>
      <c r="G62" s="67"/>
      <c r="H62" s="146">
        <v>2647</v>
      </c>
      <c r="I62" s="220"/>
      <c r="J62" s="220"/>
      <c r="K62" s="146"/>
      <c r="L62" s="146"/>
      <c r="M62" s="146"/>
      <c r="N62" s="146"/>
      <c r="O62" s="392"/>
      <c r="P62" s="392"/>
      <c r="Q62" s="392"/>
      <c r="R62" s="392"/>
      <c r="S62" s="392"/>
      <c r="T62" s="392"/>
      <c r="U62" s="392"/>
    </row>
    <row customHeight="1" ht="13.5">
      <c r="A63" s="297"/>
      <c r="B63" s="220"/>
      <c r="C63" s="220"/>
      <c r="D63" s="220"/>
      <c r="E63" s="67"/>
      <c r="F63" s="67"/>
      <c r="G63" s="67">
        <v>4572</v>
      </c>
      <c r="H63" s="146">
        <v>112</v>
      </c>
      <c r="I63" s="220"/>
      <c r="J63" s="220"/>
      <c r="K63" s="146"/>
      <c r="L63" s="146"/>
      <c r="M63" s="146"/>
      <c r="N63" s="146"/>
      <c r="O63" s="392"/>
      <c r="P63" s="392"/>
      <c r="Q63" s="392"/>
      <c r="R63" s="392"/>
      <c r="S63" s="392"/>
      <c r="T63" s="392"/>
      <c r="U63" s="392"/>
    </row>
    <row customHeight="1" ht="13.5">
      <c r="A64" s="297"/>
      <c r="B64" s="67"/>
      <c r="C64" s="67"/>
      <c r="D64" s="67"/>
      <c r="E64" s="67"/>
      <c r="F64" s="222">
        <v>0</v>
      </c>
      <c r="G64" s="67"/>
      <c r="H64" s="146">
        <v>6006</v>
      </c>
      <c r="I64" s="67"/>
      <c r="J64" s="67"/>
      <c r="K64" s="146"/>
      <c r="L64" s="146"/>
      <c r="M64" s="146"/>
      <c r="N64" s="146"/>
      <c r="O64" s="392"/>
      <c r="P64" s="392"/>
      <c r="Q64" s="392"/>
      <c r="R64" s="392"/>
      <c r="S64" s="392"/>
      <c r="T64" s="392"/>
      <c r="U64" s="392"/>
    </row>
    <row customHeight="1" ht="13.5">
      <c r="A65" s="297"/>
      <c r="B65" s="67"/>
      <c r="C65" s="67"/>
      <c r="D65" s="67"/>
      <c r="E65" s="67"/>
      <c r="F65" s="222">
        <v>0</v>
      </c>
      <c r="G65" s="67">
        <v>1002</v>
      </c>
      <c r="H65" s="146"/>
      <c r="I65" s="67"/>
      <c r="J65" s="67"/>
      <c r="K65" s="146"/>
      <c r="L65" s="146"/>
      <c r="M65" s="146"/>
      <c r="N65" s="146"/>
      <c r="O65" s="392"/>
      <c r="P65" s="392"/>
      <c r="Q65" s="392"/>
      <c r="R65" s="392"/>
      <c r="S65" s="392"/>
      <c r="T65" s="392"/>
      <c r="U65" s="392"/>
    </row>
    <row customHeight="1" ht="13.5">
      <c r="A66" s="297"/>
      <c r="B66" s="67"/>
      <c r="C66" s="67"/>
      <c r="D66" s="67"/>
      <c r="E66" s="67">
        <v>57060</v>
      </c>
      <c r="F66" s="222">
        <v>17294</v>
      </c>
      <c r="G66" s="67"/>
      <c r="H66" s="146">
        <v>28849</v>
      </c>
      <c r="I66" s="67"/>
      <c r="J66" s="67"/>
      <c r="K66" s="146"/>
      <c r="L66" s="146"/>
      <c r="M66" s="146"/>
      <c r="N66" s="146"/>
      <c r="O66" s="392"/>
      <c r="P66" s="392"/>
      <c r="Q66" s="392"/>
      <c r="R66" s="392"/>
      <c r="S66" s="392"/>
      <c r="T66" s="392"/>
      <c r="U66" s="392"/>
    </row>
    <row customHeight="1" ht="13.5">
      <c r="A67" s="297"/>
      <c r="B67" s="67"/>
      <c r="C67" s="67"/>
      <c r="D67" s="67"/>
      <c r="E67" s="67"/>
      <c r="F67" s="67"/>
      <c r="G67" s="67">
        <v>0</v>
      </c>
      <c r="H67" s="146">
        <v>4379</v>
      </c>
      <c r="I67" s="67"/>
      <c r="J67" s="67"/>
      <c r="K67" s="146"/>
      <c r="L67" s="146"/>
      <c r="M67" s="146"/>
      <c r="N67" s="146"/>
      <c r="O67" s="392"/>
      <c r="P67" s="392"/>
      <c r="Q67" s="392"/>
      <c r="R67" s="392"/>
      <c r="S67" s="392"/>
      <c r="T67" s="392"/>
      <c r="U67" s="392"/>
    </row>
    <row customHeight="1" ht="13.5">
      <c r="A68" s="297"/>
      <c r="B68" s="67"/>
      <c r="C68" s="67"/>
      <c r="D68" s="67"/>
      <c r="E68" s="67"/>
      <c r="F68" s="67">
        <v>0</v>
      </c>
      <c r="G68" s="67"/>
      <c r="H68" s="67"/>
      <c r="I68" s="67"/>
      <c r="J68" s="67"/>
      <c r="K68" s="146"/>
      <c r="L68" s="146"/>
      <c r="M68" s="146"/>
      <c r="N68" s="146"/>
      <c r="O68" s="392"/>
      <c r="P68" s="392"/>
      <c r="Q68" s="392"/>
      <c r="R68" s="392"/>
      <c r="S68" s="392"/>
      <c r="T68" s="392"/>
      <c r="U68" s="392"/>
    </row>
    <row customHeight="1" ht="13.5">
      <c r="A69" s="297"/>
      <c r="B69" s="67"/>
      <c r="C69" s="67"/>
      <c r="D69" s="67"/>
      <c r="E69" s="67"/>
      <c r="F69" s="67"/>
      <c r="G69" s="67">
        <v>111</v>
      </c>
      <c r="H69" s="67"/>
      <c r="I69" s="67"/>
      <c r="J69" s="67"/>
      <c r="K69" s="146"/>
      <c r="L69" s="146"/>
      <c r="M69" s="146"/>
      <c r="N69" s="146"/>
      <c r="O69" s="392"/>
      <c r="P69" s="392"/>
      <c r="Q69" s="392"/>
      <c r="R69" s="392"/>
      <c r="S69" s="392"/>
      <c r="T69" s="392"/>
      <c r="U69" s="392"/>
    </row>
    <row customHeight="1" ht="13.5">
      <c r="A70" s="297"/>
      <c r="B70" s="67"/>
      <c r="C70" s="67"/>
      <c r="D70" s="67"/>
      <c r="E70" s="67"/>
      <c r="F70" s="67">
        <v>0</v>
      </c>
      <c r="G70" s="67"/>
      <c r="H70" s="67"/>
      <c r="I70" s="67"/>
      <c r="J70" s="67"/>
      <c r="K70" s="146"/>
      <c r="L70" s="146"/>
      <c r="M70" s="146"/>
      <c r="N70" s="146"/>
      <c r="O70" s="392"/>
      <c r="P70" s="392"/>
      <c r="Q70" s="392"/>
      <c r="R70" s="392"/>
      <c r="S70" s="392"/>
      <c r="T70" s="392"/>
      <c r="U70" s="392"/>
    </row>
    <row customHeight="1" ht="21">
      <c r="A71" s="297"/>
      <c r="B71" s="433"/>
      <c r="C71" s="433"/>
      <c r="D71" s="433"/>
      <c r="E71" s="433">
        <v>527.4</v>
      </c>
      <c r="F71" s="433">
        <v>0</v>
      </c>
      <c r="G71" s="433">
        <v>16566</v>
      </c>
      <c r="H71" s="433">
        <v>2327</v>
      </c>
      <c r="I71" s="433"/>
      <c r="J71" s="433"/>
      <c r="K71" s="392"/>
      <c r="L71" s="392"/>
      <c r="M71" s="392"/>
      <c r="N71" s="392"/>
      <c r="O71" s="392"/>
      <c r="P71" s="392"/>
      <c r="Q71" s="392"/>
      <c r="R71" s="392"/>
      <c r="S71" s="392"/>
      <c r="T71" s="392"/>
      <c r="U71" s="392"/>
    </row>
    <row customHeight="1" ht="13.5">
      <c r="A72" s="297"/>
      <c r="B72" s="67"/>
      <c r="C72" s="67"/>
      <c r="D72" s="67"/>
      <c r="E72" s="67"/>
      <c r="F72" s="67"/>
      <c r="G72" s="67"/>
      <c r="H72" s="67"/>
      <c r="I72" s="67"/>
      <c r="J72" s="67"/>
      <c r="K72" s="146"/>
      <c r="L72" s="146"/>
      <c r="M72" s="146"/>
      <c r="N72" s="146"/>
      <c r="O72" s="392"/>
      <c r="P72" s="392"/>
      <c r="Q72" s="392"/>
      <c r="R72" s="392"/>
      <c r="S72" s="392"/>
      <c r="T72" s="392"/>
      <c r="U72" s="392"/>
    </row>
    <row customHeight="1" ht="16.5">
      <c r="A73" s="297"/>
      <c r="B73" s="67"/>
      <c r="C73" s="67"/>
      <c r="D73" s="67"/>
      <c r="E73" s="433">
        <v>43275</v>
      </c>
      <c r="F73" s="433">
        <v>3190</v>
      </c>
      <c r="G73" s="433">
        <v>2530</v>
      </c>
      <c r="H73" s="433">
        <v>4269.06</v>
      </c>
      <c r="I73" s="67"/>
      <c r="J73" s="67"/>
      <c r="K73" s="146"/>
      <c r="L73" s="146"/>
      <c r="M73" s="146"/>
      <c r="N73" s="146"/>
      <c r="O73" s="392"/>
      <c r="P73" s="392"/>
      <c r="Q73" s="392"/>
      <c r="R73" s="392"/>
      <c r="S73" s="392"/>
      <c r="T73" s="392"/>
      <c r="U73" s="392"/>
    </row>
    <row customHeight="1" ht="13.5">
      <c r="A74" s="297"/>
      <c r="B74" s="67"/>
      <c r="C74" s="67"/>
      <c r="D74" s="67"/>
      <c r="E74" s="67"/>
      <c r="F74" s="67"/>
      <c r="G74" s="67"/>
      <c r="H74" s="67"/>
      <c r="I74" s="67"/>
      <c r="J74" s="67"/>
      <c r="K74" s="146"/>
      <c r="L74" s="146"/>
      <c r="M74" s="146"/>
      <c r="N74" s="146"/>
      <c r="O74" s="392"/>
      <c r="P74" s="392"/>
      <c r="Q74" s="392"/>
      <c r="R74" s="392"/>
      <c r="S74" s="392"/>
      <c r="T74" s="392"/>
      <c r="U74" s="392"/>
    </row>
    <row customHeight="1" ht="13.5">
      <c r="A75" s="297"/>
      <c r="B75" s="67"/>
      <c r="C75" s="67"/>
      <c r="D75" s="67"/>
      <c r="E75" s="67"/>
      <c r="F75" s="67"/>
      <c r="G75" s="67">
        <v>17922</v>
      </c>
      <c r="H75" s="67">
        <v>1271</v>
      </c>
      <c r="I75" s="67"/>
      <c r="J75" s="67"/>
      <c r="K75" s="146"/>
      <c r="L75" s="146"/>
      <c r="M75" s="146"/>
      <c r="N75" s="146"/>
      <c r="O75" s="392"/>
      <c r="P75" s="392"/>
      <c r="Q75" s="392"/>
      <c r="R75" s="392"/>
      <c r="S75" s="392"/>
      <c r="T75" s="392"/>
      <c r="U75" s="392"/>
    </row>
    <row customHeight="1" ht="13.5">
      <c r="A76" s="297"/>
      <c r="B76" s="67"/>
      <c r="C76" s="67"/>
      <c r="D76" s="67"/>
      <c r="E76" s="67"/>
      <c r="F76" s="67">
        <v>0</v>
      </c>
      <c r="G76" s="67"/>
      <c r="H76" s="67"/>
      <c r="I76" s="67"/>
      <c r="J76" s="67"/>
      <c r="K76" s="146"/>
      <c r="L76" s="146"/>
      <c r="M76" s="146"/>
      <c r="N76" s="146"/>
      <c r="O76" s="392"/>
      <c r="P76" s="392"/>
      <c r="Q76" s="392"/>
      <c r="R76" s="392"/>
      <c r="S76" s="392"/>
      <c r="T76" s="392"/>
      <c r="U76" s="392"/>
    </row>
    <row customHeight="1" ht="13.5">
      <c r="A77" s="297"/>
      <c r="B77" s="67"/>
      <c r="C77" s="67"/>
      <c r="D77" s="67"/>
      <c r="E77" s="67">
        <v>50161</v>
      </c>
      <c r="F77" s="67"/>
      <c r="G77" s="67">
        <v>3792</v>
      </c>
      <c r="H77" s="67">
        <v>0</v>
      </c>
      <c r="I77" s="67"/>
      <c r="J77" s="67"/>
      <c r="K77" s="146"/>
      <c r="L77" s="146"/>
      <c r="M77" s="146"/>
      <c r="N77" s="146"/>
      <c r="O77" s="392"/>
      <c r="P77" s="392"/>
      <c r="Q77" s="392"/>
      <c r="R77" s="392"/>
      <c r="S77" s="392"/>
      <c r="T77" s="392"/>
      <c r="U77" s="392"/>
    </row>
    <row customHeight="1" ht="13.5">
      <c r="A78" s="297"/>
      <c r="B78" s="67"/>
      <c r="C78" s="67"/>
      <c r="D78" s="67"/>
      <c r="E78" s="67"/>
      <c r="F78" s="67"/>
      <c r="G78" s="67"/>
      <c r="H78" s="67"/>
      <c r="I78" s="67"/>
      <c r="J78" s="67"/>
      <c r="K78" s="146"/>
      <c r="L78" s="146"/>
      <c r="M78" s="146"/>
      <c r="N78" s="146"/>
      <c r="O78" s="392"/>
      <c r="P78" s="392"/>
      <c r="Q78" s="392"/>
      <c r="R78" s="392"/>
      <c r="S78" s="392"/>
      <c r="T78" s="392"/>
      <c r="U78" s="392"/>
    </row>
    <row customHeight="1" ht="13.5">
      <c r="A79" s="297"/>
      <c r="B79" s="67"/>
      <c r="C79" s="67"/>
      <c r="D79" s="67"/>
      <c r="E79" s="67"/>
      <c r="F79" s="67"/>
      <c r="G79" s="67">
        <v>1164</v>
      </c>
      <c r="H79" s="67">
        <v>29162</v>
      </c>
      <c r="I79" s="67"/>
      <c r="J79" s="67"/>
      <c r="K79" s="146"/>
      <c r="L79" s="146"/>
      <c r="M79" s="146"/>
      <c r="N79" s="146"/>
      <c r="O79" s="392"/>
      <c r="P79" s="392"/>
      <c r="Q79" s="392"/>
      <c r="R79" s="392"/>
      <c r="S79" s="392"/>
      <c r="T79" s="392"/>
      <c r="U79" s="392"/>
    </row>
    <row customHeight="1" ht="13.5">
      <c r="A80" s="297"/>
      <c r="B80" s="67"/>
      <c r="C80" s="67"/>
      <c r="D80" s="67"/>
      <c r="E80" s="67"/>
      <c r="F80" s="67"/>
      <c r="G80" s="67"/>
      <c r="H80" s="67"/>
      <c r="I80" s="67"/>
      <c r="J80" s="67"/>
      <c r="K80" s="146"/>
      <c r="L80" s="146"/>
      <c r="M80" s="146"/>
      <c r="N80" s="146"/>
      <c r="O80" s="392"/>
      <c r="P80" s="392"/>
      <c r="Q80" s="392"/>
      <c r="R80" s="392"/>
      <c r="S80" s="392"/>
      <c r="T80" s="392"/>
      <c r="U80" s="392"/>
    </row>
    <row customHeight="1" ht="13.5">
      <c r="A81" s="297"/>
      <c r="B81" s="67"/>
      <c r="C81" s="67"/>
      <c r="D81" s="67"/>
      <c r="E81" s="67"/>
      <c r="F81" s="67">
        <v>0</v>
      </c>
      <c r="G81" s="67">
        <v>1252</v>
      </c>
      <c r="H81" s="67">
        <v>34344</v>
      </c>
      <c r="I81" s="67"/>
      <c r="J81" s="67"/>
      <c r="K81" s="146"/>
      <c r="L81" s="146"/>
      <c r="M81" s="146"/>
      <c r="N81" s="146"/>
      <c r="O81" s="392"/>
      <c r="P81" s="392"/>
      <c r="Q81" s="392"/>
      <c r="R81" s="392"/>
      <c r="S81" s="392"/>
      <c r="T81" s="392"/>
      <c r="U81" s="392"/>
    </row>
    <row customHeight="1" ht="13.5">
      <c r="A82" s="297"/>
      <c r="B82" s="67"/>
      <c r="C82" s="67"/>
      <c r="D82" s="67"/>
      <c r="E82" s="67">
        <v>10205</v>
      </c>
      <c r="F82" s="67"/>
      <c r="G82" s="67"/>
      <c r="H82" s="67">
        <v>0</v>
      </c>
      <c r="I82" s="67"/>
      <c r="J82" s="67"/>
      <c r="K82" s="146"/>
      <c r="L82" s="146"/>
      <c r="M82" s="146"/>
      <c r="N82" s="146"/>
      <c r="O82" s="392"/>
      <c r="P82" s="392"/>
      <c r="Q82" s="392"/>
      <c r="R82" s="392"/>
      <c r="S82" s="392"/>
      <c r="T82" s="392"/>
      <c r="U82" s="392"/>
    </row>
    <row customHeight="1" ht="13.5">
      <c r="A83" s="297"/>
      <c r="B83" s="67"/>
      <c r="C83" s="67"/>
      <c r="D83" s="67"/>
      <c r="E83" s="67">
        <v>3397</v>
      </c>
      <c r="F83" s="67"/>
      <c r="G83" s="67">
        <v>3055.94</v>
      </c>
      <c r="H83" s="67">
        <v>0</v>
      </c>
      <c r="I83" s="67"/>
      <c r="J83" s="67"/>
      <c r="K83" s="146"/>
      <c r="L83" s="146"/>
      <c r="M83" s="146"/>
      <c r="N83" s="146"/>
      <c r="O83" s="392"/>
      <c r="P83" s="392"/>
      <c r="Q83" s="392"/>
      <c r="R83" s="392"/>
      <c r="S83" s="392"/>
      <c r="T83" s="392"/>
      <c r="U83" s="392"/>
    </row>
    <row customHeight="1" ht="13.5">
      <c r="A84" s="297"/>
      <c r="B84" s="67"/>
      <c r="C84" s="67"/>
      <c r="D84" s="67"/>
      <c r="E84" s="67"/>
      <c r="F84" s="67"/>
      <c r="G84" s="67"/>
      <c r="H84" s="67"/>
      <c r="I84" s="67"/>
      <c r="J84" s="67"/>
      <c r="K84" s="146"/>
      <c r="L84" s="146"/>
      <c r="M84" s="146"/>
      <c r="N84" s="146"/>
      <c r="O84" s="392"/>
      <c r="P84" s="392"/>
      <c r="Q84" s="392"/>
      <c r="R84" s="392"/>
      <c r="S84" s="392"/>
      <c r="T84" s="392"/>
      <c r="U84" s="392"/>
    </row>
    <row customHeight="1" ht="13.5">
      <c r="A85" s="297"/>
      <c r="B85" s="67"/>
      <c r="C85" s="67"/>
      <c r="D85" s="67"/>
      <c r="E85" s="67">
        <v>561</v>
      </c>
      <c r="F85" s="67"/>
      <c r="G85" s="67"/>
      <c r="H85" s="146">
        <v>1308</v>
      </c>
      <c r="I85" s="67"/>
      <c r="J85" s="67"/>
      <c r="K85" s="146"/>
      <c r="L85" s="146"/>
      <c r="M85" s="146"/>
      <c r="N85" s="146"/>
      <c r="O85" s="392"/>
      <c r="P85" s="392"/>
      <c r="Q85" s="392"/>
      <c r="R85" s="392"/>
      <c r="S85" s="392"/>
      <c r="T85" s="392"/>
      <c r="U85" s="392"/>
    </row>
    <row customHeight="1" ht="13.5">
      <c r="A86" s="297"/>
      <c r="B86" s="67"/>
      <c r="C86" s="67"/>
      <c r="D86" s="67"/>
      <c r="E86" s="67">
        <v>2100</v>
      </c>
      <c r="F86" s="67"/>
      <c r="G86" s="67"/>
      <c r="H86" s="67"/>
      <c r="I86" s="67"/>
      <c r="J86" s="67"/>
      <c r="K86" s="146"/>
      <c r="L86" s="146"/>
      <c r="M86" s="146"/>
      <c r="N86" s="146"/>
      <c r="O86" s="392"/>
      <c r="P86" s="392"/>
      <c r="Q86" s="392"/>
      <c r="R86" s="392"/>
      <c r="S86" s="392"/>
      <c r="T86" s="392"/>
      <c r="U86" s="392"/>
    </row>
    <row customHeight="1" ht="13.5">
      <c r="A87" s="297"/>
      <c r="B87" s="67"/>
      <c r="C87" s="67"/>
      <c r="D87" s="67"/>
      <c r="E87" s="67"/>
      <c r="F87" s="67"/>
      <c r="G87" s="67">
        <v>111</v>
      </c>
      <c r="H87" s="67">
        <v>1</v>
      </c>
      <c r="I87" s="67"/>
      <c r="J87" s="67"/>
      <c r="K87" s="146"/>
      <c r="L87" s="146"/>
      <c r="M87" s="146"/>
      <c r="N87" s="146"/>
      <c r="O87" s="392"/>
      <c r="P87" s="392"/>
      <c r="Q87" s="392"/>
      <c r="R87" s="392"/>
      <c r="S87" s="392"/>
      <c r="T87" s="392"/>
      <c r="U87" s="392"/>
    </row>
    <row customHeight="1" ht="13.5">
      <c r="A88" s="297"/>
      <c r="B88" s="67"/>
      <c r="C88" s="67"/>
      <c r="D88" s="67"/>
      <c r="E88" s="67"/>
      <c r="F88" s="67"/>
      <c r="G88" s="67"/>
      <c r="H88" s="67">
        <v>0</v>
      </c>
      <c r="I88" s="67"/>
      <c r="J88" s="67"/>
      <c r="K88" s="146"/>
      <c r="L88" s="146"/>
      <c r="M88" s="146"/>
      <c r="N88" s="146"/>
      <c r="O88" s="392"/>
      <c r="P88" s="392"/>
      <c r="Q88" s="392"/>
      <c r="R88" s="392"/>
      <c r="S88" s="392"/>
      <c r="T88" s="392"/>
      <c r="U88" s="392"/>
    </row>
    <row customHeight="1" ht="13.5">
      <c r="A89" s="297"/>
      <c r="B89" s="67"/>
      <c r="C89" s="67"/>
      <c r="D89" s="67"/>
      <c r="E89" s="67"/>
      <c r="F89" s="67"/>
      <c r="G89" s="67">
        <v>1427</v>
      </c>
      <c r="H89" s="67"/>
      <c r="I89" s="67"/>
      <c r="J89" s="67"/>
      <c r="K89" s="146"/>
      <c r="L89" s="146"/>
      <c r="M89" s="146"/>
      <c r="N89" s="146"/>
      <c r="O89" s="392"/>
      <c r="P89" s="392"/>
      <c r="Q89" s="392"/>
      <c r="R89" s="392"/>
      <c r="S89" s="392"/>
      <c r="T89" s="392"/>
      <c r="U89" s="392"/>
    </row>
    <row customHeight="1" ht="13.5">
      <c r="A90" s="297"/>
      <c r="B90" s="67"/>
      <c r="C90" s="67"/>
      <c r="D90" s="67"/>
      <c r="E90" s="67"/>
      <c r="F90" s="67"/>
      <c r="G90" s="67"/>
      <c r="H90" s="67"/>
      <c r="I90" s="67"/>
      <c r="J90" s="67"/>
      <c r="K90" s="146"/>
      <c r="L90" s="146"/>
      <c r="M90" s="146"/>
      <c r="N90" s="146"/>
      <c r="O90" s="392"/>
      <c r="P90" s="392"/>
      <c r="Q90" s="392"/>
      <c r="R90" s="392"/>
      <c r="S90" s="392"/>
      <c r="T90" s="392"/>
      <c r="U90" s="392"/>
    </row>
    <row customHeight="1" ht="13.5">
      <c r="A91" s="297"/>
      <c r="B91" s="67"/>
      <c r="C91" s="67"/>
      <c r="D91" s="67"/>
      <c r="E91" s="67"/>
      <c r="F91" s="67"/>
      <c r="G91" s="67">
        <v>163.18</v>
      </c>
      <c r="H91" s="67"/>
      <c r="I91" s="67"/>
      <c r="J91" s="67"/>
      <c r="K91" s="146"/>
      <c r="L91" s="146"/>
      <c r="M91" s="146"/>
      <c r="N91" s="146"/>
      <c r="O91" s="392"/>
      <c r="P91" s="392"/>
      <c r="Q91" s="392"/>
      <c r="R91" s="392"/>
      <c r="S91" s="392"/>
      <c r="T91" s="392"/>
      <c r="U91" s="392"/>
    </row>
    <row customHeight="1" ht="13.5">
      <c r="A92" s="297"/>
      <c r="B92" s="67"/>
      <c r="C92" s="67"/>
      <c r="D92" s="67"/>
      <c r="E92" s="67"/>
      <c r="F92" s="67"/>
      <c r="G92" s="67"/>
      <c r="H92" s="67"/>
      <c r="I92" s="67"/>
      <c r="J92" s="67"/>
      <c r="K92" s="146"/>
      <c r="L92" s="146"/>
      <c r="M92" s="146"/>
      <c r="N92" s="146"/>
      <c r="O92" s="392"/>
      <c r="P92" s="392"/>
      <c r="Q92" s="392"/>
      <c r="R92" s="392"/>
      <c r="S92" s="392"/>
      <c r="T92" s="392"/>
      <c r="U92" s="392"/>
    </row>
    <row customHeight="1" ht="13.5">
      <c r="A93" s="297"/>
      <c r="B93" s="67"/>
      <c r="C93" s="67"/>
      <c r="D93" s="67"/>
      <c r="E93" s="67"/>
      <c r="F93" s="222"/>
      <c r="G93" s="67"/>
      <c r="H93" s="67"/>
      <c r="I93" s="67"/>
      <c r="J93" s="67"/>
      <c r="K93" s="146"/>
      <c r="L93" s="146"/>
      <c r="M93" s="146"/>
      <c r="N93" s="146"/>
      <c r="O93" s="392"/>
      <c r="P93" s="392"/>
      <c r="Q93" s="392"/>
      <c r="R93" s="392"/>
      <c r="S93" s="392"/>
      <c r="T93" s="392"/>
      <c r="U93" s="392"/>
    </row>
    <row customHeight="1" ht="13.5">
      <c r="A94" s="297"/>
      <c r="B94" s="67"/>
      <c r="C94" s="67"/>
      <c r="D94" s="67"/>
      <c r="E94" s="67">
        <v>688</v>
      </c>
      <c r="F94" s="222"/>
      <c r="G94" s="67"/>
      <c r="H94" s="67"/>
      <c r="I94" s="67"/>
      <c r="J94" s="67"/>
      <c r="K94" s="146"/>
      <c r="L94" s="146"/>
      <c r="M94" s="146"/>
      <c r="N94" s="146"/>
      <c r="O94" s="392"/>
      <c r="P94" s="392"/>
      <c r="Q94" s="392"/>
      <c r="R94" s="392"/>
      <c r="S94" s="392"/>
      <c r="T94" s="392"/>
      <c r="U94" s="392"/>
    </row>
    <row customHeight="1" ht="13.5">
      <c r="A95" s="297"/>
      <c r="B95" s="67"/>
      <c r="C95" s="67"/>
      <c r="D95" s="67"/>
      <c r="E95" s="67"/>
      <c r="F95" s="67"/>
      <c r="G95" s="67"/>
      <c r="H95" s="67">
        <v>0</v>
      </c>
      <c r="I95" s="67"/>
      <c r="J95" s="67"/>
      <c r="K95" s="146"/>
      <c r="L95" s="146"/>
      <c r="M95" s="146"/>
      <c r="N95" s="146"/>
      <c r="O95" s="392"/>
      <c r="P95" s="392"/>
      <c r="Q95" s="392"/>
      <c r="R95" s="392"/>
      <c r="S95" s="392"/>
      <c r="T95" s="392"/>
      <c r="U95" s="392"/>
    </row>
    <row customHeight="1" ht="13.5">
      <c r="A96" s="297"/>
      <c r="B96" s="67"/>
      <c r="C96" s="67"/>
      <c r="D96" s="67"/>
      <c r="E96" s="67">
        <v>0</v>
      </c>
      <c r="F96" s="67"/>
      <c r="G96" s="67"/>
      <c r="H96" s="67">
        <v>318</v>
      </c>
      <c r="I96" s="67"/>
      <c r="J96" s="67"/>
      <c r="K96" s="146"/>
      <c r="L96" s="146"/>
      <c r="M96" s="146"/>
      <c r="N96" s="146"/>
      <c r="O96" s="392"/>
      <c r="P96" s="392"/>
      <c r="Q96" s="392"/>
      <c r="R96" s="392"/>
      <c r="S96" s="392"/>
      <c r="T96" s="392"/>
      <c r="U96" s="392"/>
    </row>
    <row customHeight="1" ht="13.5">
      <c r="A97" s="297"/>
      <c r="B97" s="67"/>
      <c r="C97" s="67"/>
      <c r="D97" s="67"/>
      <c r="E97" s="67"/>
      <c r="F97" s="67"/>
      <c r="G97" s="67"/>
      <c r="H97" s="67">
        <v>250</v>
      </c>
      <c r="I97" s="67"/>
      <c r="J97" s="67"/>
      <c r="K97" s="146"/>
      <c r="L97" s="146"/>
      <c r="M97" s="146"/>
      <c r="N97" s="146"/>
      <c r="O97" s="392"/>
      <c r="P97" s="392"/>
      <c r="Q97" s="392"/>
      <c r="R97" s="392"/>
      <c r="S97" s="392"/>
      <c r="T97" s="392"/>
      <c r="U97" s="392"/>
    </row>
    <row customHeight="1" ht="13.5">
      <c r="A98" s="297"/>
      <c r="B98" s="67"/>
      <c r="C98" s="67"/>
      <c r="D98" s="67"/>
      <c r="E98" s="67">
        <v>1075</v>
      </c>
      <c r="F98" s="222"/>
      <c r="G98" s="67"/>
      <c r="H98" s="67">
        <v>866</v>
      </c>
      <c r="I98" s="67"/>
      <c r="J98" s="67"/>
      <c r="K98" s="146"/>
      <c r="L98" s="146"/>
      <c r="M98" s="146"/>
      <c r="N98" s="146"/>
      <c r="O98" s="392"/>
      <c r="P98" s="392"/>
      <c r="Q98" s="392"/>
      <c r="R98" s="392"/>
      <c r="S98" s="392"/>
      <c r="T98" s="392"/>
      <c r="U98" s="392"/>
    </row>
    <row customHeight="1" ht="13.5">
      <c r="A99" s="297"/>
      <c r="B99" s="67"/>
      <c r="C99" s="67"/>
      <c r="D99" s="67"/>
      <c r="E99" s="67"/>
      <c r="F99" s="67"/>
      <c r="G99" s="67"/>
      <c r="H99" s="67">
        <v>2327</v>
      </c>
      <c r="I99" s="67"/>
      <c r="J99" s="67"/>
      <c r="K99" s="146"/>
      <c r="L99" s="146"/>
      <c r="M99" s="146"/>
      <c r="N99" s="146"/>
      <c r="O99" s="392"/>
      <c r="P99" s="392"/>
      <c r="Q99" s="392"/>
      <c r="R99" s="392"/>
      <c r="S99" s="392"/>
      <c r="T99" s="392"/>
      <c r="U99" s="392"/>
    </row>
    <row customHeight="1" ht="13.5">
      <c r="A100" s="297"/>
      <c r="B100" s="67"/>
      <c r="C100" s="67"/>
      <c r="D100" s="67"/>
      <c r="E100" s="67">
        <v>1128</v>
      </c>
      <c r="F100" s="67"/>
      <c r="G100" s="67"/>
      <c r="H100" s="67"/>
      <c r="I100" s="67"/>
      <c r="J100" s="67"/>
      <c r="K100" s="146"/>
      <c r="L100" s="146"/>
      <c r="M100" s="146"/>
      <c r="N100" s="146"/>
      <c r="O100" s="392"/>
      <c r="P100" s="392"/>
      <c r="Q100" s="392"/>
      <c r="R100" s="392"/>
      <c r="S100" s="392"/>
      <c r="T100" s="392"/>
      <c r="U100" s="392"/>
    </row>
    <row customHeight="1" ht="13.5">
      <c r="A101" s="297"/>
      <c r="B101" s="67"/>
      <c r="C101" s="67"/>
      <c r="D101" s="67"/>
      <c r="E101" s="67"/>
      <c r="F101" s="67"/>
      <c r="G101" s="67"/>
      <c r="H101" s="67">
        <v>0</v>
      </c>
      <c r="I101" s="67"/>
      <c r="J101" s="67"/>
      <c r="K101" s="146"/>
      <c r="L101" s="146"/>
      <c r="M101" s="146"/>
      <c r="N101" s="146"/>
      <c r="O101" s="392"/>
      <c r="P101" s="392"/>
      <c r="Q101" s="392"/>
      <c r="R101" s="392"/>
      <c r="S101" s="392"/>
      <c r="T101" s="392"/>
      <c r="U101" s="392"/>
    </row>
    <row customHeight="1" ht="13.5">
      <c r="A102" s="297"/>
      <c r="B102" s="222"/>
      <c r="C102" s="67"/>
      <c r="D102" s="67"/>
      <c r="E102" s="67">
        <v>100</v>
      </c>
      <c r="F102" s="67"/>
      <c r="G102" s="67"/>
      <c r="H102" s="67"/>
      <c r="I102" s="67"/>
      <c r="J102" s="67"/>
      <c r="K102" s="146"/>
      <c r="L102" s="146"/>
      <c r="M102" s="146"/>
      <c r="N102" s="146"/>
      <c r="O102" s="392"/>
      <c r="P102" s="392"/>
      <c r="Q102" s="392"/>
      <c r="R102" s="392"/>
      <c r="S102" s="392"/>
      <c r="T102" s="392"/>
      <c r="U102" s="392"/>
    </row>
    <row customHeight="1" ht="13.5">
      <c r="A103" s="297"/>
      <c r="B103" s="222"/>
      <c r="C103" s="67"/>
      <c r="D103" s="67"/>
      <c r="E103" s="67"/>
      <c r="F103" s="67"/>
      <c r="G103" s="67"/>
      <c r="H103" s="67"/>
      <c r="I103" s="67"/>
      <c r="J103" s="67"/>
      <c r="K103" s="146"/>
      <c r="L103" s="146"/>
      <c r="M103" s="146"/>
      <c r="N103" s="146"/>
      <c r="O103" s="392"/>
      <c r="P103" s="392"/>
      <c r="Q103" s="392"/>
      <c r="R103" s="392"/>
      <c r="S103" s="392"/>
      <c r="T103" s="392"/>
      <c r="U103" s="392"/>
    </row>
    <row customHeight="1" ht="13.5">
      <c r="A104" s="297"/>
      <c r="B104" s="67"/>
      <c r="C104" s="67"/>
      <c r="D104" s="67"/>
      <c r="E104" s="67">
        <v>0</v>
      </c>
      <c r="F104" s="67"/>
      <c r="G104" s="67"/>
      <c r="H104" s="67">
        <v>15104</v>
      </c>
      <c r="I104" s="67"/>
      <c r="J104" s="67"/>
      <c r="K104" s="146"/>
      <c r="L104" s="146"/>
      <c r="M104" s="146"/>
      <c r="N104" s="146"/>
      <c r="O104" s="392"/>
      <c r="P104" s="392"/>
      <c r="Q104" s="392"/>
      <c r="R104" s="392"/>
      <c r="S104" s="392"/>
      <c r="T104" s="392"/>
      <c r="U104" s="392"/>
    </row>
    <row customHeight="1" ht="13.5">
      <c r="A105" s="297"/>
      <c r="B105" s="222"/>
      <c r="C105" s="67"/>
      <c r="D105" s="67"/>
      <c r="E105" s="67"/>
      <c r="F105" s="67"/>
      <c r="G105" s="67"/>
      <c r="H105" s="67">
        <v>0</v>
      </c>
      <c r="I105" s="67"/>
      <c r="J105" s="67"/>
      <c r="K105" s="146"/>
      <c r="L105" s="146"/>
      <c r="M105" s="146"/>
      <c r="N105" s="146"/>
      <c r="O105" s="392"/>
      <c r="P105" s="392"/>
      <c r="Q105" s="392"/>
      <c r="R105" s="392"/>
      <c r="S105" s="392"/>
      <c r="T105" s="392"/>
      <c r="U105" s="392"/>
    </row>
    <row customHeight="1" ht="13.5">
      <c r="A106" s="297"/>
      <c r="B106" s="222"/>
      <c r="C106" s="67"/>
      <c r="D106" s="67"/>
      <c r="E106" s="67"/>
      <c r="F106" s="67"/>
      <c r="G106" s="67"/>
      <c r="H106" s="67">
        <v>323.98</v>
      </c>
      <c r="I106" s="67"/>
      <c r="J106" s="67"/>
      <c r="K106" s="146"/>
      <c r="L106" s="146"/>
      <c r="M106" s="146"/>
      <c r="N106" s="146"/>
      <c r="O106" s="392"/>
      <c r="P106" s="392"/>
      <c r="Q106" s="392"/>
      <c r="R106" s="392"/>
      <c r="S106" s="392"/>
      <c r="T106" s="392"/>
      <c r="U106" s="392"/>
    </row>
    <row customHeight="1" ht="13.5">
      <c r="A107" s="297"/>
      <c r="B107" s="67"/>
      <c r="C107" s="67"/>
      <c r="D107" s="67"/>
      <c r="E107" s="67"/>
      <c r="F107" s="67"/>
      <c r="G107" s="67"/>
      <c r="H107" s="67"/>
      <c r="I107" s="67"/>
      <c r="J107" s="67"/>
      <c r="K107" s="146"/>
      <c r="L107" s="146"/>
      <c r="M107" s="146"/>
      <c r="N107" s="146"/>
      <c r="O107" s="392"/>
      <c r="P107" s="392"/>
      <c r="Q107" s="392"/>
      <c r="R107" s="392"/>
      <c r="S107" s="392"/>
      <c r="T107" s="392"/>
      <c r="U107" s="392"/>
    </row>
    <row customHeight="1" ht="13.5">
      <c r="A108" s="297"/>
      <c r="B108" s="67"/>
      <c r="C108" s="67"/>
      <c r="D108" s="67"/>
      <c r="E108" s="67">
        <v>3562.92</v>
      </c>
      <c r="F108" s="67"/>
      <c r="G108" s="67"/>
      <c r="H108" s="67">
        <v>1475</v>
      </c>
      <c r="I108" s="67"/>
      <c r="J108" s="67"/>
      <c r="K108" s="146"/>
      <c r="L108" s="146"/>
      <c r="M108" s="146"/>
      <c r="N108" s="146"/>
      <c r="O108" s="392"/>
      <c r="P108" s="392"/>
      <c r="Q108" s="392"/>
      <c r="R108" s="392"/>
      <c r="S108" s="392"/>
      <c r="T108" s="392"/>
      <c r="U108" s="392"/>
    </row>
    <row customHeight="1" ht="13.5">
      <c r="A109" s="297"/>
      <c r="B109" s="67"/>
      <c r="C109" s="67"/>
      <c r="D109" s="67"/>
      <c r="E109" s="67"/>
      <c r="F109" s="67"/>
      <c r="G109" s="67"/>
      <c r="H109" s="67">
        <v>1647</v>
      </c>
      <c r="I109" s="67"/>
      <c r="J109" s="67"/>
      <c r="K109" s="146"/>
      <c r="L109" s="146"/>
      <c r="M109" s="146"/>
      <c r="N109" s="146"/>
      <c r="O109" s="392"/>
      <c r="P109" s="392"/>
      <c r="Q109" s="392"/>
      <c r="R109" s="392"/>
      <c r="S109" s="392"/>
      <c r="T109" s="392"/>
      <c r="U109" s="392"/>
    </row>
    <row customHeight="1" ht="13.5">
      <c r="A110" s="297"/>
      <c r="B110" s="67"/>
      <c r="C110" s="67"/>
      <c r="D110" s="67"/>
      <c r="E110" s="67">
        <v>932.22</v>
      </c>
      <c r="F110" s="67"/>
      <c r="G110" s="67"/>
      <c r="H110" s="67">
        <v>11245</v>
      </c>
      <c r="I110" s="67"/>
      <c r="J110" s="67"/>
      <c r="K110" s="146"/>
      <c r="L110" s="146"/>
      <c r="M110" s="146"/>
      <c r="N110" s="146"/>
      <c r="O110" s="392"/>
      <c r="P110" s="392"/>
      <c r="Q110" s="392"/>
      <c r="R110" s="392"/>
      <c r="S110" s="392"/>
      <c r="T110" s="392"/>
      <c r="U110" s="392"/>
    </row>
    <row customHeight="1" ht="13.5">
      <c r="A111" s="297"/>
      <c r="B111" s="67"/>
      <c r="C111" s="67"/>
      <c r="D111" s="67"/>
      <c r="E111" s="67"/>
      <c r="F111" s="67"/>
      <c r="G111" s="67"/>
      <c r="H111" s="67">
        <v>7038</v>
      </c>
      <c r="I111" s="67"/>
      <c r="J111" s="67"/>
      <c r="K111" s="146"/>
      <c r="L111" s="146"/>
      <c r="M111" s="146"/>
      <c r="N111" s="146"/>
      <c r="O111" s="392"/>
      <c r="P111" s="392"/>
      <c r="Q111" s="392"/>
      <c r="R111" s="392"/>
      <c r="S111" s="392"/>
      <c r="T111" s="392"/>
      <c r="U111" s="392"/>
    </row>
    <row customHeight="1" ht="13.5">
      <c r="A112" s="297"/>
      <c r="B112" s="67"/>
      <c r="C112" s="67"/>
      <c r="D112" s="67"/>
      <c r="E112" s="67">
        <v>0</v>
      </c>
      <c r="F112" s="67"/>
      <c r="G112" s="67"/>
      <c r="H112" s="67">
        <v>2327</v>
      </c>
      <c r="I112" s="67"/>
      <c r="J112" s="67"/>
      <c r="K112" s="146"/>
      <c r="L112" s="146"/>
      <c r="M112" s="146"/>
      <c r="N112" s="146"/>
      <c r="O112" s="392"/>
      <c r="P112" s="392"/>
      <c r="Q112" s="392"/>
      <c r="R112" s="392"/>
      <c r="S112" s="392"/>
      <c r="T112" s="392"/>
      <c r="U112" s="392"/>
    </row>
    <row customHeight="1" ht="13.5">
      <c r="A113" s="297"/>
      <c r="B113" s="67"/>
      <c r="C113" s="67"/>
      <c r="D113" s="67"/>
      <c r="E113" s="67"/>
      <c r="F113" s="67"/>
      <c r="G113" s="67"/>
      <c r="H113" s="67"/>
      <c r="I113" s="67"/>
      <c r="J113" s="67"/>
      <c r="K113" s="146"/>
      <c r="L113" s="146"/>
      <c r="M113" s="146"/>
      <c r="N113" s="146"/>
      <c r="O113" s="392"/>
      <c r="P113" s="392"/>
      <c r="Q113" s="392"/>
      <c r="R113" s="392"/>
      <c r="S113" s="392"/>
      <c r="T113" s="392"/>
      <c r="U113" s="392"/>
    </row>
    <row customHeight="1" ht="13.5">
      <c r="A114" s="297"/>
      <c r="B114" s="67"/>
      <c r="C114" s="67"/>
      <c r="D114" s="67"/>
      <c r="E114" s="67">
        <v>1571.54</v>
      </c>
      <c r="F114" s="67"/>
      <c r="G114" s="67"/>
      <c r="H114" s="67">
        <v>6910</v>
      </c>
      <c r="I114" s="67"/>
      <c r="J114" s="67"/>
      <c r="K114" s="146"/>
      <c r="L114" s="146"/>
      <c r="M114" s="146"/>
      <c r="N114" s="146"/>
      <c r="O114" s="392"/>
      <c r="P114" s="392"/>
      <c r="Q114" s="392"/>
      <c r="R114" s="392"/>
      <c r="S114" s="392"/>
      <c r="T114" s="392"/>
      <c r="U114" s="392"/>
    </row>
    <row customHeight="1" ht="13.5">
      <c r="A115" s="297"/>
      <c r="B115" s="67"/>
      <c r="C115" s="67"/>
      <c r="D115" s="67"/>
      <c r="E115" s="67"/>
      <c r="F115" s="67"/>
      <c r="G115" s="67"/>
      <c r="H115" s="67"/>
      <c r="I115" s="67"/>
      <c r="J115" s="67"/>
      <c r="K115" s="146"/>
      <c r="L115" s="146"/>
      <c r="M115" s="146"/>
      <c r="N115" s="146"/>
      <c r="O115" s="392"/>
      <c r="P115" s="392"/>
      <c r="Q115" s="392"/>
      <c r="R115" s="392"/>
      <c r="S115" s="392"/>
      <c r="T115" s="392"/>
      <c r="U115" s="392"/>
    </row>
    <row customHeight="1" ht="13.5">
      <c r="A116" s="297"/>
      <c r="B116" s="67"/>
      <c r="C116" s="67"/>
      <c r="D116" s="67"/>
      <c r="E116" s="67">
        <v>1263.62</v>
      </c>
      <c r="F116" s="67"/>
      <c r="G116" s="67"/>
      <c r="H116" s="67"/>
      <c r="I116" s="67"/>
      <c r="J116" s="67"/>
      <c r="K116" s="146"/>
      <c r="L116" s="146"/>
      <c r="M116" s="146"/>
      <c r="N116" s="146"/>
      <c r="O116" s="392"/>
      <c r="P116" s="392"/>
      <c r="Q116" s="392"/>
      <c r="R116" s="392"/>
      <c r="S116" s="392"/>
      <c r="T116" s="392"/>
      <c r="U116" s="392"/>
    </row>
    <row customHeight="1" ht="13.5">
      <c r="A117" s="297"/>
      <c r="B117" s="146"/>
      <c r="C117" s="67"/>
      <c r="D117" s="67"/>
      <c r="E117" s="67"/>
      <c r="F117" s="67"/>
      <c r="G117" s="67"/>
      <c r="H117" s="67"/>
      <c r="I117" s="67"/>
      <c r="J117" s="67"/>
      <c r="K117" s="146"/>
      <c r="L117" s="146"/>
      <c r="M117" s="146"/>
      <c r="N117" s="146"/>
      <c r="O117" s="392"/>
      <c r="P117" s="392"/>
      <c r="Q117" s="392"/>
      <c r="R117" s="392"/>
      <c r="S117" s="392"/>
      <c r="T117" s="392"/>
      <c r="U117" s="392"/>
    </row>
    <row customHeight="1" ht="13.5">
      <c r="A118" s="297"/>
      <c r="B118" s="67"/>
      <c r="C118" s="67"/>
      <c r="D118" s="67"/>
      <c r="E118" s="159">
        <v>2432</v>
      </c>
      <c r="F118" s="67"/>
      <c r="G118" s="67"/>
      <c r="H118" s="67"/>
      <c r="I118" s="67"/>
      <c r="J118" s="67"/>
      <c r="K118" s="146"/>
      <c r="L118" s="146"/>
      <c r="M118" s="146"/>
      <c r="N118" s="146"/>
      <c r="O118" s="392"/>
      <c r="P118" s="392"/>
      <c r="Q118" s="392"/>
      <c r="R118" s="392"/>
      <c r="S118" s="392"/>
      <c r="T118" s="392"/>
      <c r="U118" s="392"/>
    </row>
    <row customHeight="1" ht="13.5">
      <c r="A119" s="297"/>
      <c r="B119" s="67"/>
      <c r="C119" s="67"/>
      <c r="D119" s="67"/>
      <c r="E119" s="159"/>
      <c r="F119" s="67"/>
      <c r="G119" s="67"/>
      <c r="H119" s="67"/>
      <c r="I119" s="67"/>
      <c r="J119" s="67"/>
      <c r="K119" s="146"/>
      <c r="L119" s="146"/>
      <c r="M119" s="146"/>
      <c r="N119" s="146"/>
      <c r="O119" s="392"/>
      <c r="P119" s="392"/>
      <c r="Q119" s="392"/>
      <c r="R119" s="392"/>
      <c r="S119" s="392"/>
      <c r="T119" s="392"/>
      <c r="U119" s="392"/>
    </row>
    <row customHeight="1" ht="13.5">
      <c r="A120" s="297"/>
      <c r="B120" s="67"/>
      <c r="C120" s="67"/>
      <c r="D120" s="67"/>
      <c r="E120" s="159"/>
      <c r="F120" s="67"/>
      <c r="G120" s="67"/>
      <c r="H120" s="67"/>
      <c r="I120" s="67"/>
      <c r="J120" s="67"/>
      <c r="K120" s="146"/>
      <c r="L120" s="146"/>
      <c r="M120" s="146"/>
      <c r="N120" s="146"/>
      <c r="O120" s="392"/>
      <c r="P120" s="392"/>
      <c r="Q120" s="392"/>
      <c r="R120" s="392"/>
      <c r="S120" s="392"/>
      <c r="T120" s="392"/>
      <c r="U120" s="392"/>
    </row>
    <row customHeight="1" ht="13.5">
      <c r="A121" s="297"/>
      <c r="B121" s="67"/>
      <c r="C121" s="67"/>
      <c r="D121" s="67"/>
      <c r="E121" s="159"/>
      <c r="F121" s="67"/>
      <c r="G121" s="67"/>
      <c r="H121" s="67"/>
      <c r="I121" s="67"/>
      <c r="J121" s="67"/>
      <c r="K121" s="146"/>
      <c r="L121" s="146"/>
      <c r="M121" s="146"/>
      <c r="N121" s="146"/>
      <c r="O121" s="392"/>
      <c r="P121" s="392"/>
      <c r="Q121" s="392"/>
      <c r="R121" s="392"/>
      <c r="S121" s="392"/>
      <c r="T121" s="392"/>
      <c r="U121" s="392"/>
    </row>
    <row customHeight="1" ht="13.5">
      <c r="A122" s="297"/>
      <c r="B122" s="67"/>
      <c r="C122" s="67"/>
      <c r="D122" s="67"/>
      <c r="E122" s="159"/>
      <c r="F122" s="67"/>
      <c r="G122" s="67"/>
      <c r="H122" s="67"/>
      <c r="I122" s="67"/>
      <c r="J122" s="67"/>
      <c r="K122" s="146"/>
      <c r="L122" s="146"/>
      <c r="M122" s="146"/>
      <c r="N122" s="146"/>
      <c r="O122" s="392"/>
      <c r="P122" s="392"/>
      <c r="Q122" s="392"/>
      <c r="R122" s="392"/>
      <c r="S122" s="392"/>
      <c r="T122" s="392"/>
      <c r="U122" s="392"/>
    </row>
    <row customHeight="1" ht="13.5">
      <c r="A123" s="297"/>
      <c r="B123" s="67"/>
      <c r="C123" s="67"/>
      <c r="D123" s="67"/>
      <c r="E123" s="159"/>
      <c r="F123" s="67"/>
      <c r="G123" s="67"/>
      <c r="H123" s="67"/>
      <c r="I123" s="67"/>
      <c r="J123" s="67"/>
      <c r="K123" s="146"/>
      <c r="L123" s="146"/>
      <c r="M123" s="146"/>
      <c r="N123" s="146"/>
      <c r="O123" s="392"/>
      <c r="P123" s="392"/>
      <c r="Q123" s="392"/>
      <c r="R123" s="392"/>
      <c r="S123" s="392"/>
      <c r="T123" s="392"/>
      <c r="U123" s="392"/>
    </row>
    <row customHeight="1" ht="13.5">
      <c r="A124" s="297"/>
      <c r="B124" s="67"/>
      <c r="C124" s="67"/>
      <c r="D124" s="67"/>
      <c r="E124" s="159"/>
      <c r="F124" s="67"/>
      <c r="G124" s="67"/>
      <c r="H124" s="67"/>
      <c r="I124" s="67"/>
      <c r="J124" s="67"/>
      <c r="K124" s="146"/>
      <c r="L124" s="146"/>
      <c r="M124" s="146"/>
      <c r="N124" s="146"/>
      <c r="O124" s="392"/>
      <c r="P124" s="392"/>
      <c r="Q124" s="392"/>
      <c r="R124" s="392"/>
      <c r="S124" s="392"/>
      <c r="T124" s="392"/>
      <c r="U124" s="392"/>
    </row>
    <row customHeight="1" ht="13.5">
      <c r="A125" s="297"/>
      <c r="B125" s="67"/>
      <c r="C125" s="67"/>
      <c r="D125" s="67"/>
      <c r="E125" s="67"/>
      <c r="F125" s="67"/>
      <c r="G125" s="67"/>
      <c r="H125" s="67"/>
      <c r="I125" s="67"/>
      <c r="J125" s="67"/>
      <c r="K125" s="146"/>
      <c r="L125" s="146"/>
      <c r="M125" s="146"/>
      <c r="N125" s="146"/>
      <c r="O125" s="392"/>
      <c r="P125" s="392"/>
      <c r="Q125" s="392"/>
      <c r="R125" s="392"/>
      <c r="S125" s="392"/>
      <c r="T125" s="392"/>
      <c r="U125" s="392"/>
    </row>
    <row customHeight="1" ht="13.5">
      <c r="A126" s="297"/>
      <c r="B126" s="67"/>
      <c r="C126" s="67"/>
      <c r="D126" s="67"/>
      <c r="E126" s="67">
        <v>6778.44</v>
      </c>
      <c r="F126" s="67"/>
      <c r="G126" s="67"/>
      <c r="H126" s="67"/>
      <c r="I126" s="67"/>
      <c r="J126" s="67"/>
      <c r="K126" s="146"/>
      <c r="L126" s="146"/>
      <c r="M126" s="146"/>
      <c r="N126" s="146"/>
      <c r="O126" s="392"/>
      <c r="P126" s="392"/>
      <c r="Q126" s="392"/>
      <c r="R126" s="392"/>
      <c r="S126" s="392"/>
      <c r="T126" s="392"/>
      <c r="U126" s="392"/>
    </row>
    <row customHeight="1" ht="13.5">
      <c r="A127" s="297"/>
      <c r="B127" s="67"/>
      <c r="C127" s="67"/>
      <c r="D127" s="67"/>
      <c r="E127" s="67"/>
      <c r="F127" s="67"/>
      <c r="G127" s="67"/>
      <c r="H127" s="67"/>
      <c r="I127" s="67"/>
      <c r="J127" s="67"/>
      <c r="K127" s="146"/>
      <c r="L127" s="146"/>
      <c r="M127" s="146"/>
      <c r="N127" s="146"/>
      <c r="O127" s="392"/>
      <c r="P127" s="392"/>
      <c r="Q127" s="392"/>
      <c r="R127" s="392"/>
      <c r="S127" s="392"/>
      <c r="T127" s="392"/>
      <c r="U127" s="392"/>
    </row>
    <row customHeight="1" ht="13.5">
      <c r="A128" s="297"/>
      <c r="B128" s="67"/>
      <c r="C128" s="67"/>
      <c r="D128" s="67"/>
      <c r="E128" s="67"/>
      <c r="F128" s="67"/>
      <c r="G128" s="67"/>
      <c r="H128" s="67"/>
      <c r="I128" s="67"/>
      <c r="J128" s="67"/>
      <c r="K128" s="146"/>
      <c r="L128" s="146"/>
      <c r="M128" s="146"/>
      <c r="N128" s="146"/>
      <c r="O128" s="392"/>
      <c r="P128" s="392"/>
      <c r="Q128" s="392"/>
      <c r="R128" s="392"/>
      <c r="S128" s="392"/>
      <c r="T128" s="392"/>
      <c r="U128" s="392"/>
    </row>
    <row customHeight="1" ht="13.5">
      <c r="A129" s="297"/>
      <c r="B129" s="67"/>
      <c r="C129" s="67"/>
      <c r="D129" s="67"/>
      <c r="E129" s="67">
        <v>765.34</v>
      </c>
      <c r="F129" s="67"/>
      <c r="G129" s="67"/>
      <c r="H129" s="67"/>
      <c r="I129" s="67"/>
      <c r="J129" s="67"/>
      <c r="K129" s="146"/>
      <c r="L129" s="146"/>
      <c r="M129" s="146"/>
      <c r="N129" s="146"/>
      <c r="O129" s="392"/>
      <c r="P129" s="392"/>
      <c r="Q129" s="392"/>
      <c r="R129" s="392"/>
      <c r="S129" s="392"/>
      <c r="T129" s="392"/>
      <c r="U129" s="392"/>
    </row>
    <row customHeight="1" ht="13.5">
      <c r="A130" s="297"/>
      <c r="B130" s="67"/>
      <c r="C130" s="67"/>
      <c r="D130" s="67"/>
      <c r="E130" s="67"/>
      <c r="F130" s="67"/>
      <c r="G130" s="67"/>
      <c r="H130" s="67"/>
      <c r="I130" s="67"/>
      <c r="J130" s="67"/>
      <c r="K130" s="146"/>
      <c r="L130" s="146"/>
      <c r="M130" s="146"/>
      <c r="N130" s="146"/>
      <c r="O130" s="392"/>
      <c r="P130" s="392"/>
      <c r="Q130" s="392"/>
      <c r="R130" s="392"/>
      <c r="S130" s="392"/>
      <c r="T130" s="392"/>
      <c r="U130" s="392"/>
    </row>
    <row customHeight="1" ht="13.5">
      <c r="A131" s="297"/>
      <c r="B131" s="67"/>
      <c r="C131" s="67"/>
      <c r="D131" s="67"/>
      <c r="E131" s="67">
        <v>10912</v>
      </c>
      <c r="F131" s="67"/>
      <c r="G131" s="67"/>
      <c r="H131" s="67"/>
      <c r="I131" s="67"/>
      <c r="J131" s="67"/>
      <c r="K131" s="146"/>
      <c r="L131" s="146"/>
      <c r="M131" s="146"/>
      <c r="N131" s="146"/>
      <c r="O131" s="392"/>
      <c r="P131" s="392"/>
      <c r="Q131" s="392"/>
      <c r="R131" s="392"/>
      <c r="S131" s="392"/>
      <c r="T131" s="392"/>
      <c r="U131" s="392"/>
    </row>
    <row customHeight="1" ht="13.5">
      <c r="A132" s="297"/>
      <c r="B132" s="67"/>
      <c r="C132" s="67"/>
      <c r="D132" s="67"/>
      <c r="E132" s="67"/>
      <c r="F132" s="67"/>
      <c r="G132" s="67"/>
      <c r="H132" s="67"/>
      <c r="I132" s="67"/>
      <c r="J132" s="67"/>
      <c r="K132" s="146"/>
      <c r="L132" s="146"/>
      <c r="M132" s="146"/>
      <c r="N132" s="146"/>
      <c r="O132" s="392"/>
      <c r="P132" s="392"/>
      <c r="Q132" s="392"/>
      <c r="R132" s="392"/>
      <c r="S132" s="392"/>
      <c r="T132" s="392"/>
      <c r="U132" s="392"/>
    </row>
    <row customHeight="1" ht="13.5">
      <c r="A133" s="297"/>
      <c r="B133" s="67"/>
      <c r="C133" s="67"/>
      <c r="D133" s="67"/>
      <c r="E133" s="67">
        <v>29162</v>
      </c>
      <c r="F133" s="67"/>
      <c r="G133" s="67"/>
      <c r="H133" s="67"/>
      <c r="I133" s="67"/>
      <c r="J133" s="67"/>
      <c r="K133" s="146"/>
      <c r="L133" s="146"/>
      <c r="M133" s="146"/>
      <c r="N133" s="146"/>
      <c r="O133" s="392"/>
      <c r="P133" s="392"/>
      <c r="Q133" s="392"/>
      <c r="R133" s="392"/>
      <c r="S133" s="392"/>
      <c r="T133" s="392"/>
      <c r="U133" s="392"/>
    </row>
    <row customHeight="1" ht="13.5">
      <c r="A134" s="297"/>
      <c r="B134" s="67"/>
      <c r="C134" s="67"/>
      <c r="D134" s="67"/>
      <c r="E134" s="67"/>
      <c r="F134" s="67"/>
      <c r="G134" s="67"/>
      <c r="H134" s="67"/>
      <c r="I134" s="67"/>
      <c r="J134" s="67"/>
      <c r="K134" s="146"/>
      <c r="L134" s="146"/>
      <c r="M134" s="146"/>
      <c r="N134" s="146"/>
      <c r="O134" s="392"/>
      <c r="P134" s="392"/>
      <c r="Q134" s="392"/>
      <c r="R134" s="392"/>
      <c r="S134" s="392"/>
      <c r="T134" s="392"/>
      <c r="U134" s="392"/>
    </row>
    <row customHeight="1" ht="13.5">
      <c r="A135" s="297"/>
      <c r="B135" s="67"/>
      <c r="C135" s="67"/>
      <c r="D135" s="67"/>
      <c r="E135" s="67">
        <v>34344</v>
      </c>
      <c r="F135" s="67"/>
      <c r="G135" s="67"/>
      <c r="H135" s="67"/>
      <c r="I135" s="67"/>
      <c r="J135" s="67"/>
      <c r="K135" s="146"/>
      <c r="L135" s="146"/>
      <c r="M135" s="146"/>
      <c r="N135" s="146"/>
      <c r="O135" s="392"/>
      <c r="P135" s="392"/>
      <c r="Q135" s="392"/>
      <c r="R135" s="392"/>
      <c r="S135" s="392"/>
      <c r="T135" s="392"/>
      <c r="U135" s="392"/>
    </row>
    <row customHeight="1" ht="13.5">
      <c r="A136" s="297"/>
      <c r="B136" s="67"/>
      <c r="C136" s="67"/>
      <c r="D136" s="67"/>
      <c r="E136" s="67"/>
      <c r="F136" s="67"/>
      <c r="G136" s="67"/>
      <c r="H136" s="67"/>
      <c r="I136" s="67"/>
      <c r="J136" s="67"/>
      <c r="K136" s="146"/>
      <c r="L136" s="146"/>
      <c r="M136" s="146"/>
      <c r="N136" s="146"/>
      <c r="O136" s="392"/>
      <c r="P136" s="392"/>
      <c r="Q136" s="392"/>
      <c r="R136" s="392"/>
      <c r="S136" s="392"/>
      <c r="T136" s="392"/>
      <c r="U136" s="392"/>
    </row>
    <row customHeight="1" ht="13.5">
      <c r="A137" s="297"/>
      <c r="B137" s="67"/>
      <c r="C137" s="67"/>
      <c r="D137" s="67"/>
      <c r="E137" s="67">
        <v>0</v>
      </c>
      <c r="F137" s="67"/>
      <c r="G137" s="67"/>
      <c r="H137" s="67"/>
      <c r="I137" s="67"/>
      <c r="J137" s="67"/>
      <c r="K137" s="146"/>
      <c r="L137" s="146"/>
      <c r="M137" s="146"/>
      <c r="N137" s="146"/>
      <c r="O137" s="392"/>
      <c r="P137" s="392"/>
      <c r="Q137" s="392"/>
      <c r="R137" s="392"/>
      <c r="S137" s="392"/>
      <c r="T137" s="392"/>
      <c r="U137" s="392"/>
    </row>
    <row customHeight="1" ht="13.5">
      <c r="A138" s="297"/>
      <c r="B138" s="67"/>
      <c r="C138" s="67"/>
      <c r="D138" s="67"/>
      <c r="E138" s="67"/>
      <c r="F138" s="67"/>
      <c r="G138" s="67"/>
      <c r="H138" s="67"/>
      <c r="I138" s="67"/>
      <c r="J138" s="67"/>
      <c r="K138" s="146"/>
      <c r="L138" s="146"/>
      <c r="M138" s="146"/>
      <c r="N138" s="146"/>
      <c r="O138" s="392"/>
      <c r="P138" s="392"/>
      <c r="Q138" s="392"/>
      <c r="R138" s="392"/>
      <c r="S138" s="392"/>
      <c r="T138" s="392"/>
      <c r="U138" s="392"/>
    </row>
    <row customHeight="1" ht="13.5">
      <c r="A139" s="297"/>
      <c r="B139" s="67"/>
      <c r="C139" s="67"/>
      <c r="D139" s="67"/>
      <c r="E139" s="67"/>
      <c r="F139" s="67"/>
      <c r="G139" s="67"/>
      <c r="H139" s="67"/>
      <c r="I139" s="67"/>
      <c r="J139" s="67"/>
      <c r="K139" s="146"/>
      <c r="L139" s="146"/>
      <c r="M139" s="146"/>
      <c r="N139" s="146"/>
      <c r="O139" s="392"/>
      <c r="P139" s="392"/>
      <c r="Q139" s="392"/>
      <c r="R139" s="392"/>
      <c r="S139" s="392"/>
      <c r="T139" s="392"/>
      <c r="U139" s="392"/>
    </row>
    <row customHeight="1" ht="13.5">
      <c r="A140" s="297"/>
      <c r="B140" s="67"/>
      <c r="C140" s="67"/>
      <c r="D140" s="67"/>
      <c r="E140" s="67">
        <v>43190</v>
      </c>
      <c r="F140" s="67"/>
      <c r="G140" s="67"/>
      <c r="H140" s="67"/>
      <c r="I140" s="67"/>
      <c r="J140" s="67"/>
      <c r="K140" s="146"/>
      <c r="L140" s="146"/>
      <c r="M140" s="146"/>
      <c r="N140" s="146"/>
      <c r="O140" s="392"/>
      <c r="P140" s="392"/>
      <c r="Q140" s="392"/>
      <c r="R140" s="392"/>
      <c r="S140" s="392"/>
      <c r="T140" s="392"/>
      <c r="U140" s="392"/>
    </row>
    <row customHeight="1" ht="13.5">
      <c r="A141" s="297"/>
      <c r="B141" s="67"/>
      <c r="C141" s="67"/>
      <c r="D141" s="67"/>
      <c r="E141" s="67"/>
      <c r="F141" s="67"/>
      <c r="G141" s="67"/>
      <c r="H141" s="67"/>
      <c r="I141" s="67"/>
      <c r="J141" s="67"/>
      <c r="K141" s="146"/>
      <c r="L141" s="146"/>
      <c r="M141" s="146"/>
      <c r="N141" s="146"/>
      <c r="O141" s="392"/>
      <c r="P141" s="392"/>
      <c r="Q141" s="392"/>
      <c r="R141" s="392"/>
      <c r="S141" s="392"/>
      <c r="T141" s="392"/>
      <c r="U141" s="392"/>
    </row>
    <row customHeight="1" ht="13.5">
      <c r="A142" s="297"/>
      <c r="B142" s="67"/>
      <c r="C142" s="67"/>
      <c r="D142" s="67"/>
      <c r="E142" s="67">
        <v>0</v>
      </c>
      <c r="F142" s="67"/>
      <c r="G142" s="67"/>
      <c r="H142" s="67"/>
      <c r="I142" s="67"/>
      <c r="J142" s="67"/>
      <c r="K142" s="146"/>
      <c r="L142" s="146"/>
      <c r="M142" s="146"/>
      <c r="N142" s="146"/>
      <c r="O142" s="392"/>
      <c r="P142" s="392"/>
      <c r="Q142" s="392"/>
      <c r="R142" s="392"/>
      <c r="S142" s="392"/>
      <c r="T142" s="392"/>
      <c r="U142" s="392"/>
    </row>
    <row customHeight="1" ht="13.5">
      <c r="A143" s="297"/>
      <c r="B143" s="67"/>
      <c r="C143" s="67"/>
      <c r="D143" s="67"/>
      <c r="E143" s="67"/>
      <c r="F143" s="67"/>
      <c r="G143" s="67"/>
      <c r="H143" s="67"/>
      <c r="I143" s="67"/>
      <c r="J143" s="67"/>
      <c r="K143" s="146"/>
      <c r="L143" s="146"/>
      <c r="M143" s="146"/>
      <c r="N143" s="146"/>
      <c r="O143" s="392"/>
      <c r="P143" s="392"/>
      <c r="Q143" s="392"/>
      <c r="R143" s="392"/>
      <c r="S143" s="392"/>
      <c r="T143" s="392"/>
      <c r="U143" s="392"/>
    </row>
    <row customHeight="1" ht="13.5">
      <c r="A144" s="297"/>
      <c r="B144" s="67"/>
      <c r="C144" s="67"/>
      <c r="D144" s="67"/>
      <c r="E144" s="67"/>
      <c r="F144" s="67"/>
      <c r="G144" s="67"/>
      <c r="H144" s="67"/>
      <c r="I144" s="67"/>
      <c r="J144" s="67"/>
      <c r="K144" s="146"/>
      <c r="L144" s="146"/>
      <c r="M144" s="146"/>
      <c r="N144" s="146"/>
      <c r="O144" s="392"/>
      <c r="P144" s="392"/>
      <c r="Q144" s="392"/>
      <c r="R144" s="392"/>
      <c r="S144" s="392"/>
      <c r="T144" s="392"/>
      <c r="U144" s="392"/>
    </row>
    <row customHeight="1" ht="13.5">
      <c r="A145" s="297"/>
      <c r="B145" s="67"/>
      <c r="C145" s="67"/>
      <c r="D145" s="67"/>
      <c r="E145" s="67"/>
      <c r="F145" s="67"/>
      <c r="G145" s="67"/>
      <c r="H145" s="67"/>
      <c r="I145" s="67"/>
      <c r="J145" s="67"/>
      <c r="K145" s="146"/>
      <c r="L145" s="146"/>
      <c r="M145" s="146"/>
      <c r="N145" s="146"/>
      <c r="O145" s="392"/>
      <c r="P145" s="392"/>
      <c r="Q145" s="392"/>
      <c r="R145" s="392"/>
      <c r="S145" s="392"/>
      <c r="T145" s="392"/>
      <c r="U145" s="392"/>
    </row>
    <row customHeight="1" ht="13.5">
      <c r="A146" s="297"/>
      <c r="B146" s="67"/>
      <c r="C146" s="67"/>
      <c r="D146" s="67"/>
      <c r="E146" s="67"/>
      <c r="F146" s="67"/>
      <c r="G146" s="67"/>
      <c r="H146" s="67"/>
      <c r="I146" s="67"/>
      <c r="J146" s="67"/>
      <c r="K146" s="146"/>
      <c r="L146" s="146"/>
      <c r="M146" s="146"/>
      <c r="N146" s="146"/>
      <c r="O146" s="392"/>
      <c r="P146" s="392"/>
      <c r="Q146" s="392"/>
      <c r="R146" s="392"/>
      <c r="S146" s="392"/>
      <c r="T146" s="392"/>
      <c r="U146" s="392"/>
    </row>
    <row customHeight="1" ht="13.5">
      <c r="A147" s="297"/>
      <c r="B147" s="67"/>
      <c r="C147" s="67"/>
      <c r="D147" s="67"/>
      <c r="E147" s="67">
        <v>0</v>
      </c>
      <c r="F147" s="67"/>
      <c r="G147" s="67"/>
      <c r="H147" s="67"/>
      <c r="I147" s="67"/>
      <c r="J147" s="67"/>
      <c r="K147" s="146"/>
      <c r="L147" s="146"/>
      <c r="M147" s="146"/>
      <c r="N147" s="146"/>
      <c r="O147" s="392"/>
      <c r="P147" s="392"/>
      <c r="Q147" s="392"/>
      <c r="R147" s="392"/>
      <c r="S147" s="392"/>
      <c r="T147" s="392"/>
      <c r="U147" s="392"/>
    </row>
    <row customHeight="1" ht="13.5">
      <c r="A148" s="297"/>
      <c r="B148" s="67"/>
      <c r="C148" s="67"/>
      <c r="D148" s="67"/>
      <c r="E148" s="67"/>
      <c r="F148" s="67"/>
      <c r="G148" s="67"/>
      <c r="H148" s="67"/>
      <c r="I148" s="67"/>
      <c r="J148" s="67"/>
      <c r="K148" s="146"/>
      <c r="L148" s="146"/>
      <c r="M148" s="146"/>
      <c r="N148" s="146"/>
      <c r="O148" s="392"/>
      <c r="P148" s="392"/>
      <c r="Q148" s="392"/>
      <c r="R148" s="392"/>
      <c r="S148" s="392"/>
      <c r="T148" s="392"/>
      <c r="U148" s="392"/>
    </row>
    <row customHeight="1" ht="13.5">
      <c r="A149" s="297"/>
      <c r="B149" s="67"/>
      <c r="C149" s="67"/>
      <c r="D149" s="67"/>
      <c r="E149" s="67">
        <v>571.28</v>
      </c>
      <c r="F149" s="67"/>
      <c r="G149" s="67"/>
      <c r="H149" s="67"/>
      <c r="I149" s="67"/>
      <c r="J149" s="67"/>
      <c r="K149" s="146"/>
      <c r="L149" s="146"/>
      <c r="M149" s="146"/>
      <c r="N149" s="146"/>
      <c r="O149" s="392"/>
      <c r="P149" s="392"/>
      <c r="Q149" s="392"/>
      <c r="R149" s="392"/>
      <c r="S149" s="392"/>
      <c r="T149" s="392"/>
      <c r="U149" s="392"/>
    </row>
    <row customHeight="1" ht="13.5">
      <c r="A150" s="297"/>
      <c r="B150" s="67"/>
      <c r="C150" s="67"/>
      <c r="D150" s="67"/>
      <c r="E150" s="67">
        <v>1527</v>
      </c>
      <c r="F150" s="67"/>
      <c r="G150" s="67"/>
      <c r="H150" s="67"/>
      <c r="I150" s="67"/>
      <c r="J150" s="67"/>
      <c r="K150" s="146"/>
      <c r="L150" s="146"/>
      <c r="M150" s="146"/>
      <c r="N150" s="146"/>
      <c r="O150" s="392"/>
      <c r="P150" s="392"/>
      <c r="Q150" s="392"/>
      <c r="R150" s="392"/>
      <c r="S150" s="392"/>
      <c r="T150" s="392"/>
      <c r="U150" s="392"/>
    </row>
    <row customHeight="1" ht="13.5">
      <c r="A151" s="297"/>
      <c r="B151" s="67"/>
      <c r="C151" s="67"/>
      <c r="D151" s="67"/>
      <c r="E151" s="67"/>
      <c r="F151" s="67"/>
      <c r="G151" s="67"/>
      <c r="H151" s="67"/>
      <c r="I151" s="67"/>
      <c r="J151" s="67"/>
      <c r="K151" s="146"/>
      <c r="L151" s="146"/>
      <c r="M151" s="146"/>
      <c r="N151" s="146"/>
      <c r="O151" s="392"/>
      <c r="P151" s="392"/>
      <c r="Q151" s="392"/>
      <c r="R151" s="392"/>
      <c r="S151" s="392"/>
      <c r="T151" s="392"/>
      <c r="U151" s="392"/>
    </row>
    <row customHeight="1" ht="13.5">
      <c r="A152" s="297"/>
      <c r="B152" s="67"/>
      <c r="C152" s="67"/>
      <c r="D152" s="67"/>
      <c r="E152" s="67">
        <v>19355</v>
      </c>
      <c r="F152" s="67"/>
      <c r="G152" s="67"/>
      <c r="H152" s="67"/>
      <c r="I152" s="67"/>
      <c r="J152" s="67"/>
      <c r="K152" s="146"/>
      <c r="L152" s="146"/>
      <c r="M152" s="146"/>
      <c r="N152" s="146"/>
      <c r="O152" s="392"/>
      <c r="P152" s="392"/>
      <c r="Q152" s="392"/>
      <c r="R152" s="392"/>
      <c r="S152" s="392"/>
      <c r="T152" s="392"/>
      <c r="U152" s="392"/>
    </row>
    <row customHeight="1" ht="13.5">
      <c r="A153" s="297"/>
      <c r="B153" s="67"/>
      <c r="C153" s="67"/>
      <c r="D153" s="67"/>
      <c r="E153" s="67"/>
      <c r="F153" s="67"/>
      <c r="G153" s="67"/>
      <c r="H153" s="67"/>
      <c r="I153" s="67"/>
      <c r="J153" s="67"/>
      <c r="K153" s="146"/>
      <c r="L153" s="146"/>
      <c r="M153" s="146"/>
      <c r="N153" s="146"/>
      <c r="O153" s="392"/>
      <c r="P153" s="392"/>
      <c r="Q153" s="392"/>
      <c r="R153" s="392"/>
      <c r="S153" s="392"/>
      <c r="T153" s="392"/>
      <c r="U153" s="392"/>
    </row>
    <row customHeight="1" ht="13.5">
      <c r="A154" s="297"/>
      <c r="B154" s="67"/>
      <c r="C154" s="67"/>
      <c r="D154" s="67"/>
      <c r="E154" s="67"/>
      <c r="F154" s="67"/>
      <c r="G154" s="67"/>
      <c r="H154" s="67"/>
      <c r="I154" s="67"/>
      <c r="J154" s="67"/>
      <c r="K154" s="146"/>
      <c r="L154" s="146"/>
      <c r="M154" s="146"/>
      <c r="N154" s="146"/>
      <c r="O154" s="392"/>
      <c r="P154" s="392"/>
      <c r="Q154" s="392"/>
      <c r="R154" s="392"/>
      <c r="S154" s="392"/>
      <c r="T154" s="392"/>
      <c r="U154" s="392"/>
    </row>
    <row customHeight="1" ht="13.5">
      <c r="A155" s="297"/>
      <c r="B155" s="67"/>
      <c r="C155" s="67"/>
      <c r="D155" s="67"/>
      <c r="E155" s="67"/>
      <c r="F155" s="67"/>
      <c r="G155" s="67"/>
      <c r="H155" s="67"/>
      <c r="I155" s="67"/>
      <c r="J155" s="67"/>
      <c r="K155" s="146"/>
      <c r="L155" s="146"/>
      <c r="M155" s="146"/>
      <c r="N155" s="146"/>
      <c r="O155" s="392"/>
      <c r="P155" s="392"/>
      <c r="Q155" s="392"/>
      <c r="R155" s="392"/>
      <c r="S155" s="392"/>
      <c r="T155" s="392"/>
      <c r="U155" s="392"/>
    </row>
    <row customHeight="1" ht="13.5">
      <c r="A156" s="297"/>
      <c r="B156" s="67"/>
      <c r="C156" s="67"/>
      <c r="D156" s="67"/>
      <c r="E156" s="67"/>
      <c r="F156" s="67"/>
      <c r="G156" s="67"/>
      <c r="H156" s="67"/>
      <c r="I156" s="67"/>
      <c r="J156" s="67"/>
      <c r="K156" s="146"/>
      <c r="L156" s="146"/>
      <c r="M156" s="146"/>
      <c r="N156" s="146"/>
      <c r="O156" s="392"/>
      <c r="P156" s="392"/>
      <c r="Q156" s="392"/>
      <c r="R156" s="392"/>
      <c r="S156" s="392"/>
      <c r="T156" s="392"/>
      <c r="U156" s="392"/>
    </row>
    <row customHeight="1" ht="13.5">
      <c r="A157" s="297"/>
      <c r="B157" s="67"/>
      <c r="C157" s="67"/>
      <c r="D157" s="67"/>
      <c r="E157" s="67"/>
      <c r="F157" s="67"/>
      <c r="G157" s="67"/>
      <c r="H157" s="67"/>
      <c r="I157" s="67"/>
      <c r="J157" s="67"/>
      <c r="K157" s="146"/>
      <c r="L157" s="146"/>
      <c r="M157" s="146"/>
      <c r="N157" s="146"/>
      <c r="O157" s="392"/>
      <c r="P157" s="392"/>
      <c r="Q157" s="392"/>
      <c r="R157" s="392"/>
      <c r="S157" s="392"/>
      <c r="T157" s="392"/>
      <c r="U157" s="392"/>
    </row>
    <row customHeight="1" ht="13.5">
      <c r="A158" s="297"/>
      <c r="B158" s="67"/>
      <c r="C158" s="67"/>
      <c r="D158" s="67"/>
      <c r="E158" s="67"/>
      <c r="F158" s="67"/>
      <c r="G158" s="67"/>
      <c r="H158" s="67"/>
      <c r="I158" s="67"/>
      <c r="J158" s="67"/>
      <c r="K158" s="146"/>
      <c r="L158" s="146"/>
      <c r="M158" s="146"/>
      <c r="N158" s="146"/>
      <c r="O158" s="392"/>
      <c r="P158" s="392"/>
      <c r="Q158" s="392"/>
      <c r="R158" s="392"/>
      <c r="S158" s="392"/>
      <c r="T158" s="392"/>
      <c r="U158" s="392"/>
    </row>
    <row customHeight="1" ht="13.5">
      <c r="A159" s="297"/>
      <c r="B159" s="67"/>
      <c r="C159" s="67"/>
      <c r="D159" s="67"/>
      <c r="E159" s="67"/>
      <c r="F159" s="67"/>
      <c r="G159" s="67"/>
      <c r="H159" s="67"/>
      <c r="I159" s="67"/>
      <c r="J159" s="67"/>
      <c r="K159" s="146"/>
      <c r="L159" s="146"/>
      <c r="M159" s="146"/>
      <c r="N159" s="146"/>
      <c r="O159" s="392"/>
      <c r="P159" s="392"/>
      <c r="Q159" s="392"/>
      <c r="R159" s="392"/>
      <c r="S159" s="392"/>
      <c r="T159" s="392"/>
      <c r="U159" s="392"/>
    </row>
    <row customHeight="1" ht="13.5">
      <c r="A160" s="297"/>
      <c r="B160" s="67"/>
      <c r="C160" s="67"/>
      <c r="D160" s="67"/>
      <c r="E160" s="67"/>
      <c r="F160" s="67"/>
      <c r="G160" s="67"/>
      <c r="H160" s="67"/>
      <c r="I160" s="67"/>
      <c r="J160" s="67"/>
      <c r="K160" s="146"/>
      <c r="L160" s="146"/>
      <c r="M160" s="146"/>
      <c r="N160" s="146"/>
      <c r="O160" s="392"/>
      <c r="P160" s="392"/>
      <c r="Q160" s="392"/>
      <c r="R160" s="392"/>
      <c r="S160" s="392"/>
      <c r="T160" s="392"/>
      <c r="U160" s="392"/>
    </row>
    <row customHeight="1" ht="13.5">
      <c r="A161" s="297"/>
      <c r="B161" s="67"/>
      <c r="C161" s="67"/>
      <c r="D161" s="67"/>
      <c r="E161" s="67"/>
      <c r="F161" s="67"/>
      <c r="G161" s="67"/>
      <c r="H161" s="67"/>
      <c r="I161" s="67"/>
      <c r="J161" s="67"/>
      <c r="K161" s="146"/>
      <c r="L161" s="146"/>
      <c r="M161" s="146"/>
      <c r="N161" s="146"/>
      <c r="O161" s="392"/>
      <c r="P161" s="392"/>
      <c r="Q161" s="392"/>
      <c r="R161" s="392"/>
      <c r="S161" s="392"/>
      <c r="T161" s="392"/>
      <c r="U161" s="392"/>
    </row>
    <row customHeight="1" ht="13.5">
      <c r="A162" s="297"/>
      <c r="B162" s="67"/>
      <c r="C162" s="67"/>
      <c r="D162" s="67"/>
      <c r="E162" s="67"/>
      <c r="F162" s="67"/>
      <c r="G162" s="67"/>
      <c r="H162" s="67"/>
      <c r="I162" s="67"/>
      <c r="J162" s="67"/>
      <c r="K162" s="146"/>
      <c r="L162" s="146"/>
      <c r="M162" s="146"/>
      <c r="N162" s="146"/>
      <c r="O162" s="392"/>
      <c r="P162" s="392"/>
      <c r="Q162" s="392"/>
      <c r="R162" s="392"/>
      <c r="S162" s="392"/>
      <c r="T162" s="392"/>
      <c r="U162" s="392"/>
    </row>
    <row customHeight="1" ht="13.5">
      <c r="A163" s="297"/>
      <c r="B163" s="67"/>
      <c r="C163" s="67"/>
      <c r="D163" s="67"/>
      <c r="E163" s="67"/>
      <c r="F163" s="67"/>
      <c r="G163" s="67"/>
      <c r="H163" s="67"/>
      <c r="I163" s="67"/>
      <c r="J163" s="67"/>
      <c r="K163" s="146"/>
      <c r="L163" s="146"/>
      <c r="M163" s="146"/>
      <c r="N163" s="146"/>
      <c r="O163" s="392"/>
      <c r="P163" s="392"/>
      <c r="Q163" s="392"/>
      <c r="R163" s="392"/>
      <c r="S163" s="392"/>
      <c r="T163" s="392"/>
      <c r="U163" s="392"/>
    </row>
    <row customHeight="1" ht="13.5">
      <c r="A164" s="297"/>
      <c r="B164" s="67"/>
      <c r="C164" s="67"/>
      <c r="D164" s="67"/>
      <c r="E164" s="67"/>
      <c r="F164" s="67"/>
      <c r="G164" s="67"/>
      <c r="H164" s="67"/>
      <c r="I164" s="67"/>
      <c r="J164" s="67"/>
      <c r="K164" s="146"/>
      <c r="L164" s="146"/>
      <c r="M164" s="146"/>
      <c r="N164" s="146"/>
      <c r="O164" s="392"/>
      <c r="P164" s="392"/>
      <c r="Q164" s="392"/>
      <c r="R164" s="392"/>
      <c r="S164" s="392"/>
      <c r="T164" s="392"/>
      <c r="U164" s="392"/>
    </row>
    <row customHeight="1" ht="13.5">
      <c r="A165" s="297"/>
      <c r="B165" s="67"/>
      <c r="C165" s="67"/>
      <c r="D165" s="67"/>
      <c r="E165" s="67"/>
      <c r="F165" s="67"/>
      <c r="G165" s="67"/>
      <c r="H165" s="67"/>
      <c r="I165" s="67"/>
      <c r="J165" s="67"/>
      <c r="K165" s="146"/>
      <c r="L165" s="146"/>
      <c r="M165" s="146"/>
      <c r="N165" s="146"/>
      <c r="O165" s="392"/>
      <c r="P165" s="392"/>
      <c r="Q165" s="392"/>
      <c r="R165" s="392"/>
      <c r="S165" s="392"/>
      <c r="T165" s="392"/>
      <c r="U165" s="392"/>
    </row>
    <row customHeight="1" ht="13.5">
      <c r="A166" s="297"/>
      <c r="B166" s="67"/>
      <c r="C166" s="67"/>
      <c r="D166" s="67"/>
      <c r="E166" s="67"/>
      <c r="F166" s="67"/>
      <c r="G166" s="67"/>
      <c r="H166" s="67"/>
      <c r="I166" s="67"/>
      <c r="J166" s="67"/>
      <c r="K166" s="146"/>
      <c r="L166" s="146"/>
      <c r="M166" s="146"/>
      <c r="N166" s="146"/>
      <c r="O166" s="392"/>
      <c r="P166" s="392"/>
      <c r="Q166" s="392"/>
      <c r="R166" s="392"/>
      <c r="S166" s="392"/>
      <c r="T166" s="392"/>
      <c r="U166" s="392"/>
    </row>
    <row customHeight="1" ht="13.5">
      <c r="A167" s="297"/>
      <c r="B167" s="67"/>
      <c r="C167" s="67"/>
      <c r="D167" s="67"/>
      <c r="E167" s="67"/>
      <c r="F167" s="67"/>
      <c r="G167" s="67"/>
      <c r="H167" s="67"/>
      <c r="I167" s="67"/>
      <c r="J167" s="67"/>
      <c r="K167" s="146"/>
      <c r="L167" s="146"/>
      <c r="M167" s="146"/>
      <c r="N167" s="146"/>
      <c r="O167" s="392"/>
      <c r="P167" s="392"/>
      <c r="Q167" s="392"/>
      <c r="R167" s="392"/>
      <c r="S167" s="392"/>
      <c r="T167" s="392"/>
      <c r="U167" s="392"/>
    </row>
    <row customHeight="1" ht="13.5">
      <c r="A168" s="297"/>
      <c r="B168" s="67"/>
      <c r="C168" s="67"/>
      <c r="D168" s="67"/>
      <c r="E168" s="67"/>
      <c r="F168" s="67"/>
      <c r="G168" s="67"/>
      <c r="H168" s="67"/>
      <c r="I168" s="67"/>
      <c r="J168" s="67"/>
      <c r="K168" s="146"/>
      <c r="L168" s="146"/>
      <c r="M168" s="146"/>
      <c r="N168" s="146"/>
      <c r="O168" s="392"/>
      <c r="P168" s="392"/>
      <c r="Q168" s="392"/>
      <c r="R168" s="392"/>
      <c r="S168" s="392"/>
      <c r="T168" s="392"/>
      <c r="U168" s="392"/>
    </row>
    <row customHeight="1" ht="13.5">
      <c r="A169" s="297"/>
      <c r="B169" s="67"/>
      <c r="C169" s="67"/>
      <c r="D169" s="67"/>
      <c r="E169" s="67"/>
      <c r="F169" s="67"/>
      <c r="G169" s="67"/>
      <c r="H169" s="67"/>
      <c r="I169" s="67"/>
      <c r="J169" s="67"/>
      <c r="K169" s="146"/>
      <c r="L169" s="146"/>
      <c r="M169" s="146"/>
      <c r="N169" s="146"/>
      <c r="O169" s="392"/>
      <c r="P169" s="392"/>
      <c r="Q169" s="392"/>
      <c r="R169" s="392"/>
      <c r="S169" s="392"/>
      <c r="T169" s="392"/>
      <c r="U169" s="392"/>
    </row>
    <row customHeight="1" ht="13.5">
      <c r="A170" s="297"/>
      <c r="B170" s="67"/>
      <c r="C170" s="67"/>
      <c r="D170" s="67"/>
      <c r="E170" s="67"/>
      <c r="F170" s="67"/>
      <c r="G170" s="67"/>
      <c r="H170" s="67"/>
      <c r="I170" s="67"/>
      <c r="J170" s="67"/>
      <c r="K170" s="146"/>
      <c r="L170" s="146"/>
      <c r="M170" s="146"/>
      <c r="N170" s="146"/>
      <c r="O170" s="392"/>
      <c r="P170" s="392"/>
      <c r="Q170" s="392"/>
      <c r="R170" s="392"/>
      <c r="S170" s="392"/>
      <c r="T170" s="392"/>
      <c r="U170" s="392"/>
    </row>
    <row customHeight="1" ht="13.5">
      <c r="A171" s="297"/>
      <c r="B171" s="67"/>
      <c r="C171" s="67"/>
      <c r="D171" s="67"/>
      <c r="E171" s="67"/>
      <c r="F171" s="67"/>
      <c r="G171" s="67"/>
      <c r="H171" s="67"/>
      <c r="I171" s="67"/>
      <c r="J171" s="67"/>
      <c r="K171" s="146"/>
      <c r="L171" s="146"/>
      <c r="M171" s="146"/>
      <c r="N171" s="146"/>
      <c r="O171" s="392"/>
      <c r="P171" s="392"/>
      <c r="Q171" s="392"/>
      <c r="R171" s="392"/>
      <c r="S171" s="392"/>
      <c r="T171" s="392"/>
      <c r="U171" s="392"/>
    </row>
    <row customHeight="1" ht="13.5">
      <c r="A172" s="297"/>
      <c r="B172" s="67"/>
      <c r="C172" s="67"/>
      <c r="D172" s="67"/>
      <c r="E172" s="67"/>
      <c r="F172" s="67"/>
      <c r="G172" s="67"/>
      <c r="H172" s="67"/>
      <c r="I172" s="67"/>
      <c r="J172" s="67"/>
      <c r="K172" s="146"/>
      <c r="L172" s="146"/>
      <c r="M172" s="146"/>
      <c r="N172" s="146"/>
      <c r="O172" s="392"/>
      <c r="P172" s="392"/>
      <c r="Q172" s="392"/>
      <c r="R172" s="392"/>
      <c r="S172" s="392"/>
      <c r="T172" s="392"/>
      <c r="U172" s="392"/>
    </row>
    <row customHeight="1" ht="13.5">
      <c r="A173" s="297"/>
      <c r="B173" s="67"/>
      <c r="C173" s="67"/>
      <c r="D173" s="67"/>
      <c r="E173" s="67"/>
      <c r="F173" s="67"/>
      <c r="G173" s="67"/>
      <c r="H173" s="67"/>
      <c r="I173" s="67"/>
      <c r="J173" s="67"/>
      <c r="K173" s="146"/>
      <c r="L173" s="146"/>
      <c r="M173" s="146"/>
      <c r="N173" s="146"/>
      <c r="O173" s="392"/>
      <c r="P173" s="392"/>
      <c r="Q173" s="392"/>
      <c r="R173" s="392"/>
      <c r="S173" s="392"/>
      <c r="T173" s="392"/>
      <c r="U173" s="392"/>
    </row>
    <row customHeight="1" ht="13.5">
      <c r="A174" s="297"/>
      <c r="B174" s="67"/>
      <c r="C174" s="67"/>
      <c r="D174" s="67"/>
      <c r="E174" s="67"/>
      <c r="F174" s="67"/>
      <c r="G174" s="67"/>
      <c r="H174" s="67"/>
      <c r="I174" s="67"/>
      <c r="J174" s="67"/>
      <c r="K174" s="146"/>
      <c r="L174" s="146"/>
      <c r="M174" s="146"/>
      <c r="N174" s="146"/>
      <c r="O174" s="392"/>
      <c r="P174" s="392"/>
      <c r="Q174" s="392"/>
      <c r="R174" s="392"/>
      <c r="S174" s="392"/>
      <c r="T174" s="392"/>
      <c r="U174" s="392"/>
    </row>
    <row customHeight="1" ht="13.5">
      <c r="A175" s="297"/>
      <c r="B175" s="67"/>
      <c r="C175" s="67"/>
      <c r="D175" s="67"/>
      <c r="E175" s="67"/>
      <c r="F175" s="67"/>
      <c r="G175" s="67"/>
      <c r="H175" s="67"/>
      <c r="I175" s="67"/>
      <c r="J175" s="67"/>
      <c r="K175" s="146"/>
      <c r="L175" s="146"/>
      <c r="M175" s="146"/>
      <c r="N175" s="146"/>
      <c r="O175" s="392"/>
      <c r="P175" s="392"/>
      <c r="Q175" s="392"/>
      <c r="R175" s="392"/>
      <c r="S175" s="392"/>
      <c r="T175" s="392"/>
      <c r="U175" s="392"/>
    </row>
    <row customHeight="1" ht="13.5">
      <c r="A176" s="297"/>
      <c r="B176" s="67"/>
      <c r="C176" s="67"/>
      <c r="D176" s="67"/>
      <c r="E176" s="67"/>
      <c r="F176" s="67"/>
      <c r="G176" s="67"/>
      <c r="H176" s="67"/>
      <c r="I176" s="67"/>
      <c r="J176" s="67"/>
      <c r="K176" s="146"/>
      <c r="L176" s="146"/>
      <c r="M176" s="146"/>
      <c r="N176" s="146"/>
      <c r="O176" s="392"/>
      <c r="P176" s="392"/>
      <c r="Q176" s="392"/>
      <c r="R176" s="392"/>
      <c r="S176" s="392"/>
      <c r="T176" s="392"/>
      <c r="U176" s="392"/>
    </row>
    <row customHeight="1" ht="13.5">
      <c r="A177" s="297"/>
      <c r="B177" s="67"/>
      <c r="C177" s="67"/>
      <c r="D177" s="67"/>
      <c r="E177" s="67"/>
      <c r="F177" s="67"/>
      <c r="G177" s="67"/>
      <c r="H177" s="67"/>
      <c r="I177" s="67"/>
      <c r="J177" s="67"/>
      <c r="K177" s="146"/>
      <c r="L177" s="146"/>
      <c r="M177" s="146"/>
      <c r="N177" s="146"/>
      <c r="O177" s="392"/>
      <c r="P177" s="392"/>
      <c r="Q177" s="392"/>
      <c r="R177" s="392"/>
      <c r="S177" s="392"/>
      <c r="T177" s="392"/>
      <c r="U177" s="392"/>
    </row>
    <row customHeight="1" ht="13.5">
      <c r="A178" s="297"/>
      <c r="B178" s="67"/>
      <c r="C178" s="67"/>
      <c r="D178" s="67"/>
      <c r="E178" s="67"/>
      <c r="F178" s="67"/>
      <c r="G178" s="67"/>
      <c r="H178" s="67"/>
      <c r="I178" s="67"/>
      <c r="J178" s="67"/>
      <c r="K178" s="146"/>
      <c r="L178" s="146"/>
      <c r="M178" s="146"/>
      <c r="N178" s="146"/>
      <c r="O178" s="392"/>
      <c r="P178" s="392"/>
      <c r="Q178" s="392"/>
      <c r="R178" s="392"/>
      <c r="S178" s="392"/>
      <c r="T178" s="392"/>
      <c r="U178" s="392"/>
    </row>
    <row customHeight="1" ht="13.5">
      <c r="A179" s="297"/>
      <c r="B179" s="67"/>
      <c r="C179" s="67"/>
      <c r="D179" s="67"/>
      <c r="E179" s="67"/>
      <c r="F179" s="67"/>
      <c r="G179" s="67"/>
      <c r="H179" s="67"/>
      <c r="I179" s="67"/>
      <c r="J179" s="67"/>
      <c r="K179" s="146"/>
      <c r="L179" s="146"/>
      <c r="M179" s="146"/>
      <c r="N179" s="146"/>
      <c r="O179" s="392"/>
      <c r="P179" s="392"/>
      <c r="Q179" s="392"/>
      <c r="R179" s="392"/>
      <c r="S179" s="392"/>
      <c r="T179" s="392"/>
      <c r="U179" s="392"/>
    </row>
    <row customHeight="1" ht="13.5">
      <c r="A180" s="297"/>
      <c r="B180" s="67"/>
      <c r="C180" s="67"/>
      <c r="D180" s="67"/>
      <c r="E180" s="67"/>
      <c r="F180" s="67"/>
      <c r="G180" s="67"/>
      <c r="H180" s="67"/>
      <c r="I180" s="67"/>
      <c r="J180" s="67"/>
      <c r="K180" s="146"/>
      <c r="L180" s="146"/>
      <c r="M180" s="146"/>
      <c r="N180" s="146"/>
      <c r="O180" s="392"/>
      <c r="P180" s="392"/>
      <c r="Q180" s="392"/>
      <c r="R180" s="392"/>
      <c r="S180" s="392"/>
      <c r="T180" s="392"/>
      <c r="U180" s="392"/>
    </row>
    <row customHeight="1" ht="13.5">
      <c r="A181" s="297"/>
      <c r="B181" s="67"/>
      <c r="C181" s="67"/>
      <c r="D181" s="67"/>
      <c r="E181" s="67"/>
      <c r="F181" s="67"/>
      <c r="G181" s="67"/>
      <c r="H181" s="67"/>
      <c r="I181" s="67"/>
      <c r="J181" s="67"/>
      <c r="K181" s="146"/>
      <c r="L181" s="146"/>
      <c r="M181" s="146"/>
      <c r="N181" s="146"/>
      <c r="O181" s="392"/>
      <c r="P181" s="392"/>
      <c r="Q181" s="392"/>
      <c r="R181" s="392"/>
      <c r="S181" s="392"/>
      <c r="T181" s="392"/>
      <c r="U181" s="392"/>
    </row>
    <row customHeight="1" ht="13.5">
      <c r="A182" s="297"/>
      <c r="B182" s="67"/>
      <c r="C182" s="67"/>
      <c r="D182" s="67"/>
      <c r="E182" s="67"/>
      <c r="F182" s="67"/>
      <c r="G182" s="67"/>
      <c r="H182" s="67"/>
      <c r="I182" s="67"/>
      <c r="J182" s="67"/>
      <c r="K182" s="146"/>
      <c r="L182" s="146"/>
      <c r="M182" s="146"/>
      <c r="N182" s="146"/>
      <c r="O182" s="392"/>
      <c r="P182" s="392"/>
      <c r="Q182" s="392"/>
      <c r="R182" s="392"/>
      <c r="S182" s="392"/>
      <c r="T182" s="392"/>
      <c r="U182" s="392"/>
    </row>
    <row customHeight="1" ht="13.5">
      <c r="A183" s="297"/>
      <c r="B183" s="67"/>
      <c r="C183" s="67"/>
      <c r="D183" s="67"/>
      <c r="E183" s="67"/>
      <c r="F183" s="67"/>
      <c r="G183" s="67"/>
      <c r="H183" s="67"/>
      <c r="I183" s="67"/>
      <c r="J183" s="67"/>
      <c r="K183" s="146"/>
      <c r="L183" s="146"/>
      <c r="M183" s="146"/>
      <c r="N183" s="146"/>
      <c r="O183" s="392"/>
      <c r="P183" s="392"/>
      <c r="Q183" s="392"/>
      <c r="R183" s="392"/>
      <c r="S183" s="392"/>
      <c r="T183" s="392"/>
      <c r="U183" s="392"/>
    </row>
  </sheetData>
  <mergeCells count="52">
    <mergeCell ref="B1:J1"/>
    <mergeCell ref="C2:D2"/>
    <mergeCell ref="F2:G2"/>
    <mergeCell ref="H2:J2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D3:D4"/>
    <mergeCell ref="I3:I4"/>
    <mergeCell ref="J3:J4"/>
    <mergeCell ref="B3:C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60DAF58-0BCF-957D-5C92-FDF975DD5AB5}" mc:Ignorable="x14ac xr xr2 xr3">
  <dimension ref="A1:P52"/>
  <sheetViews>
    <sheetView defaultGridColor="0" colorId="31" showGridLines="0" workbookViewId="0">
      <pane xSplit="4" ySplit="4" topLeftCell="E29" activePane="bottomRight" state="frozen"/>
      <selection pane="bottomLeft" activeCell="A5" sqref="A5"/>
      <selection pane="topRight" activeCell="E1" sqref="E1"/>
      <selection pane="bottomRight" activeCell="F7" sqref="F7:G7"/>
    </sheetView>
  </sheetViews>
  <sheetFormatPr defaultColWidth="10.00390625" customHeight="1" defaultRowHeight="14.4525"/>
  <cols>
    <col min="1" max="1" style="74" width="2.7109375" customWidth="1"/>
    <col min="2" max="4" style="163" width="9.7109375" customWidth="1"/>
    <col min="5" max="5" style="163" width="11.7109375" customWidth="1"/>
    <col min="6" max="6" style="163" width="8.8515625" customWidth="1"/>
    <col min="7" max="13" style="163" width="8.7109375" customWidth="1"/>
    <col min="14" max="14" style="112" width="22.7109375" customWidth="1"/>
    <col min="15" max="16" style="74" width="10.00390625" hidden="1"/>
  </cols>
  <sheetData>
    <row customHeight="1" ht="27">
      <c r="A1" s="297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297"/>
      <c r="P1" s="297"/>
    </row>
    <row s="161" customFormat="1" customHeight="1" ht="18.75">
      <c r="A2" s="570"/>
      <c r="B2" s="164" t="s">
        <v>226</v>
      </c>
      <c r="C2" s="164"/>
      <c r="D2" s="164"/>
      <c r="E2" s="165" t="s">
        <v>2</v>
      </c>
      <c r="F2" s="165"/>
      <c r="G2" s="166" t="str">
        <f>O2</f>
        <v>2026-01-06</v>
      </c>
      <c r="H2" s="166"/>
      <c r="I2" s="367" t="s">
        <v>4</v>
      </c>
      <c r="J2" s="573"/>
      <c r="K2" s="574" t="str">
        <f>P2</f>
        <v>2026-01-07</v>
      </c>
      <c r="L2" s="574"/>
      <c r="M2" s="574"/>
      <c r="N2" s="189" t="s">
        <v>6</v>
      </c>
      <c r="O2" s="576" t="s">
        <v>3</v>
      </c>
      <c r="P2" s="577" t="s">
        <v>5</v>
      </c>
    </row>
    <row s="162" customFormat="1" customHeight="1" ht="15">
      <c r="A3" s="578"/>
      <c r="B3" s="167" t="s">
        <v>241</v>
      </c>
      <c r="C3" s="168"/>
      <c r="D3" s="169"/>
      <c r="E3" s="170" t="s">
        <v>105</v>
      </c>
      <c r="F3" s="171" t="s">
        <v>9</v>
      </c>
      <c r="G3" s="171"/>
      <c r="H3" s="171" t="s">
        <v>10</v>
      </c>
      <c r="I3" s="171"/>
      <c r="J3" s="168" t="s">
        <v>11</v>
      </c>
      <c r="K3" s="169"/>
      <c r="L3" s="167" t="s">
        <v>12</v>
      </c>
      <c r="M3" s="168"/>
      <c r="N3" s="191" t="s">
        <v>242</v>
      </c>
      <c r="O3" s="578"/>
      <c r="P3" s="578"/>
    </row>
    <row s="162" customFormat="1" customHeight="1" ht="15">
      <c r="A4" s="578"/>
      <c r="B4" s="172"/>
      <c r="C4" s="173"/>
      <c r="D4" s="174"/>
      <c r="E4" s="170"/>
      <c r="F4" s="171"/>
      <c r="G4" s="171"/>
      <c r="H4" s="171"/>
      <c r="I4" s="171"/>
      <c r="J4" s="173"/>
      <c r="K4" s="174"/>
      <c r="L4" s="192"/>
      <c r="M4" s="193"/>
      <c r="N4" s="194"/>
      <c r="O4" s="578"/>
      <c r="P4" s="578"/>
    </row>
    <row s="162" customFormat="1" customHeight="1" ht="15.75">
      <c r="A5" s="578"/>
      <c r="B5" s="542" t="s">
        <v>243</v>
      </c>
      <c r="C5" s="542"/>
      <c r="D5" s="542"/>
      <c r="E5" s="540"/>
      <c r="F5" s="177"/>
      <c r="G5" s="178"/>
      <c r="H5" s="177"/>
      <c r="I5" s="178"/>
      <c r="J5" s="140"/>
      <c r="K5" s="195"/>
      <c r="L5" s="84"/>
      <c r="M5" s="84"/>
      <c r="N5" s="593"/>
      <c r="O5" s="578"/>
      <c r="P5" s="578"/>
    </row>
    <row s="162" customFormat="1" customHeight="1" ht="15.75">
      <c r="A6" s="578"/>
      <c r="B6" s="540" t="s">
        <v>244</v>
      </c>
      <c r="C6" s="540"/>
      <c r="D6" s="540"/>
      <c r="E6" s="540"/>
      <c r="F6" s="140">
        <f>IF(生产日报5取值!E6=0,"",生产日报5取值!E6)</f>
        <v>68776</v>
      </c>
      <c r="G6" s="179"/>
      <c r="H6" s="140">
        <f>IF(生产日报5取值!F6=0,"",生产日报5取值!F6)</f>
        <v>12261</v>
      </c>
      <c r="I6" s="179"/>
      <c r="J6" s="140">
        <f>IF(生产日报5取值!G6=0,"",生产日报5取值!G6)</f>
        <v>253649</v>
      </c>
      <c r="K6" s="195"/>
      <c r="L6" s="84" t="str">
        <f>IF(生产日报5取值!H6=0,"",生产日报5取值!H6)</f>
        <v/>
      </c>
      <c r="M6" s="84"/>
      <c r="N6" s="80"/>
      <c r="O6" s="578"/>
      <c r="P6" s="578"/>
    </row>
    <row s="162" customFormat="1" customHeight="1" ht="15.75">
      <c r="A7" s="578"/>
      <c r="B7" s="540" t="s">
        <v>245</v>
      </c>
      <c r="C7" s="540"/>
      <c r="D7" s="540"/>
      <c r="E7" s="540"/>
      <c r="F7" s="140">
        <f>IF(生产日报5取值!E7=0,"",生产日报5取值!E7)</f>
        <v>14688</v>
      </c>
      <c r="G7" s="179"/>
      <c r="H7" s="140">
        <f>IF(生产日报5取值!F7=0,"",生产日报5取值!F7)</f>
        <v>8394</v>
      </c>
      <c r="I7" s="179"/>
      <c r="J7" s="140">
        <f>IF(生产日报5取值!G7=0,"",生产日报5取值!G7)</f>
        <v>9127.376</v>
      </c>
      <c r="K7" s="195"/>
      <c r="L7" s="84" t="str">
        <f>IF(生产日报5取值!H7=0,"",生产日报5取值!H7)</f>
        <v/>
      </c>
      <c r="M7" s="84"/>
      <c r="N7" s="80"/>
      <c r="O7" s="578"/>
      <c r="P7" s="578"/>
    </row>
    <row s="162" customFormat="1" customHeight="1" ht="15.75">
      <c r="A8" s="578"/>
      <c r="B8" s="540" t="s">
        <v>246</v>
      </c>
      <c r="C8" s="540"/>
      <c r="D8" s="540"/>
      <c r="E8" s="540"/>
      <c r="F8" s="140" t="str">
        <f>IF(生产日报5取值!E8=0,"",生产日报5取值!E8)</f>
        <v/>
      </c>
      <c r="G8" s="179"/>
      <c r="H8" s="140" t="str">
        <f>IF(生产日报5取值!F8=0,"",生产日报5取值!F8)</f>
        <v/>
      </c>
      <c r="I8" s="179"/>
      <c r="J8" s="140" t="str">
        <f>IF(生产日报5取值!G8=0,"",生产日报5取值!G8)</f>
        <v/>
      </c>
      <c r="K8" s="195"/>
      <c r="L8" s="84" t="str">
        <f>IF(生产日报5取值!H8=0,"",生产日报5取值!H8)</f>
        <v/>
      </c>
      <c r="M8" s="84"/>
      <c r="N8" s="80"/>
      <c r="O8" s="578"/>
      <c r="P8" s="578"/>
    </row>
    <row s="162" customFormat="1" customHeight="1" ht="15.75">
      <c r="A9" s="578"/>
      <c r="B9" s="540" t="s">
        <v>247</v>
      </c>
      <c r="C9" s="540"/>
      <c r="D9" s="540"/>
      <c r="E9" s="540"/>
      <c r="F9" s="140">
        <f>IF(生产日报5取值!E9=0,"",生产日报5取值!E9)</f>
        <v>14688</v>
      </c>
      <c r="G9" s="179"/>
      <c r="H9" s="140">
        <f>IF(生产日报5取值!F9=0,"",生产日报5取值!F9)</f>
        <v>8394</v>
      </c>
      <c r="I9" s="179"/>
      <c r="J9" s="140">
        <f>IF(生产日报5取值!G9=0,"",生产日报5取值!G9)</f>
        <v>9127.376</v>
      </c>
      <c r="K9" s="195"/>
      <c r="L9" s="84" t="str">
        <f>IF(生产日报5取值!H9=0,"",生产日报5取值!H9)</f>
        <v/>
      </c>
      <c r="M9" s="84"/>
      <c r="N9" s="80"/>
      <c r="O9" s="578"/>
      <c r="P9" s="578"/>
    </row>
    <row s="162" customFormat="1" customHeight="1" ht="15.75">
      <c r="A10" s="578"/>
      <c r="B10" s="540" t="s">
        <v>248</v>
      </c>
      <c r="C10" s="540"/>
      <c r="D10" s="540"/>
      <c r="E10" s="540"/>
      <c r="F10" s="140">
        <f>IF(生产日报5取值!E10=0,"",生产日报5取值!E10)</f>
        <v>44290</v>
      </c>
      <c r="G10" s="179"/>
      <c r="H10" s="140">
        <f>IF(生产日报5取值!F10=0,"",生产日报5取值!F10)</f>
        <v>2354</v>
      </c>
      <c r="I10" s="179"/>
      <c r="J10" s="140">
        <f>IF(生产日报5取值!G10=0,"",生产日报5取值!G10)</f>
        <v>28709</v>
      </c>
      <c r="K10" s="195"/>
      <c r="L10" s="84" t="str">
        <f>IF(生产日报5取值!H10=0,"",生产日报5取值!H10)</f>
        <v/>
      </c>
      <c r="M10" s="84"/>
      <c r="N10" s="80"/>
      <c r="O10" s="578"/>
      <c r="P10" s="578"/>
    </row>
    <row s="162" customFormat="1" customHeight="1" ht="15.75">
      <c r="A11" s="578"/>
      <c r="B11" s="540" t="s">
        <v>249</v>
      </c>
      <c r="C11" s="540"/>
      <c r="D11" s="540"/>
      <c r="E11" s="540"/>
      <c r="F11" s="140">
        <f>IF(生产日报5取值!E11=0,"",生产日报5取值!E11)</f>
        <v>6337</v>
      </c>
      <c r="G11" s="179"/>
      <c r="H11" s="140">
        <f>IF(生产日报5取值!F11=0,"",生产日报5取值!F11)</f>
        <v>7307</v>
      </c>
      <c r="I11" s="179"/>
      <c r="J11" s="140">
        <f>IF(生产日报5取值!G11=0,"",生产日报5取值!G11)</f>
        <v>21660</v>
      </c>
      <c r="K11" s="195"/>
      <c r="L11" s="84">
        <f>IF(生产日报5取值!H11=0,"",生产日报5取值!H11)</f>
        <v>8317</v>
      </c>
      <c r="M11" s="84"/>
      <c r="N11" s="80"/>
      <c r="O11" s="578"/>
      <c r="P11" s="578"/>
    </row>
    <row s="162" customFormat="1" customHeight="1" ht="15.75">
      <c r="A12" s="578"/>
      <c r="B12" s="540" t="s">
        <v>250</v>
      </c>
      <c r="C12" s="540"/>
      <c r="D12" s="540"/>
      <c r="E12" s="540"/>
      <c r="F12" s="140" t="str">
        <f>IF(生产日报5取值!E12=0,"",生产日报5取值!E12)</f>
        <v/>
      </c>
      <c r="G12" s="179"/>
      <c r="H12" s="140">
        <f>IF(生产日报5取值!F12=0,"",生产日报5取值!F12)</f>
        <v>6448</v>
      </c>
      <c r="I12" s="179"/>
      <c r="J12" s="140"/>
      <c r="K12" s="195"/>
      <c r="L12" s="84" t="str">
        <f>IF(生产日报5取值!H12=0,"",生产日报5取值!H12)</f>
        <v/>
      </c>
      <c r="M12" s="84"/>
      <c r="N12" s="80"/>
      <c r="O12" s="578"/>
      <c r="P12" s="578"/>
    </row>
    <row s="162" customFormat="1" customHeight="1" ht="15.75">
      <c r="A13" s="578"/>
      <c r="B13" s="540" t="s">
        <v>251</v>
      </c>
      <c r="C13" s="540"/>
      <c r="D13" s="540"/>
      <c r="E13" s="540"/>
      <c r="F13" s="140">
        <f>IF(生产日报5取值!E13=0,"",生产日报5取值!E13)</f>
        <v>5143</v>
      </c>
      <c r="G13" s="179"/>
      <c r="H13" s="140"/>
      <c r="I13" s="179"/>
      <c r="J13" s="140"/>
      <c r="K13" s="195"/>
      <c r="L13" s="84">
        <f>IF(生产日报5取值!H13=0,"",生产日报5取值!H13)</f>
        <v>10165</v>
      </c>
      <c r="M13" s="84"/>
      <c r="N13" s="80"/>
      <c r="O13" s="578"/>
      <c r="P13" s="578"/>
    </row>
    <row s="162" customFormat="1" customHeight="1" ht="15.75">
      <c r="A14" s="578"/>
      <c r="B14" s="540" t="s">
        <v>252</v>
      </c>
      <c r="C14" s="540"/>
      <c r="D14" s="540"/>
      <c r="E14" s="540"/>
      <c r="F14" s="140">
        <f>IF(生产日报5取值!E14=0,"",生产日报5取值!E14)</f>
        <v>1786</v>
      </c>
      <c r="G14" s="179"/>
      <c r="H14" s="140" t="str">
        <f>IF(生产日报5取值!F14=0,"",生产日报5取值!F14)</f>
        <v/>
      </c>
      <c r="I14" s="179"/>
      <c r="J14" s="140">
        <f>IF(生产日报5取值!G14=0,"",生产日报5取值!G14)</f>
        <v>5953</v>
      </c>
      <c r="K14" s="195"/>
      <c r="L14" s="84">
        <f>IF(生产日报5取值!H14=0,"",生产日报5取值!H14)</f>
        <v>1559</v>
      </c>
      <c r="M14" s="84"/>
      <c r="N14" s="80"/>
      <c r="O14" s="578"/>
      <c r="P14" s="578"/>
    </row>
    <row s="162" customFormat="1" customHeight="1" ht="17.25">
      <c r="A15" s="578"/>
      <c r="B15" s="540" t="s">
        <v>253</v>
      </c>
      <c r="C15" s="540"/>
      <c r="D15" s="540"/>
      <c r="E15" s="540"/>
      <c r="F15" s="140">
        <f>IF(生产日报5取值!E15=0,"",生产日报5取值!E15)</f>
        <v>1364</v>
      </c>
      <c r="G15" s="179"/>
      <c r="H15" s="140">
        <f>IF(生产日报5取值!F13=0,"",生产日报5取值!F13)</f>
        <v>8544</v>
      </c>
      <c r="I15" s="179"/>
      <c r="J15" s="140">
        <f>IF(生产日报5取值!G15=0,"",生产日报5取值!G15)</f>
        <v>19080</v>
      </c>
      <c r="K15" s="195"/>
      <c r="L15" s="84">
        <f>IF(生产日报5取值!H15=0,"",生产日报5取值!H15)</f>
        <v>2284</v>
      </c>
      <c r="M15" s="84"/>
      <c r="N15" s="80"/>
      <c r="O15" s="578"/>
      <c r="P15" s="578"/>
    </row>
    <row s="162" customFormat="1" customHeight="1" ht="18.75">
      <c r="A16" s="578"/>
      <c r="B16" s="540" t="s">
        <v>254</v>
      </c>
      <c r="C16" s="540"/>
      <c r="D16" s="540"/>
      <c r="E16" s="540"/>
      <c r="F16" s="140">
        <f>IF(生产日报5取值!E16=0,"",生产日报5取值!E16)</f>
        <v>3269</v>
      </c>
      <c r="G16" s="179"/>
      <c r="H16" s="140">
        <f>IF(生产日报5取值!F16=0,"",生产日报5取值!F16)</f>
        <v>2360</v>
      </c>
      <c r="I16" s="179"/>
      <c r="J16" s="140">
        <f>IF(生产日报5取值!G16=0,"",生产日报5取值!G16)</f>
        <v>1174</v>
      </c>
      <c r="K16" s="195"/>
      <c r="L16" s="84" t="str">
        <f>IF(生产日报5取值!H16=0,"",生产日报5取值!H16)</f>
        <v/>
      </c>
      <c r="M16" s="84"/>
      <c r="N16" s="80"/>
      <c r="O16" s="578"/>
      <c r="P16" s="578"/>
    </row>
    <row s="162" customFormat="1" customHeight="1" ht="15.75">
      <c r="A17" s="578"/>
      <c r="B17" s="540" t="s">
        <v>255</v>
      </c>
      <c r="C17" s="540"/>
      <c r="D17" s="540"/>
      <c r="E17" s="540"/>
      <c r="F17" s="140">
        <f>IF(生产日报5取值!E17=0,"",生产日报5取值!E17)</f>
        <v>1142</v>
      </c>
      <c r="G17" s="179"/>
      <c r="H17" s="140" t="str">
        <f>IF(生产日报5取值!F17=0,"",生产日报5取值!F17)</f>
        <v/>
      </c>
      <c r="I17" s="179"/>
      <c r="J17" s="140" t="str">
        <f>IF(生产日报5取值!G17=0,"",生产日报5取值!G17)</f>
        <v/>
      </c>
      <c r="K17" s="195"/>
      <c r="L17" s="84">
        <f>IF(生产日报5取值!H17=0,"",生产日报5取值!H17)</f>
        <v>1891</v>
      </c>
      <c r="M17" s="84"/>
      <c r="N17" s="80"/>
      <c r="O17" s="578"/>
      <c r="P17" s="578"/>
    </row>
    <row s="162" customFormat="1" customHeight="1" ht="15.75">
      <c r="A18" s="578"/>
      <c r="B18" s="540" t="s">
        <v>256</v>
      </c>
      <c r="C18" s="540"/>
      <c r="D18" s="540"/>
      <c r="E18" s="540"/>
      <c r="F18" s="140">
        <f>IF(生产日报5取值!E18=0,"",生产日报5取值!E18)</f>
        <v>116</v>
      </c>
      <c r="G18" s="179"/>
      <c r="H18" s="140" t="str">
        <f>IF(生产日报5取值!F18=0,"",生产日报5取值!F18)</f>
        <v/>
      </c>
      <c r="I18" s="179"/>
      <c r="J18" s="140" t="str">
        <f>IF(生产日报5取值!G18=0,"",生产日报5取值!G18)</f>
        <v/>
      </c>
      <c r="K18" s="195"/>
      <c r="L18" s="84">
        <f>IF(生产日报5取值!H18=0,"",生产日报5取值!H18)</f>
        <v>693</v>
      </c>
      <c r="M18" s="84"/>
      <c r="N18" s="80"/>
      <c r="O18" s="578"/>
      <c r="P18" s="578"/>
    </row>
    <row s="162" customFormat="1" customHeight="1" ht="15.75">
      <c r="A19" s="578"/>
      <c r="B19" s="540" t="s">
        <v>257</v>
      </c>
      <c r="C19" s="540"/>
      <c r="D19" s="540"/>
      <c r="E19" s="540"/>
      <c r="F19" s="140">
        <f>IF(生产日报5取值!E19=0,"",生产日报5取值!E19)</f>
        <v>962</v>
      </c>
      <c r="G19" s="179"/>
      <c r="H19" s="140" t="str">
        <f>IF(生产日报5取值!F19=0,"",生产日报5取值!F19)</f>
        <v/>
      </c>
      <c r="I19" s="179"/>
      <c r="J19" s="140" t="str">
        <f>IF(生产日报5取值!G19=0,"",生产日报5取值!G19)</f>
        <v/>
      </c>
      <c r="K19" s="195"/>
      <c r="L19" s="84">
        <f>IF(生产日报5取值!H19=0,"",生产日报5取值!H19)</f>
        <v>4455</v>
      </c>
      <c r="M19" s="84"/>
      <c r="N19" s="80"/>
      <c r="O19" s="578"/>
      <c r="P19" s="578"/>
    </row>
    <row s="162" customFormat="1" customHeight="1" ht="15.75">
      <c r="A20" s="578"/>
      <c r="B20" s="540" t="s">
        <v>258</v>
      </c>
      <c r="C20" s="540"/>
      <c r="D20" s="540"/>
      <c r="E20" s="540"/>
      <c r="F20" s="140">
        <f>IF(生产日报5取值!E20=0,"",生产日报5取值!E20)</f>
        <v>778</v>
      </c>
      <c r="G20" s="179"/>
      <c r="H20" s="140" t="str">
        <f>IF(生产日报5取值!F20=0,"",生产日报5取值!F20)</f>
        <v/>
      </c>
      <c r="I20" s="179"/>
      <c r="J20" s="140" t="str">
        <f>IF(生产日报5取值!G20=0,"",生产日报5取值!G20)</f>
        <v/>
      </c>
      <c r="K20" s="195"/>
      <c r="L20" s="84" t="str">
        <f>IF(生产日报5取值!H20=0,"",生产日报5取值!H20)</f>
        <v/>
      </c>
      <c r="M20" s="84"/>
      <c r="N20" s="80"/>
      <c r="O20" s="578"/>
      <c r="P20" s="578"/>
    </row>
    <row s="162" customFormat="1" customHeight="1" ht="15.75">
      <c r="A21" s="578"/>
      <c r="B21" s="540" t="s">
        <v>259</v>
      </c>
      <c r="C21" s="540"/>
      <c r="D21" s="540"/>
      <c r="E21" s="540"/>
      <c r="F21" s="140">
        <f>IF(生产日报5取值!E21=0,"",生产日报5取值!E21)</f>
        <v>455</v>
      </c>
      <c r="G21" s="179"/>
      <c r="H21" s="140" t="str">
        <f>IF(生产日报5取值!F21=0,"",生产日报5取值!F21)</f>
        <v/>
      </c>
      <c r="I21" s="179"/>
      <c r="J21" s="140" t="str">
        <f>IF(生产日报5取值!G21=0,"",生产日报5取值!G21)</f>
        <v/>
      </c>
      <c r="K21" s="195"/>
      <c r="L21" s="84">
        <f>IF(生产日报5取值!H21=0,"",生产日报5取值!H21)</f>
        <v>1354</v>
      </c>
      <c r="M21" s="84"/>
      <c r="N21" s="80"/>
      <c r="O21" s="578"/>
      <c r="P21" s="578"/>
    </row>
    <row s="162" customFormat="1" customHeight="1" ht="15.75">
      <c r="A22" s="578"/>
      <c r="B22" s="542" t="s">
        <v>260</v>
      </c>
      <c r="C22" s="542"/>
      <c r="D22" s="542"/>
      <c r="E22" s="540"/>
      <c r="F22" s="140" t="str">
        <f>IF(生产日报5取值!E22=0,"",生产日报5取值!E22)</f>
        <v/>
      </c>
      <c r="G22" s="179"/>
      <c r="H22" s="140" t="str">
        <f>IF(生产日报5取值!F22=0,"",生产日报5取值!F22)</f>
        <v/>
      </c>
      <c r="I22" s="179"/>
      <c r="J22" s="140" t="str">
        <f>IF(生产日报5取值!G22=0,"",生产日报5取值!G22)</f>
        <v/>
      </c>
      <c r="K22" s="195"/>
      <c r="L22" s="84" t="str">
        <f>IF(生产日报5取值!H22=0,"",生产日报5取值!H22)</f>
        <v/>
      </c>
      <c r="M22" s="84"/>
      <c r="N22" s="80"/>
      <c r="O22" s="578"/>
      <c r="P22" s="578"/>
    </row>
    <row s="162" customFormat="1" customHeight="1" ht="15.75">
      <c r="A23" s="578"/>
      <c r="B23" s="540" t="s">
        <v>152</v>
      </c>
      <c r="C23" s="540"/>
      <c r="D23" s="540"/>
      <c r="E23" s="540"/>
      <c r="F23" s="140">
        <f>IF(生产日报5取值!E23=0,"",生产日报5取值!E23)</f>
        <v>10543</v>
      </c>
      <c r="G23" s="179"/>
      <c r="H23" s="140">
        <f>IF(生产日报5取值!F23=0,"",生产日报5取值!F23)</f>
        <v>6820</v>
      </c>
      <c r="I23" s="179"/>
      <c r="J23" s="140">
        <f>IF(生产日报5取值!G23=0,"",生产日报5取值!G23)</f>
        <v>72237</v>
      </c>
      <c r="K23" s="195"/>
      <c r="L23" s="84" t="str">
        <f>IF(生产日报5取值!H23=0,"",生产日报5取值!H23)</f>
        <v/>
      </c>
      <c r="M23" s="84"/>
      <c r="N23" s="80"/>
      <c r="O23" s="578"/>
      <c r="P23" s="578"/>
    </row>
    <row s="162" customFormat="1" customHeight="1" ht="15.75">
      <c r="A24" s="578"/>
      <c r="B24" s="540" t="s">
        <v>228</v>
      </c>
      <c r="C24" s="540"/>
      <c r="D24" s="540"/>
      <c r="E24" s="540"/>
      <c r="F24" s="140" t="str">
        <f>IF(生产日报5取值!E24=0,"",生产日报5取值!E24)</f>
        <v/>
      </c>
      <c r="G24" s="179"/>
      <c r="H24" s="140" t="str">
        <f>IF(生产日报5取值!F24=0,"",生产日报5取值!F24)</f>
        <v/>
      </c>
      <c r="I24" s="179"/>
      <c r="J24" s="140" t="str">
        <f>IF(生产日报5取值!G24=0,"",生产日报5取值!G24)</f>
        <v/>
      </c>
      <c r="K24" s="195"/>
      <c r="L24" s="84" t="str">
        <f>IF(生产日报5取值!H24=0,"",生产日报5取值!H24)</f>
        <v/>
      </c>
      <c r="M24" s="84"/>
      <c r="N24" s="80"/>
      <c r="O24" s="578"/>
      <c r="P24" s="578"/>
    </row>
    <row s="162" customFormat="1" customHeight="1" ht="15.75">
      <c r="A25" s="578"/>
      <c r="B25" s="540" t="s">
        <v>261</v>
      </c>
      <c r="C25" s="540"/>
      <c r="D25" s="540"/>
      <c r="E25" s="540"/>
      <c r="F25" s="140">
        <f>IF(生产日报5取值!E25=0,"",生产日报5取值!E25)</f>
        <v>1394</v>
      </c>
      <c r="G25" s="179"/>
      <c r="H25" s="140">
        <f>IF(生产日报5取值!F25=0,"",生产日报5取值!F25)</f>
        <v>6820</v>
      </c>
      <c r="I25" s="179"/>
      <c r="J25" s="140">
        <f>IF(生产日报5取值!G25=0,"",生产日报5取值!G25)</f>
        <v>66749</v>
      </c>
      <c r="K25" s="195"/>
      <c r="L25" s="84" t="str">
        <f>IF(生产日报5取值!H25=0,"",生产日报5取值!H25)</f>
        <v/>
      </c>
      <c r="M25" s="84"/>
      <c r="N25" s="80"/>
      <c r="O25" s="578"/>
      <c r="P25" s="578"/>
    </row>
    <row s="162" customFormat="1" customHeight="1" ht="15.75">
      <c r="A26" s="578"/>
      <c r="B26" s="540" t="s">
        <v>262</v>
      </c>
      <c r="C26" s="540"/>
      <c r="D26" s="540"/>
      <c r="E26" s="540"/>
      <c r="F26" s="140" t="str">
        <f>IF(生产日报5取值!E26=0,"",生产日报5取值!E26)</f>
        <v/>
      </c>
      <c r="G26" s="179"/>
      <c r="H26" s="140" t="str">
        <f>IF(生产日报5取值!F26=0,"",生产日报5取值!F26)</f>
        <v/>
      </c>
      <c r="I26" s="179"/>
      <c r="J26" s="140" t="str">
        <f>IF(生产日报5取值!G26=0,"",生产日报5取值!G26)</f>
        <v/>
      </c>
      <c r="K26" s="195"/>
      <c r="L26" s="84" t="str">
        <f>IF(生产日报5取值!H26=0,"",生产日报5取值!H26)</f>
        <v/>
      </c>
      <c r="M26" s="84"/>
      <c r="N26" s="80"/>
      <c r="O26" s="578"/>
      <c r="P26" s="578"/>
    </row>
    <row s="162" customFormat="1" customHeight="1" ht="15.75">
      <c r="A27" s="578"/>
      <c r="B27" s="540" t="s">
        <v>263</v>
      </c>
      <c r="C27" s="540"/>
      <c r="D27" s="540"/>
      <c r="E27" s="540"/>
      <c r="F27" s="140">
        <f>IF(生产日报5取值!E27=0,"",生产日报5取值!E27)</f>
        <v>9149</v>
      </c>
      <c r="G27" s="179"/>
      <c r="H27" s="140" t="str">
        <f>IF(生产日报5取值!F27=0,"",生产日报5取值!F27)</f>
        <v/>
      </c>
      <c r="I27" s="179"/>
      <c r="J27" s="140">
        <f>IF(生产日报5取值!G27=0,"",生产日报5取值!G27)</f>
        <v>5488</v>
      </c>
      <c r="K27" s="195"/>
      <c r="L27" s="84" t="str">
        <f>IF(生产日报5取值!H27=0,"",生产日报5取值!H27)</f>
        <v/>
      </c>
      <c r="M27" s="84"/>
      <c r="N27" s="80"/>
      <c r="O27" s="578"/>
      <c r="P27" s="578"/>
    </row>
    <row s="162" customFormat="1" customHeight="1" ht="15.75">
      <c r="A28" s="578"/>
      <c r="B28" s="540" t="s">
        <v>157</v>
      </c>
      <c r="C28" s="540"/>
      <c r="D28" s="540"/>
      <c r="E28" s="540"/>
      <c r="F28" s="140">
        <f>IF(生产日报5取值!E28=0,"",生产日报5取值!E28)</f>
        <v>18139</v>
      </c>
      <c r="G28" s="179"/>
      <c r="H28" s="140">
        <f>IF(生产日报5取值!F28=0,"",生产日报5取值!F28)</f>
        <v>13091</v>
      </c>
      <c r="I28" s="179"/>
      <c r="J28" s="140">
        <f>IF(生产日报5取值!G28=0,"",生产日报5取值!G28)</f>
        <v>81512</v>
      </c>
      <c r="K28" s="195"/>
      <c r="L28" s="84" t="str">
        <f>IF(生产日报5取值!H28=0,"",生产日报5取值!H28)</f>
        <v/>
      </c>
      <c r="M28" s="84"/>
      <c r="N28" s="80"/>
      <c r="O28" s="578"/>
      <c r="P28" s="578"/>
    </row>
    <row s="162" customFormat="1" customHeight="1" ht="15.75">
      <c r="A29" s="578"/>
      <c r="B29" s="594" t="s">
        <v>158</v>
      </c>
      <c r="C29" s="595"/>
      <c r="D29" s="596"/>
      <c r="E29" s="540"/>
      <c r="F29" s="140" t="str">
        <f>IF(生产日报5取值!E29=0,"",生产日报5取值!E29)</f>
        <v/>
      </c>
      <c r="G29" s="179"/>
      <c r="H29" s="140" t="str">
        <f>IF(生产日报5取值!F29=0,"",生产日报5取值!F29)</f>
        <v/>
      </c>
      <c r="I29" s="179"/>
      <c r="J29" s="140">
        <f>IF(生产日报5取值!G30=0,"",生产日报5取值!G30)</f>
        <v>74746</v>
      </c>
      <c r="K29" s="195"/>
      <c r="L29" s="84" t="str">
        <f>IF(生产日报5取值!H29=0,"",生产日报5取值!H29)</f>
        <v/>
      </c>
      <c r="M29" s="84"/>
      <c r="N29" s="80"/>
      <c r="O29" s="578"/>
      <c r="P29" s="578"/>
    </row>
    <row s="162" customFormat="1" customHeight="1" ht="15.75">
      <c r="A30" s="578"/>
      <c r="B30" s="540" t="s">
        <v>264</v>
      </c>
      <c r="C30" s="540"/>
      <c r="D30" s="540"/>
      <c r="E30" s="540"/>
      <c r="F30" s="140">
        <f>IF(生产日报5取值!E30=0,"",生产日报5取值!E30)</f>
        <v>18139</v>
      </c>
      <c r="G30" s="179"/>
      <c r="H30" s="140">
        <f>IF(生产日报5取值!F30=0,"",生产日报5取值!F30)</f>
        <v>10158</v>
      </c>
      <c r="I30" s="179"/>
      <c r="J30" s="597"/>
      <c r="K30" s="597"/>
      <c r="L30" s="84" t="str">
        <f>IF(生产日报5取值!H30=0,"",生产日报5取值!H30)</f>
        <v/>
      </c>
      <c r="M30" s="84"/>
      <c r="N30" s="80"/>
      <c r="O30" s="578"/>
      <c r="P30" s="578"/>
    </row>
    <row s="162" customFormat="1" customHeight="1" ht="15.75">
      <c r="A31" s="578"/>
      <c r="B31" s="540" t="s">
        <v>159</v>
      </c>
      <c r="C31" s="540"/>
      <c r="D31" s="540"/>
      <c r="E31" s="540"/>
      <c r="F31" s="140" t="str">
        <f>IF(生产日报5取值!E31=0,"",生产日报5取值!E31)</f>
        <v/>
      </c>
      <c r="G31" s="179"/>
      <c r="H31" s="140" t="str">
        <f>IF(生产日报5取值!F31=0,"",生产日报5取值!F31)</f>
        <v/>
      </c>
      <c r="I31" s="179"/>
      <c r="J31" s="140">
        <f>IF(生产日报5取值!G31=0,"",生产日报5取值!G31)</f>
        <v>4132</v>
      </c>
      <c r="K31" s="195"/>
      <c r="L31" s="84" t="str">
        <f>IF(生产日报5取值!H31=0,"",生产日报5取值!H31)</f>
        <v/>
      </c>
      <c r="M31" s="84"/>
      <c r="N31" s="80"/>
      <c r="O31" s="578"/>
      <c r="P31" s="578"/>
    </row>
    <row s="162" customFormat="1" customHeight="1" ht="15.75">
      <c r="A32" s="578"/>
      <c r="B32" s="540" t="s">
        <v>160</v>
      </c>
      <c r="C32" s="540"/>
      <c r="D32" s="540"/>
      <c r="E32" s="540"/>
      <c r="F32" s="140" t="str">
        <f>IF(生产日报5取值!E32=0,"",生产日报5取值!E32)</f>
        <v/>
      </c>
      <c r="G32" s="179"/>
      <c r="H32" s="140">
        <f>IF(生产日报5取值!F32=0,"",生产日报5取值!F32)</f>
        <v>2933</v>
      </c>
      <c r="I32" s="179"/>
      <c r="J32" s="140">
        <f>IF(生产日报5取值!G32=0,"",生产日报5取值!G32)</f>
        <v>2634</v>
      </c>
      <c r="K32" s="195"/>
      <c r="L32" s="84" t="str">
        <f>IF(生产日报5取值!H32=0,"",生产日报5取值!H32)</f>
        <v/>
      </c>
      <c r="M32" s="84"/>
      <c r="N32" s="80"/>
      <c r="O32" s="578"/>
      <c r="P32" s="578"/>
    </row>
    <row s="162" customFormat="1" customHeight="1" ht="15.75">
      <c r="A33" s="578"/>
      <c r="B33" s="540" t="s">
        <v>265</v>
      </c>
      <c r="C33" s="540"/>
      <c r="D33" s="540"/>
      <c r="E33" s="540"/>
      <c r="F33" s="140">
        <f>IF(生产日报5取值!E33=0,"",生产日报5取值!E33)</f>
        <v>47417</v>
      </c>
      <c r="G33" s="179"/>
      <c r="H33" s="140">
        <f>IF(生产日报5取值!F33=0,"",生产日报5取值!F33)</f>
        <v>5985</v>
      </c>
      <c r="I33" s="179"/>
      <c r="J33" s="140">
        <f>IF(生产日报5取值!G33=0,"",生产日报5取值!G33)</f>
        <v>17391</v>
      </c>
      <c r="K33" s="195"/>
      <c r="L33" s="84" t="str">
        <f>IF(生产日报5取值!H33=0,"",生产日报5取值!H33)</f>
        <v/>
      </c>
      <c r="M33" s="84"/>
      <c r="N33" s="80"/>
      <c r="O33" s="578"/>
      <c r="P33" s="578"/>
    </row>
    <row s="162" customFormat="1" customHeight="1" ht="15.75">
      <c r="A34" s="578"/>
      <c r="B34" s="540" t="s">
        <v>266</v>
      </c>
      <c r="C34" s="540"/>
      <c r="D34" s="540"/>
      <c r="E34" s="540"/>
      <c r="F34" s="140">
        <f>IF(生产日报5取值!E34=0,"",生产日报5取值!E34)</f>
        <v>12610</v>
      </c>
      <c r="G34" s="179"/>
      <c r="H34" s="140">
        <f>IF(生产日报5取值!F34=0,"",生产日报5取值!F34)</f>
        <v>3743</v>
      </c>
      <c r="I34" s="179"/>
      <c r="J34" s="140">
        <f>IF(生产日报5取值!G34=0,"",生产日报5取值!G34)</f>
        <v>13556</v>
      </c>
      <c r="K34" s="195"/>
      <c r="L34" s="84" t="str">
        <f>IF(生产日报5取值!H34=0,"",生产日报5取值!H34)</f>
        <v/>
      </c>
      <c r="M34" s="84"/>
      <c r="N34" s="80"/>
      <c r="O34" s="578"/>
      <c r="P34" s="578"/>
    </row>
    <row s="162" customFormat="1" customHeight="1" ht="15.75">
      <c r="A35" s="578"/>
      <c r="B35" s="540" t="s">
        <v>267</v>
      </c>
      <c r="C35" s="540"/>
      <c r="D35" s="540"/>
      <c r="E35" s="540"/>
      <c r="F35" s="140">
        <f>IF(生产日报5取值!E35=0,"",生产日报5取值!E35)</f>
        <v>1081</v>
      </c>
      <c r="G35" s="179"/>
      <c r="H35" s="140" t="str">
        <f>IF(生产日报5取值!F35=0,"",生产日报5取值!F35)</f>
        <v/>
      </c>
      <c r="I35" s="179"/>
      <c r="J35" s="140" t="str">
        <f>IF(生产日报5取值!G35=0,"",生产日报5取值!G35)</f>
        <v/>
      </c>
      <c r="K35" s="195"/>
      <c r="L35" s="84">
        <f>IF(生产日报5取值!H35=0,"",生产日报5取值!H35)</f>
        <v>3071</v>
      </c>
      <c r="M35" s="84"/>
      <c r="N35" s="80"/>
      <c r="O35" s="578"/>
      <c r="P35" s="578"/>
    </row>
    <row s="162" customFormat="1" customHeight="1" ht="15.75">
      <c r="A36" s="578"/>
      <c r="B36" s="540" t="s">
        <v>268</v>
      </c>
      <c r="C36" s="540"/>
      <c r="D36" s="540"/>
      <c r="E36" s="540"/>
      <c r="F36" s="140" t="str">
        <f>IF(生产日报5取值!E36=0,"",生产日报5取值!E36)</f>
        <v/>
      </c>
      <c r="G36" s="179"/>
      <c r="H36" s="140" t="str">
        <f>IF(生产日报5取值!F36=0,"",生产日报5取值!F36)</f>
        <v/>
      </c>
      <c r="I36" s="179"/>
      <c r="J36" s="140" t="str">
        <f>IF(生产日报5取值!G36=0,"",生产日报5取值!G36)</f>
        <v/>
      </c>
      <c r="K36" s="195"/>
      <c r="L36" s="84">
        <f>IF(生产日报5取值!H36=0,"",生产日报5取值!H36)</f>
        <v>1018</v>
      </c>
      <c r="M36" s="84"/>
      <c r="N36" s="80"/>
      <c r="O36" s="578"/>
      <c r="P36" s="578"/>
    </row>
    <row s="162" customFormat="1" customHeight="1" ht="15.75">
      <c r="A37" s="578"/>
      <c r="B37" s="540" t="s">
        <v>269</v>
      </c>
      <c r="C37" s="540"/>
      <c r="D37" s="540"/>
      <c r="E37" s="540"/>
      <c r="F37" s="140">
        <f>IF(生产日报5取值!E37=0,"",生产日报5取值!E37)</f>
        <v>455</v>
      </c>
      <c r="G37" s="179"/>
      <c r="H37" s="140" t="str">
        <f>IF(生产日报5取值!F37=0,"",生产日报5取值!F37)</f>
        <v/>
      </c>
      <c r="I37" s="179"/>
      <c r="J37" s="140" t="str">
        <f>IF(生产日报5取值!G37=0,"",生产日报5取值!G37)</f>
        <v/>
      </c>
      <c r="K37" s="195"/>
      <c r="L37" s="84">
        <f>IF(生产日报5取值!H37=0,"",生产日报5取值!H37)</f>
        <v>1354</v>
      </c>
      <c r="M37" s="84"/>
      <c r="N37" s="80"/>
      <c r="O37" s="578"/>
      <c r="P37" s="578"/>
    </row>
    <row s="162" customFormat="1" customHeight="1" ht="15.75">
      <c r="A38" s="578"/>
      <c r="B38" s="540" t="s">
        <v>270</v>
      </c>
      <c r="C38" s="540"/>
      <c r="D38" s="540"/>
      <c r="E38" s="540"/>
      <c r="F38" s="140">
        <f>IF(生产日报5取值!E38=0,"",生产日报5取值!E38)</f>
        <v>579</v>
      </c>
      <c r="G38" s="179"/>
      <c r="H38" s="140" t="str">
        <f>IF(生产日报5取值!F38=0,"",生产日报5取值!F38)</f>
        <v/>
      </c>
      <c r="I38" s="179"/>
      <c r="J38" s="140" t="str">
        <f>IF(生产日报5取值!G38=0,"",生产日报5取值!G38)</f>
        <v/>
      </c>
      <c r="K38" s="195"/>
      <c r="L38" s="84">
        <f>IF(生产日报5取值!H38=0,"",生产日报5取值!H38)</f>
        <v>597</v>
      </c>
      <c r="M38" s="84"/>
      <c r="N38" s="80"/>
      <c r="O38" s="578"/>
      <c r="P38" s="578"/>
    </row>
    <row s="162" customFormat="1" customHeight="1" ht="15.75">
      <c r="A39" s="578"/>
      <c r="B39" s="540" t="s">
        <v>271</v>
      </c>
      <c r="C39" s="540"/>
      <c r="D39" s="540"/>
      <c r="E39" s="540"/>
      <c r="F39" s="140">
        <f>IF(生产日报5取值!E39=0,"",生产日报5取值!E39)</f>
        <v>4002</v>
      </c>
      <c r="G39" s="179"/>
      <c r="H39" s="140">
        <f>IF(生产日报5取值!F39=0,"",生产日报5取值!F39)</f>
        <v>2825</v>
      </c>
      <c r="I39" s="179"/>
      <c r="J39" s="140">
        <f>IF(生产日报5取值!G39=0,"",生产日报5取值!G39)</f>
        <v>3312</v>
      </c>
      <c r="K39" s="195"/>
      <c r="L39" s="84">
        <f>IF(生产日报5取值!H39=0,"",生产日报5取值!H39)</f>
        <v>4402</v>
      </c>
      <c r="M39" s="84"/>
      <c r="N39" s="80"/>
      <c r="O39" s="578"/>
      <c r="P39" s="578"/>
    </row>
    <row s="162" customFormat="1" customHeight="1" ht="15.75">
      <c r="A40" s="578"/>
      <c r="B40" s="540" t="s">
        <v>272</v>
      </c>
      <c r="C40" s="540"/>
      <c r="D40" s="540"/>
      <c r="E40" s="540"/>
      <c r="F40" s="140">
        <f>IF(生产日报5取值!E40=0,"",生产日报5取值!E40)</f>
        <v>2052</v>
      </c>
      <c r="G40" s="179"/>
      <c r="H40" s="140" t="str">
        <f>IF(生产日报5取值!F40=0,"",生产日报5取值!F40)</f>
        <v/>
      </c>
      <c r="I40" s="179"/>
      <c r="J40" s="140">
        <f>IF(生产日报5取值!G40=0,"",生产日报5取值!G40)</f>
        <v>762</v>
      </c>
      <c r="K40" s="195"/>
      <c r="L40" s="84">
        <f>IF(生产日报5取值!H40=0,"",生产日报5取值!H40)</f>
        <v>423</v>
      </c>
      <c r="M40" s="84"/>
      <c r="N40" s="80"/>
      <c r="O40" s="578"/>
      <c r="P40" s="578"/>
    </row>
    <row s="162" customFormat="1" customHeight="1" ht="15.75">
      <c r="A41" s="578"/>
      <c r="B41" s="540" t="s">
        <v>273</v>
      </c>
      <c r="C41" s="540"/>
      <c r="D41" s="540"/>
      <c r="E41" s="540"/>
      <c r="F41" s="140" t="str">
        <f>IF(生产日报5取值!E41=0,"",生产日报5取值!E41)</f>
        <v/>
      </c>
      <c r="G41" s="179"/>
      <c r="H41" s="140">
        <f>IF(生产日报5取值!F41=0,"",生产日报5取值!F41)</f>
        <v>2670</v>
      </c>
      <c r="I41" s="179"/>
      <c r="J41" s="140">
        <f>IF(生产日报5取值!G41=0,"",生产日报5取值!G41)</f>
        <v>3704</v>
      </c>
      <c r="K41" s="195"/>
      <c r="L41" s="84" t="str">
        <f>IF(生产日报5取值!H41=0,"",生产日报5取值!H41)</f>
        <v/>
      </c>
      <c r="M41" s="84"/>
      <c r="N41" s="80"/>
      <c r="O41" s="578"/>
      <c r="P41" s="578"/>
    </row>
    <row s="162" customFormat="1" customHeight="1" ht="15.75">
      <c r="A42" s="578"/>
      <c r="B42" s="540" t="s">
        <v>274</v>
      </c>
      <c r="C42" s="540"/>
      <c r="D42" s="540"/>
      <c r="E42" s="540"/>
      <c r="F42" s="140">
        <f>IF(生产日报5取值!E42=0,"",生产日报5取值!E42)</f>
        <v>3585</v>
      </c>
      <c r="G42" s="179"/>
      <c r="H42" s="140" t="str">
        <f>IF(生产日报5取值!F42=0,"",生产日报5取值!F42)</f>
        <v/>
      </c>
      <c r="I42" s="179"/>
      <c r="J42" s="140" t="str">
        <f>IF(生产日报5取值!G42=0,"",生产日报5取值!G42)</f>
        <v/>
      </c>
      <c r="K42" s="195"/>
      <c r="L42" s="84" t="str">
        <f>IF(生产日报5取值!H42=0,"",生产日报5取值!H42)</f>
        <v/>
      </c>
      <c r="M42" s="84"/>
      <c r="N42" s="80"/>
      <c r="O42" s="578"/>
      <c r="P42" s="578"/>
    </row>
    <row s="162" customFormat="1" customHeight="1" ht="15.75">
      <c r="A43" s="578"/>
      <c r="B43" s="540" t="s">
        <v>275</v>
      </c>
      <c r="C43" s="540"/>
      <c r="D43" s="540"/>
      <c r="E43" s="540"/>
      <c r="F43" s="140">
        <f>IF(生产日报5取值!E43=0,"",生产日报5取值!E43)</f>
        <v>2121</v>
      </c>
      <c r="G43" s="179"/>
      <c r="H43" s="140" t="str">
        <f>IF(生产日报5取值!F43=0,"",生产日报5取值!F43)</f>
        <v/>
      </c>
      <c r="I43" s="179"/>
      <c r="J43" s="140" t="str">
        <f>IF(生产日报5取值!G43=0,"",生产日报5取值!G43)</f>
        <v/>
      </c>
      <c r="K43" s="195"/>
      <c r="L43" s="84" t="str">
        <f>IF(生产日报5取值!H43=0,"",生产日报5取值!H43)</f>
        <v/>
      </c>
      <c r="M43" s="84"/>
      <c r="N43" s="80"/>
      <c r="O43" s="578"/>
      <c r="P43" s="578"/>
    </row>
    <row s="162" customFormat="1" customHeight="1" ht="15.75">
      <c r="A44" s="578"/>
      <c r="B44" s="540" t="s">
        <v>276</v>
      </c>
      <c r="C44" s="540"/>
      <c r="D44" s="540"/>
      <c r="E44" s="540"/>
      <c r="F44" s="140">
        <f>IF(生产日报5取值!E44=0,"",生产日报5取值!E44)</f>
        <v>788</v>
      </c>
      <c r="G44" s="179"/>
      <c r="H44" s="140" t="str">
        <f>IF(生产日报5取值!F44=0,"",生产日报5取值!F44)</f>
        <v/>
      </c>
      <c r="I44" s="179"/>
      <c r="J44" s="140" t="str">
        <f>IF(生产日报5取值!G44=0,"",生产日报5取值!G44)</f>
        <v/>
      </c>
      <c r="K44" s="195"/>
      <c r="L44" s="84" t="str">
        <f>IF(生产日报5取值!H44=0,"",生产日报5取值!H44)</f>
        <v/>
      </c>
      <c r="M44" s="84"/>
      <c r="N44" s="80"/>
      <c r="O44" s="578"/>
      <c r="P44" s="578"/>
    </row>
    <row s="162" customFormat="1" customHeight="1" ht="15.75">
      <c r="A45" s="578"/>
      <c r="B45" s="540" t="s">
        <v>277</v>
      </c>
      <c r="C45" s="540"/>
      <c r="D45" s="540"/>
      <c r="E45" s="540"/>
      <c r="F45" s="140" t="str">
        <f>IF(生产日报5取值!E45=0,"",生产日报5取值!E45)</f>
        <v/>
      </c>
      <c r="G45" s="179"/>
      <c r="H45" s="140" t="str">
        <f>IF(生产日报5取值!F45=0,"",生产日报5取值!F45)</f>
        <v/>
      </c>
      <c r="I45" s="179"/>
      <c r="J45" s="140" t="str">
        <f>IF(生产日报5取值!G45=0,"",生产日报5取值!G45)</f>
        <v/>
      </c>
      <c r="K45" s="195"/>
      <c r="L45" s="84">
        <f>IF(生产日报5取值!H45=0,"",生产日报5取值!H45)</f>
        <v>7395</v>
      </c>
      <c r="M45" s="84"/>
      <c r="N45" s="80"/>
      <c r="O45" s="578"/>
      <c r="P45" s="578"/>
    </row>
    <row s="162" customFormat="1" customHeight="1" ht="15.75">
      <c r="A46" s="578"/>
      <c r="B46" s="540" t="s">
        <v>278</v>
      </c>
      <c r="C46" s="540"/>
      <c r="D46" s="540"/>
      <c r="E46" s="540"/>
      <c r="F46" s="140">
        <f>IF(生产日报5取值!E46=0,"",生产日报5取值!E46)</f>
        <v>1366</v>
      </c>
      <c r="G46" s="179"/>
      <c r="H46" s="140">
        <f>IF(生产日报5取值!F46=0,"",生产日报5取值!F46)</f>
        <v>904</v>
      </c>
      <c r="I46" s="179"/>
      <c r="J46" s="140">
        <f>IF(生产日报5取值!G46=0,"",生产日报5取值!G46)</f>
        <v>4330</v>
      </c>
      <c r="K46" s="195"/>
      <c r="L46" s="84" t="str">
        <f>IF(生产日报5取值!H46=0,"",生产日报5取值!H46)</f>
        <v/>
      </c>
      <c r="M46" s="84"/>
      <c r="N46" s="80"/>
      <c r="O46" s="578"/>
      <c r="P46" s="578"/>
    </row>
    <row s="162" customFormat="1" customHeight="1" ht="15.75">
      <c r="A47" s="578"/>
      <c r="B47" s="540" t="s">
        <v>279</v>
      </c>
      <c r="C47" s="540"/>
      <c r="D47" s="540"/>
      <c r="E47" s="540"/>
      <c r="F47" s="104">
        <f>IF(生产日报5取值!E47=0,"",生产日报5取值!E47)</f>
        <v>138.78</v>
      </c>
      <c r="G47" s="183"/>
      <c r="H47" s="104">
        <f>IF(生产日报5取值!F47=0,"",生产日报5取值!F47)</f>
        <v>123.32</v>
      </c>
      <c r="I47" s="183"/>
      <c r="J47" s="140">
        <f>IF(生产日报5取值!G47=0,"",生产日报5取值!G47)</f>
        <v>45.74</v>
      </c>
      <c r="K47" s="195"/>
      <c r="L47" s="84" t="str">
        <f>IF(生产日报5取值!H47=0,"",生产日报5取值!H47)</f>
        <v/>
      </c>
      <c r="M47" s="84"/>
      <c r="N47" s="80"/>
      <c r="O47" s="578"/>
      <c r="P47" s="578"/>
    </row>
    <row s="162" customFormat="1" customHeight="1" ht="15.75">
      <c r="A48" s="578"/>
      <c r="B48" s="540" t="s">
        <v>280</v>
      </c>
      <c r="C48" s="540"/>
      <c r="D48" s="540"/>
      <c r="E48" s="594"/>
      <c r="F48" s="84" t="str">
        <f>IF(生产日报5取值!E48=0,"",生产日报5取值!E48)</f>
        <v/>
      </c>
      <c r="G48" s="84"/>
      <c r="H48" s="84" t="str">
        <f>IF(生产日报5取值!F48=0,"",生产日报5取值!F48)</f>
        <v/>
      </c>
      <c r="I48" s="84"/>
      <c r="J48" s="195" t="str">
        <f>IF(生产日报5取值!G48=0,"",生产日报5取值!G48)</f>
        <v/>
      </c>
      <c r="K48" s="195"/>
      <c r="L48" s="84">
        <f>IF(生产日报5取值!H48=0,"",生产日报5取值!H48)</f>
        <v>52</v>
      </c>
      <c r="M48" s="84"/>
      <c r="N48" s="80"/>
      <c r="O48" s="578"/>
      <c r="P48" s="578"/>
    </row>
    <row s="162" customFormat="1" customHeight="1" ht="18">
      <c r="A49" s="578"/>
      <c r="B49" s="600" t="s">
        <v>59</v>
      </c>
      <c r="C49" s="600"/>
      <c r="D49" s="601" t="s">
        <v>60</v>
      </c>
      <c r="E49" s="510" t="s">
        <v>281</v>
      </c>
      <c r="F49" s="602" t="s">
        <v>110</v>
      </c>
      <c r="G49" s="601" t="str">
        <f>IF(生产日报6!I33=0,"",生产日报6!I33)</f>
        <v>胡连鹏</v>
      </c>
      <c r="H49" s="601"/>
      <c r="I49" s="603"/>
      <c r="J49" s="509" t="s">
        <v>121</v>
      </c>
      <c r="K49" s="509"/>
      <c r="L49" s="390" t="str">
        <f>IF(生产日报6!N33=0,"",生产日报6!N33)</f>
        <v>李阿君</v>
      </c>
      <c r="M49" s="390"/>
      <c r="N49" s="549"/>
      <c r="O49" s="578"/>
      <c r="P49" s="578"/>
    </row>
    <row customHeight="1" ht="14.25">
      <c r="A50" s="297"/>
      <c r="B50" s="604"/>
      <c r="C50" s="604"/>
      <c r="D50" s="604"/>
      <c r="E50" s="604"/>
      <c r="F50" s="604"/>
      <c r="G50" s="604"/>
      <c r="H50" s="604"/>
      <c r="I50" s="604"/>
      <c r="J50" s="604"/>
      <c r="K50" s="604"/>
      <c r="L50" s="604"/>
      <c r="M50" s="604"/>
      <c r="N50" s="220"/>
      <c r="O50" s="297"/>
      <c r="P50" s="297"/>
    </row>
    <row customHeight="1" ht="14.25">
      <c r="A51" s="297"/>
      <c r="B51" s="604"/>
      <c r="C51" s="604"/>
      <c r="D51" s="604"/>
      <c r="E51" s="604"/>
      <c r="F51" s="604"/>
      <c r="G51" s="604"/>
      <c r="H51" s="604"/>
      <c r="I51" s="604"/>
      <c r="J51" s="604"/>
      <c r="K51" s="604"/>
      <c r="L51" s="604"/>
      <c r="M51" s="604"/>
      <c r="N51" s="220"/>
      <c r="O51" s="297"/>
      <c r="P51" s="297"/>
    </row>
    <row customHeight="1" ht="14.25">
      <c r="A52" s="297"/>
      <c r="B52" s="604"/>
      <c r="C52" s="604"/>
      <c r="D52" s="604"/>
      <c r="E52" s="604"/>
      <c r="F52" s="604"/>
      <c r="G52" s="604"/>
      <c r="H52" s="604"/>
      <c r="I52" s="604"/>
      <c r="J52" s="604"/>
      <c r="K52" s="604"/>
      <c r="L52" s="604"/>
      <c r="M52" s="604"/>
      <c r="N52" s="220"/>
      <c r="O52" s="297"/>
      <c r="P52" s="297"/>
    </row>
  </sheetData>
  <mergeCells count="237">
    <mergeCell ref="B1:N1"/>
    <mergeCell ref="B2:D2"/>
    <mergeCell ref="E2:F2"/>
    <mergeCell ref="G2:H2"/>
    <mergeCell ref="I2:J2"/>
    <mergeCell ref="K2:M2"/>
    <mergeCell ref="B5:D5"/>
    <mergeCell ref="F5:G5"/>
    <mergeCell ref="H5:I5"/>
    <mergeCell ref="J5:K5"/>
    <mergeCell ref="L5:M5"/>
    <mergeCell ref="B6:D6"/>
    <mergeCell ref="F6:G6"/>
    <mergeCell ref="H6:I6"/>
    <mergeCell ref="J6:K6"/>
    <mergeCell ref="L6:M6"/>
    <mergeCell ref="B7:D7"/>
    <mergeCell ref="F7:G7"/>
    <mergeCell ref="H7:I7"/>
    <mergeCell ref="J7:K7"/>
    <mergeCell ref="L7:M7"/>
    <mergeCell ref="B8:D8"/>
    <mergeCell ref="F8:G8"/>
    <mergeCell ref="H8:I8"/>
    <mergeCell ref="J8:K8"/>
    <mergeCell ref="L8:M8"/>
    <mergeCell ref="B9:D9"/>
    <mergeCell ref="F9:G9"/>
    <mergeCell ref="H9:I9"/>
    <mergeCell ref="J9:K9"/>
    <mergeCell ref="L9:M9"/>
    <mergeCell ref="B10:D10"/>
    <mergeCell ref="F10:G10"/>
    <mergeCell ref="H10:I10"/>
    <mergeCell ref="J10:K10"/>
    <mergeCell ref="L10:M10"/>
    <mergeCell ref="B11:D11"/>
    <mergeCell ref="F11:G11"/>
    <mergeCell ref="H11:I11"/>
    <mergeCell ref="J11:K11"/>
    <mergeCell ref="L11:M11"/>
    <mergeCell ref="B12:D12"/>
    <mergeCell ref="F12:G12"/>
    <mergeCell ref="H12:I12"/>
    <mergeCell ref="J12:K12"/>
    <mergeCell ref="L12:M12"/>
    <mergeCell ref="B13:D13"/>
    <mergeCell ref="F13:G13"/>
    <mergeCell ref="H13:I13"/>
    <mergeCell ref="J13:K13"/>
    <mergeCell ref="L13:M13"/>
    <mergeCell ref="B14:D14"/>
    <mergeCell ref="F14:G14"/>
    <mergeCell ref="H14:I14"/>
    <mergeCell ref="J14:K14"/>
    <mergeCell ref="L14:M14"/>
    <mergeCell ref="B15:D15"/>
    <mergeCell ref="F15:G15"/>
    <mergeCell ref="H15:I15"/>
    <mergeCell ref="J15:K15"/>
    <mergeCell ref="L15:M15"/>
    <mergeCell ref="B16:D16"/>
    <mergeCell ref="F16:G16"/>
    <mergeCell ref="H16:I16"/>
    <mergeCell ref="J16:K16"/>
    <mergeCell ref="L16:M16"/>
    <mergeCell ref="B17:D17"/>
    <mergeCell ref="F17:G17"/>
    <mergeCell ref="H17:I17"/>
    <mergeCell ref="J17:K17"/>
    <mergeCell ref="L17:M17"/>
    <mergeCell ref="B18:D18"/>
    <mergeCell ref="F18:G18"/>
    <mergeCell ref="H18:I18"/>
    <mergeCell ref="J18:K18"/>
    <mergeCell ref="L18:M18"/>
    <mergeCell ref="B19:D19"/>
    <mergeCell ref="F19:G19"/>
    <mergeCell ref="H19:I19"/>
    <mergeCell ref="J19:K19"/>
    <mergeCell ref="L19:M19"/>
    <mergeCell ref="B20:D20"/>
    <mergeCell ref="F20:G20"/>
    <mergeCell ref="H20:I20"/>
    <mergeCell ref="J20:K20"/>
    <mergeCell ref="L20:M20"/>
    <mergeCell ref="B21:D21"/>
    <mergeCell ref="F21:G21"/>
    <mergeCell ref="H21:I21"/>
    <mergeCell ref="J21:K21"/>
    <mergeCell ref="L21:M21"/>
    <mergeCell ref="B22:D22"/>
    <mergeCell ref="F22:G22"/>
    <mergeCell ref="H22:I22"/>
    <mergeCell ref="J22:K22"/>
    <mergeCell ref="L22:M22"/>
    <mergeCell ref="B23:D23"/>
    <mergeCell ref="F23:G23"/>
    <mergeCell ref="H23:I23"/>
    <mergeCell ref="J23:K23"/>
    <mergeCell ref="L23:M23"/>
    <mergeCell ref="B24:D24"/>
    <mergeCell ref="F24:G24"/>
    <mergeCell ref="H24:I24"/>
    <mergeCell ref="J24:K24"/>
    <mergeCell ref="L24:M24"/>
    <mergeCell ref="B25:D25"/>
    <mergeCell ref="F25:G25"/>
    <mergeCell ref="H25:I25"/>
    <mergeCell ref="J25:K25"/>
    <mergeCell ref="L25:M25"/>
    <mergeCell ref="B26:D26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B28:D28"/>
    <mergeCell ref="F28:G28"/>
    <mergeCell ref="H28:I28"/>
    <mergeCell ref="J28:K28"/>
    <mergeCell ref="L28:M28"/>
    <mergeCell ref="B29:D29"/>
    <mergeCell ref="F29:G29"/>
    <mergeCell ref="H29:I29"/>
    <mergeCell ref="J29:K29"/>
    <mergeCell ref="L29:M29"/>
    <mergeCell ref="B30:D30"/>
    <mergeCell ref="F30:G30"/>
    <mergeCell ref="H30:I30"/>
    <mergeCell ref="L30:M30"/>
    <mergeCell ref="B31:D31"/>
    <mergeCell ref="F31:G31"/>
    <mergeCell ref="H31:I31"/>
    <mergeCell ref="J31:K31"/>
    <mergeCell ref="L31:M31"/>
    <mergeCell ref="B32:D32"/>
    <mergeCell ref="F32:G32"/>
    <mergeCell ref="H32:I32"/>
    <mergeCell ref="J32:K32"/>
    <mergeCell ref="L32:M32"/>
    <mergeCell ref="B33:D33"/>
    <mergeCell ref="F33:G33"/>
    <mergeCell ref="H33:I33"/>
    <mergeCell ref="J33:K33"/>
    <mergeCell ref="L33:M33"/>
    <mergeCell ref="B34:D34"/>
    <mergeCell ref="F34:G34"/>
    <mergeCell ref="H34:I34"/>
    <mergeCell ref="J34:K34"/>
    <mergeCell ref="L34:M34"/>
    <mergeCell ref="B35:D35"/>
    <mergeCell ref="F35:G35"/>
    <mergeCell ref="H35:I35"/>
    <mergeCell ref="J35:K35"/>
    <mergeCell ref="L35:M35"/>
    <mergeCell ref="B36:D36"/>
    <mergeCell ref="F36:G36"/>
    <mergeCell ref="H36:I36"/>
    <mergeCell ref="J36:K36"/>
    <mergeCell ref="L36:M36"/>
    <mergeCell ref="B37:D37"/>
    <mergeCell ref="F37:G37"/>
    <mergeCell ref="H37:I37"/>
    <mergeCell ref="J37:K37"/>
    <mergeCell ref="L37:M37"/>
    <mergeCell ref="B38:D38"/>
    <mergeCell ref="F38:G38"/>
    <mergeCell ref="H38:I38"/>
    <mergeCell ref="J38:K38"/>
    <mergeCell ref="L38:M38"/>
    <mergeCell ref="B39:D39"/>
    <mergeCell ref="F39:G39"/>
    <mergeCell ref="H39:I39"/>
    <mergeCell ref="J39:K39"/>
    <mergeCell ref="L39:M39"/>
    <mergeCell ref="B40:D40"/>
    <mergeCell ref="F40:G40"/>
    <mergeCell ref="H40:I40"/>
    <mergeCell ref="J40:K40"/>
    <mergeCell ref="L40:M40"/>
    <mergeCell ref="B41:D41"/>
    <mergeCell ref="F41:G41"/>
    <mergeCell ref="H41:I41"/>
    <mergeCell ref="J41:K41"/>
    <mergeCell ref="L41:M41"/>
    <mergeCell ref="B42:D42"/>
    <mergeCell ref="F42:G42"/>
    <mergeCell ref="H42:I42"/>
    <mergeCell ref="J42:K42"/>
    <mergeCell ref="L42:M42"/>
    <mergeCell ref="B43:D43"/>
    <mergeCell ref="F43:G43"/>
    <mergeCell ref="H43:I43"/>
    <mergeCell ref="J43:K43"/>
    <mergeCell ref="L43:M43"/>
    <mergeCell ref="B44:D44"/>
    <mergeCell ref="F44:G44"/>
    <mergeCell ref="H44:I44"/>
    <mergeCell ref="J44:K44"/>
    <mergeCell ref="L44:M44"/>
    <mergeCell ref="B45:D45"/>
    <mergeCell ref="F45:G45"/>
    <mergeCell ref="H45:I45"/>
    <mergeCell ref="J45:K45"/>
    <mergeCell ref="L45:M45"/>
    <mergeCell ref="B46:D46"/>
    <mergeCell ref="F46:G46"/>
    <mergeCell ref="H46:I46"/>
    <mergeCell ref="J46:K46"/>
    <mergeCell ref="L46:M46"/>
    <mergeCell ref="B47:D47"/>
    <mergeCell ref="F47:G47"/>
    <mergeCell ref="H47:I47"/>
    <mergeCell ref="J47:K47"/>
    <mergeCell ref="L47:M47"/>
    <mergeCell ref="B48:D48"/>
    <mergeCell ref="F48:G48"/>
    <mergeCell ref="H48:I48"/>
    <mergeCell ref="J48:K48"/>
    <mergeCell ref="L48:M48"/>
    <mergeCell ref="B49:C49"/>
    <mergeCell ref="G49:H49"/>
    <mergeCell ref="J49:K49"/>
    <mergeCell ref="L49:M49"/>
    <mergeCell ref="E3:E4"/>
    <mergeCell ref="N3:N4"/>
    <mergeCell ref="N5:N48"/>
    <mergeCell ref="B3:D4"/>
    <mergeCell ref="F3:G4"/>
    <mergeCell ref="H3:I4"/>
    <mergeCell ref="J3:K4"/>
    <mergeCell ref="L3:M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3E0F738-5A2A-D0D5-0797-9F27F5533918}" mc:Ignorable="x14ac xr xr2 xr3">
  <dimension ref="A1:U159"/>
  <sheetViews>
    <sheetView defaultGridColor="0" colorId="31" topLeftCell="A1" workbookViewId="0">
      <selection activeCell="P34" sqref="P34"/>
    </sheetView>
  </sheetViews>
  <sheetFormatPr defaultColWidth="10.00390625" customHeight="1" defaultRowHeight="14.4525"/>
  <cols>
    <col min="1" max="4" style="51" width="9.7109375" customWidth="1"/>
    <col min="5" max="5" style="51" width="12.28125" customWidth="1"/>
    <col min="6" max="6" style="51" width="9.7109375" customWidth="1"/>
    <col min="7" max="7" style="51" width="13.28125" customWidth="1"/>
    <col min="8" max="8" style="51" width="11.28125" customWidth="1"/>
    <col min="9" max="9" style="51" width="14.7109375" customWidth="1"/>
    <col min="10" max="10" style="51" width="9.7109375" customWidth="1"/>
    <col min="11" max="11" style="51" width="7.28125" customWidth="1"/>
  </cols>
  <sheetData>
    <row customHeight="1" ht="32.25">
      <c r="A1" s="148" t="s">
        <v>0</v>
      </c>
      <c r="B1" s="148"/>
      <c r="C1" s="148"/>
      <c r="D1" s="148"/>
      <c r="E1" s="148"/>
      <c r="F1" s="148"/>
      <c r="G1" s="148"/>
      <c r="H1" s="148"/>
      <c r="I1" s="148"/>
      <c r="J1" s="67"/>
      <c r="K1" s="67"/>
      <c r="L1" s="392"/>
      <c r="M1" s="392"/>
      <c r="N1" s="392"/>
      <c r="O1" s="392"/>
      <c r="P1" s="392"/>
      <c r="Q1" s="392"/>
      <c r="R1" s="392"/>
      <c r="S1" s="392"/>
      <c r="T1" s="392"/>
      <c r="U1" s="392"/>
    </row>
    <row customHeight="1" ht="25.5">
      <c r="A2" s="149" t="s">
        <v>64</v>
      </c>
      <c r="B2" s="149" t="s">
        <v>65</v>
      </c>
      <c r="C2" s="149"/>
      <c r="D2" s="149"/>
      <c r="E2" s="149" t="s">
        <v>4</v>
      </c>
      <c r="F2" s="149"/>
      <c r="G2" s="408" t="s">
        <v>5</v>
      </c>
      <c r="H2" s="607"/>
      <c r="I2" s="149" t="s">
        <v>6</v>
      </c>
      <c r="J2" s="67"/>
      <c r="K2" s="67"/>
      <c r="L2" s="392"/>
      <c r="M2" s="392"/>
      <c r="N2" s="392"/>
      <c r="O2" s="392"/>
      <c r="P2" s="392"/>
      <c r="Q2" s="392"/>
      <c r="R2" s="392"/>
      <c r="S2" s="392"/>
      <c r="T2" s="392"/>
      <c r="U2" s="392"/>
    </row>
    <row customHeight="1" ht="9.75">
      <c r="A3" s="56" t="s">
        <v>7</v>
      </c>
      <c r="B3" s="56"/>
      <c r="C3" s="56"/>
      <c r="D3" s="56" t="s">
        <v>105</v>
      </c>
      <c r="E3" s="56" t="s">
        <v>9</v>
      </c>
      <c r="F3" s="56" t="s">
        <v>10</v>
      </c>
      <c r="G3" s="56" t="s">
        <v>11</v>
      </c>
      <c r="H3" s="56" t="s">
        <v>12</v>
      </c>
      <c r="I3" s="56" t="s">
        <v>242</v>
      </c>
      <c r="J3" s="67"/>
      <c r="K3" s="67"/>
      <c r="L3" s="392"/>
      <c r="M3" s="392"/>
      <c r="N3" s="392"/>
      <c r="O3" s="392"/>
      <c r="P3" s="392"/>
      <c r="Q3" s="392"/>
      <c r="R3" s="392"/>
      <c r="S3" s="392"/>
      <c r="T3" s="392"/>
      <c r="U3" s="392"/>
    </row>
    <row customHeight="1" ht="9.75">
      <c r="A4" s="56"/>
      <c r="B4" s="56"/>
      <c r="C4" s="56"/>
      <c r="D4" s="56"/>
      <c r="E4" s="56"/>
      <c r="F4" s="56"/>
      <c r="G4" s="56"/>
      <c r="H4" s="56"/>
      <c r="I4" s="56"/>
      <c r="J4" s="67"/>
      <c r="K4" s="67"/>
      <c r="L4" s="392"/>
      <c r="M4" s="392"/>
      <c r="N4" s="392"/>
      <c r="O4" s="392"/>
      <c r="P4" s="392"/>
      <c r="Q4" s="392"/>
      <c r="R4" s="392"/>
      <c r="S4" s="392"/>
      <c r="T4" s="392"/>
      <c r="U4" s="392"/>
    </row>
    <row customHeight="1" ht="14.25">
      <c r="A5" s="609" t="s">
        <v>243</v>
      </c>
      <c r="B5" s="609"/>
      <c r="C5" s="609"/>
      <c r="D5" s="153"/>
      <c r="E5" s="56"/>
      <c r="F5" s="56"/>
      <c r="G5" s="56"/>
      <c r="H5" s="56"/>
      <c r="I5" s="160"/>
      <c r="J5" s="67"/>
      <c r="K5" s="67"/>
      <c r="L5" s="392"/>
      <c r="M5" s="392"/>
      <c r="N5" s="392"/>
      <c r="O5" s="392"/>
      <c r="P5" s="392"/>
      <c r="Q5" s="392"/>
      <c r="R5" s="392"/>
      <c r="S5" s="392"/>
      <c r="T5" s="392"/>
      <c r="U5" s="392"/>
    </row>
    <row customHeight="1" ht="14.25">
      <c r="A6" s="609" t="s">
        <v>244</v>
      </c>
      <c r="B6" s="609"/>
      <c r="C6" s="609"/>
      <c r="D6" s="153"/>
      <c r="E6" s="154">
        <f>_xlfn.IFERROR(E51,"")</f>
        <v>68776</v>
      </c>
      <c r="F6" s="155">
        <f>_xlfn.IFERROR(F69,"")</f>
        <v>12261</v>
      </c>
      <c r="G6" s="155">
        <f>_xlfn.IFERROR(G51,"")</f>
        <v>253649</v>
      </c>
      <c r="H6" s="101"/>
      <c r="I6" s="160"/>
      <c r="J6" s="67"/>
      <c r="K6" s="67"/>
      <c r="L6" s="392"/>
      <c r="M6" s="392"/>
      <c r="N6" s="392"/>
      <c r="O6" s="392"/>
      <c r="P6" s="392"/>
      <c r="Q6" s="392"/>
      <c r="R6" s="392"/>
      <c r="S6" s="392"/>
      <c r="T6" s="392"/>
      <c r="U6" s="392"/>
    </row>
    <row customHeight="1" ht="14.25">
      <c r="A7" s="609" t="s">
        <v>245</v>
      </c>
      <c r="B7" s="609"/>
      <c r="C7" s="609"/>
      <c r="D7" s="153"/>
      <c r="E7" s="101">
        <f>SUM(E8:E9)</f>
        <v>14688</v>
      </c>
      <c r="F7" s="101">
        <f>SUM(F8:F9)</f>
        <v>8394</v>
      </c>
      <c r="G7" s="101">
        <f>SUM(G8:G9)</f>
        <v>9127.376</v>
      </c>
      <c r="H7" s="101"/>
      <c r="I7" s="160"/>
      <c r="J7" s="67"/>
      <c r="K7" s="67"/>
      <c r="L7" s="392"/>
      <c r="M7" s="392"/>
      <c r="N7" s="392"/>
      <c r="O7" s="392"/>
      <c r="P7" s="392"/>
      <c r="Q7" s="392"/>
      <c r="R7" s="392"/>
      <c r="S7" s="392"/>
      <c r="T7" s="392"/>
      <c r="U7" s="392"/>
    </row>
    <row customHeight="1" ht="14.25">
      <c r="A8" s="609" t="s">
        <v>246</v>
      </c>
      <c r="B8" s="609"/>
      <c r="C8" s="609"/>
      <c r="D8" s="153"/>
      <c r="E8" s="103">
        <v>0</v>
      </c>
      <c r="F8" s="101">
        <v>0</v>
      </c>
      <c r="G8" s="101">
        <v>0</v>
      </c>
      <c r="H8" s="101"/>
      <c r="I8" s="160"/>
      <c r="J8" s="67"/>
      <c r="K8" s="67"/>
      <c r="L8" s="392"/>
      <c r="M8" s="392"/>
      <c r="N8" s="392"/>
      <c r="O8" s="392"/>
      <c r="P8" s="392"/>
      <c r="Q8" s="392"/>
      <c r="R8" s="392"/>
      <c r="S8" s="392"/>
      <c r="T8" s="392"/>
      <c r="U8" s="392"/>
    </row>
    <row customHeight="1" ht="14.25">
      <c r="A9" s="609" t="s">
        <v>247</v>
      </c>
      <c r="B9" s="609"/>
      <c r="C9" s="609"/>
      <c r="D9" s="153"/>
      <c r="E9" s="103">
        <v>14688</v>
      </c>
      <c r="F9" s="101">
        <v>8394</v>
      </c>
      <c r="G9" s="101">
        <v>9127.376</v>
      </c>
      <c r="H9" s="101"/>
      <c r="I9" s="160"/>
      <c r="J9" s="67"/>
      <c r="K9" s="67"/>
      <c r="L9" s="392"/>
      <c r="M9" s="392"/>
      <c r="N9" s="392"/>
      <c r="O9" s="392"/>
      <c r="P9" s="392"/>
      <c r="Q9" s="392"/>
      <c r="R9" s="392"/>
      <c r="S9" s="392"/>
      <c r="T9" s="392"/>
      <c r="U9" s="392"/>
    </row>
    <row customHeight="1" ht="14.25">
      <c r="A10" s="609" t="s">
        <v>248</v>
      </c>
      <c r="B10" s="609"/>
      <c r="C10" s="609"/>
      <c r="D10" s="153"/>
      <c r="E10" s="154">
        <f>_xlfn.IFERROR(E54,"")</f>
        <v>44290</v>
      </c>
      <c r="F10" s="155">
        <f>_xlfn.IFERROR(F51,"")</f>
        <v>2354</v>
      </c>
      <c r="G10" s="155">
        <f>_xlfn.IFERROR(G53,"")</f>
        <v>28709</v>
      </c>
      <c r="H10" s="101"/>
      <c r="I10" s="160"/>
      <c r="J10" s="433" t="s">
        <v>282</v>
      </c>
      <c r="K10" s="67"/>
      <c r="L10" s="392"/>
      <c r="M10" s="392"/>
      <c r="N10" s="392"/>
      <c r="O10" s="392"/>
      <c r="P10" s="392"/>
      <c r="Q10" s="392"/>
      <c r="R10" s="392"/>
      <c r="S10" s="392"/>
      <c r="T10" s="392"/>
      <c r="U10" s="392"/>
    </row>
    <row customHeight="1" ht="14.25">
      <c r="A11" s="609" t="s">
        <v>249</v>
      </c>
      <c r="B11" s="609"/>
      <c r="C11" s="609"/>
      <c r="D11" s="153"/>
      <c r="E11" s="154">
        <f>_xlfn.IFERROR(E56,"")</f>
        <v>6337</v>
      </c>
      <c r="F11" s="155">
        <f>_xlfn.IFERROR(SUM(F85:F86),"")</f>
        <v>7307</v>
      </c>
      <c r="G11" s="103">
        <f>G92</f>
        <v>21660</v>
      </c>
      <c r="H11" s="154">
        <f>_xlfn.IFERROR(H51,"")</f>
        <v>8317</v>
      </c>
      <c r="I11" s="160"/>
      <c r="J11" s="67"/>
      <c r="K11" s="67"/>
      <c r="L11" s="392"/>
      <c r="M11" s="392"/>
      <c r="N11" s="392"/>
      <c r="O11" s="392"/>
      <c r="P11" s="392"/>
      <c r="Q11" s="392"/>
      <c r="R11" s="392"/>
      <c r="S11" s="392"/>
      <c r="T11" s="392"/>
      <c r="U11" s="392"/>
    </row>
    <row customHeight="1" ht="14.25">
      <c r="A12" s="609" t="s">
        <v>250</v>
      </c>
      <c r="B12" s="609"/>
      <c r="C12" s="609"/>
      <c r="D12" s="153"/>
      <c r="E12" s="154"/>
      <c r="F12" s="103">
        <f>F108</f>
        <v>6448</v>
      </c>
      <c r="G12" s="103">
        <f>G79</f>
        <v>19080</v>
      </c>
      <c r="H12" s="101"/>
      <c r="I12" s="160"/>
      <c r="J12" s="67"/>
      <c r="K12" s="67"/>
      <c r="L12" s="392"/>
      <c r="M12" s="392"/>
      <c r="N12" s="392"/>
      <c r="O12" s="392"/>
      <c r="P12" s="392"/>
      <c r="Q12" s="392"/>
      <c r="R12" s="392"/>
      <c r="S12" s="392"/>
      <c r="T12" s="392"/>
      <c r="U12" s="392"/>
    </row>
    <row customHeight="1" ht="14.25">
      <c r="A13" s="609" t="s">
        <v>251</v>
      </c>
      <c r="B13" s="609"/>
      <c r="C13" s="609"/>
      <c r="D13" s="153"/>
      <c r="E13" s="154">
        <f>_xlfn.IFERROR(E60,"")</f>
        <v>5143</v>
      </c>
      <c r="F13" s="155">
        <f>_xlfn.IFERROR(SUM(F56:F59),"")</f>
        <v>8544</v>
      </c>
      <c r="G13" s="67"/>
      <c r="H13" s="154">
        <f>_xlfn.IFERROR(H53,"")</f>
        <v>10165</v>
      </c>
      <c r="I13" s="160"/>
      <c r="J13" s="67"/>
      <c r="K13" s="67"/>
      <c r="L13" s="392"/>
      <c r="M13" s="392"/>
      <c r="N13" s="392"/>
      <c r="O13" s="392"/>
      <c r="P13" s="392"/>
      <c r="Q13" s="392"/>
      <c r="R13" s="392"/>
      <c r="S13" s="392"/>
      <c r="T13" s="392"/>
      <c r="U13" s="392"/>
    </row>
    <row customHeight="1" ht="14.25">
      <c r="A14" s="609" t="s">
        <v>252</v>
      </c>
      <c r="B14" s="609"/>
      <c r="C14" s="609"/>
      <c r="D14" s="153"/>
      <c r="E14" s="154">
        <f>_xlfn.IFERROR(E62,"")</f>
        <v>1786</v>
      </c>
      <c r="F14" s="155"/>
      <c r="G14" s="155">
        <f>_xlfn.IFERROR(G57,"")</f>
        <v>5953</v>
      </c>
      <c r="H14" s="154">
        <f>_xlfn.IFERROR(H55,"")</f>
        <v>1559</v>
      </c>
      <c r="I14" s="160"/>
      <c r="J14" s="67"/>
      <c r="K14" s="67"/>
      <c r="L14" s="392"/>
      <c r="M14" s="392"/>
      <c r="N14" s="392"/>
      <c r="O14" s="392"/>
      <c r="P14" s="392"/>
      <c r="Q14" s="392"/>
      <c r="R14" s="392"/>
      <c r="S14" s="392"/>
      <c r="T14" s="392"/>
      <c r="U14" s="392"/>
    </row>
    <row customHeight="1" ht="14.25">
      <c r="A15" s="609" t="s">
        <v>253</v>
      </c>
      <c r="B15" s="609"/>
      <c r="C15" s="609"/>
      <c r="D15" s="153"/>
      <c r="E15" s="154">
        <f>_xlfn.IFERROR(E64,"")</f>
        <v>1364</v>
      </c>
      <c r="F15" s="155">
        <f>F71</f>
        <v>2817</v>
      </c>
      <c r="G15" s="155">
        <f>G94</f>
        <v>19080</v>
      </c>
      <c r="H15" s="154">
        <f>_xlfn.IFERROR(H57,"")</f>
        <v>2284</v>
      </c>
      <c r="I15" s="160"/>
      <c r="J15" s="67"/>
      <c r="K15" s="67"/>
      <c r="L15" s="392"/>
      <c r="M15" s="392"/>
      <c r="N15" s="392"/>
      <c r="O15" s="392"/>
      <c r="P15" s="392"/>
      <c r="Q15" s="392"/>
      <c r="R15" s="392"/>
      <c r="S15" s="392"/>
      <c r="T15" s="392"/>
      <c r="U15" s="392"/>
    </row>
    <row customHeight="1" ht="14.25">
      <c r="A16" s="609" t="s">
        <v>254</v>
      </c>
      <c r="B16" s="609"/>
      <c r="C16" s="609"/>
      <c r="D16" s="153"/>
      <c r="E16" s="154">
        <f>_xlfn.IFERROR(E66,"")</f>
        <v>3269</v>
      </c>
      <c r="F16" s="155">
        <f>_xlfn.IFERROR(F62,"")</f>
        <v>2360</v>
      </c>
      <c r="G16" s="155">
        <f>_xlfn.IFERROR(G59,"")</f>
        <v>1174</v>
      </c>
      <c r="H16" s="154"/>
      <c r="I16" s="160"/>
      <c r="J16" s="67"/>
      <c r="K16" s="67"/>
      <c r="L16" s="392"/>
      <c r="M16" s="392"/>
      <c r="N16" s="392"/>
      <c r="O16" s="392"/>
      <c r="P16" s="392"/>
      <c r="Q16" s="392"/>
      <c r="R16" s="392"/>
      <c r="S16" s="392"/>
      <c r="T16" s="392"/>
      <c r="U16" s="392"/>
    </row>
    <row customHeight="1" ht="14.25">
      <c r="A17" s="609" t="s">
        <v>255</v>
      </c>
      <c r="B17" s="609"/>
      <c r="C17" s="609"/>
      <c r="D17" s="153"/>
      <c r="E17" s="154">
        <f>_xlfn.IFERROR(E68,"")</f>
        <v>1142</v>
      </c>
      <c r="F17" s="101"/>
      <c r="G17" s="101"/>
      <c r="H17" s="156">
        <f>H85</f>
        <v>1891</v>
      </c>
      <c r="I17" s="160"/>
      <c r="J17" s="67"/>
      <c r="K17" s="67"/>
      <c r="L17" s="392"/>
      <c r="M17" s="392"/>
      <c r="N17" s="392"/>
      <c r="O17" s="392"/>
      <c r="P17" s="392"/>
      <c r="Q17" s="392"/>
      <c r="R17" s="392"/>
      <c r="S17" s="392"/>
      <c r="T17" s="392"/>
      <c r="U17" s="392"/>
    </row>
    <row customHeight="1" ht="14.25">
      <c r="A18" s="609" t="s">
        <v>256</v>
      </c>
      <c r="B18" s="609"/>
      <c r="C18" s="609"/>
      <c r="D18" s="153"/>
      <c r="E18" s="154">
        <f>_xlfn.IFERROR(E70,"")</f>
        <v>116</v>
      </c>
      <c r="F18" s="101"/>
      <c r="G18" s="155"/>
      <c r="H18" s="156">
        <f>H87</f>
        <v>693</v>
      </c>
      <c r="I18" s="160"/>
      <c r="J18" s="67"/>
      <c r="K18" s="67"/>
      <c r="L18" s="392"/>
      <c r="M18" s="392"/>
      <c r="N18" s="392"/>
      <c r="O18" s="392"/>
      <c r="P18" s="392"/>
      <c r="Q18" s="392"/>
      <c r="R18" s="392"/>
      <c r="S18" s="392"/>
      <c r="T18" s="392"/>
      <c r="U18" s="392"/>
    </row>
    <row customHeight="1" ht="14.25">
      <c r="A19" s="609" t="s">
        <v>257</v>
      </c>
      <c r="B19" s="609"/>
      <c r="C19" s="609"/>
      <c r="D19" s="153"/>
      <c r="E19" s="154">
        <f>_xlfn.IFERROR(E72,"")</f>
        <v>962</v>
      </c>
      <c r="F19" s="101"/>
      <c r="G19" s="101"/>
      <c r="H19" s="154">
        <f>_xlfn.IFERROR(H65,"")</f>
        <v>4455</v>
      </c>
      <c r="I19" s="160"/>
      <c r="J19" s="67"/>
      <c r="K19" s="67"/>
      <c r="L19" s="392"/>
      <c r="M19" s="392"/>
      <c r="N19" s="392"/>
      <c r="O19" s="392"/>
      <c r="P19" s="392"/>
      <c r="Q19" s="392"/>
      <c r="R19" s="392"/>
      <c r="S19" s="392"/>
      <c r="T19" s="392"/>
      <c r="U19" s="392"/>
    </row>
    <row customHeight="1" ht="14.25">
      <c r="A20" s="609" t="s">
        <v>258</v>
      </c>
      <c r="B20" s="609"/>
      <c r="C20" s="609"/>
      <c r="D20" s="153"/>
      <c r="E20" s="154">
        <f>_xlfn.IFERROR(E74,"")</f>
        <v>778</v>
      </c>
      <c r="F20" s="101"/>
      <c r="G20" s="101"/>
      <c r="H20" s="101"/>
      <c r="I20" s="160"/>
      <c r="J20" s="67"/>
      <c r="K20" s="67"/>
      <c r="L20" s="392"/>
      <c r="M20" s="392"/>
      <c r="N20" s="392"/>
      <c r="O20" s="392"/>
      <c r="P20" s="392"/>
      <c r="Q20" s="392"/>
      <c r="R20" s="392"/>
      <c r="S20" s="392"/>
      <c r="T20" s="392"/>
      <c r="U20" s="392"/>
    </row>
    <row customHeight="1" ht="14.25">
      <c r="A21" s="609" t="s">
        <v>259</v>
      </c>
      <c r="B21" s="609"/>
      <c r="C21" s="609"/>
      <c r="D21" s="153"/>
      <c r="E21" s="154">
        <f>_xlfn.IFERROR(E76,"")</f>
        <v>455</v>
      </c>
      <c r="F21" s="101"/>
      <c r="G21" s="101"/>
      <c r="H21" s="156">
        <f>H89</f>
        <v>1354</v>
      </c>
      <c r="I21" s="160"/>
      <c r="J21" s="67"/>
      <c r="K21" s="67"/>
      <c r="L21" s="392"/>
      <c r="M21" s="392"/>
      <c r="N21" s="392"/>
      <c r="O21" s="392"/>
      <c r="P21" s="392"/>
      <c r="Q21" s="392"/>
      <c r="R21" s="392"/>
      <c r="S21" s="392"/>
      <c r="T21" s="392"/>
      <c r="U21" s="392"/>
    </row>
    <row customHeight="1" ht="14.25">
      <c r="A22" s="609" t="s">
        <v>260</v>
      </c>
      <c r="B22" s="609"/>
      <c r="C22" s="609"/>
      <c r="D22" s="153"/>
      <c r="E22" s="101"/>
      <c r="F22" s="101"/>
      <c r="G22" s="101"/>
      <c r="H22" s="101"/>
      <c r="I22" s="160"/>
      <c r="J22" s="67"/>
      <c r="K22" s="67"/>
      <c r="L22" s="392"/>
      <c r="M22" s="392"/>
      <c r="N22" s="392"/>
      <c r="O22" s="392"/>
      <c r="P22" s="392"/>
      <c r="Q22" s="392"/>
      <c r="R22" s="392"/>
      <c r="S22" s="392"/>
      <c r="T22" s="392"/>
      <c r="U22" s="392"/>
    </row>
    <row customHeight="1" ht="14.25">
      <c r="A23" s="609" t="s">
        <v>152</v>
      </c>
      <c r="B23" s="609"/>
      <c r="C23" s="609"/>
      <c r="D23" s="153"/>
      <c r="E23" s="154">
        <f>_xlfn.IFERROR(E78,"")</f>
        <v>10543</v>
      </c>
      <c r="F23" s="155">
        <f>_xlfn.IFERROR(SUM(F24:F26),"")</f>
        <v>6820</v>
      </c>
      <c r="G23" s="155">
        <f>SUM(G24:G27)</f>
        <v>72237</v>
      </c>
      <c r="H23" s="101"/>
      <c r="I23" s="160"/>
      <c r="J23" s="67"/>
      <c r="K23" s="67"/>
      <c r="L23" s="392"/>
      <c r="M23" s="392"/>
      <c r="N23" s="392"/>
      <c r="O23" s="392"/>
      <c r="P23" s="392"/>
      <c r="Q23" s="392"/>
      <c r="R23" s="392"/>
      <c r="S23" s="392"/>
      <c r="T23" s="392"/>
      <c r="U23" s="392"/>
    </row>
    <row customHeight="1" ht="14.25">
      <c r="A24" s="609" t="s">
        <v>228</v>
      </c>
      <c r="B24" s="609"/>
      <c r="C24" s="609"/>
      <c r="D24" s="153"/>
      <c r="E24" s="101"/>
      <c r="F24" s="155"/>
      <c r="G24" s="101"/>
      <c r="H24" s="101"/>
      <c r="I24" s="160"/>
      <c r="J24" s="67"/>
      <c r="K24" s="67"/>
      <c r="L24" s="392"/>
      <c r="M24" s="392"/>
      <c r="N24" s="392"/>
      <c r="O24" s="392"/>
      <c r="P24" s="392"/>
      <c r="Q24" s="392"/>
      <c r="R24" s="392"/>
      <c r="S24" s="392"/>
      <c r="T24" s="392"/>
      <c r="U24" s="392"/>
    </row>
    <row customHeight="1" ht="14.25">
      <c r="A25" s="609" t="s">
        <v>261</v>
      </c>
      <c r="B25" s="609"/>
      <c r="C25" s="609"/>
      <c r="D25" s="153"/>
      <c r="E25" s="154">
        <f>_xlfn.IFERROR(E79,"")</f>
        <v>1394</v>
      </c>
      <c r="F25" s="155">
        <f>_xlfn.IFERROR(F63,"")</f>
        <v>6820</v>
      </c>
      <c r="G25" s="155">
        <f>_xlfn.IFERROR(G63,"")</f>
        <v>66749</v>
      </c>
      <c r="H25" s="101"/>
      <c r="I25" s="160"/>
      <c r="J25" s="67"/>
      <c r="K25" s="67"/>
      <c r="L25" s="392"/>
      <c r="M25" s="392"/>
      <c r="N25" s="392"/>
      <c r="O25" s="392"/>
      <c r="P25" s="392"/>
      <c r="Q25" s="392"/>
      <c r="R25" s="392"/>
      <c r="S25" s="392"/>
      <c r="T25" s="392"/>
      <c r="U25" s="392"/>
    </row>
    <row customHeight="1" ht="14.25">
      <c r="A26" s="609" t="s">
        <v>262</v>
      </c>
      <c r="B26" s="609"/>
      <c r="C26" s="609"/>
      <c r="D26" s="153"/>
      <c r="E26" s="67"/>
      <c r="F26" s="155">
        <f>_xlfn.IFERROR(F53,"")</f>
        <v>0</v>
      </c>
      <c r="G26" s="67"/>
      <c r="H26" s="101"/>
      <c r="I26" s="160"/>
      <c r="J26" s="67"/>
      <c r="K26" s="67"/>
      <c r="L26" s="392"/>
      <c r="M26" s="392"/>
      <c r="N26" s="392"/>
      <c r="O26" s="392"/>
      <c r="P26" s="392"/>
      <c r="Q26" s="392"/>
      <c r="R26" s="392"/>
      <c r="S26" s="392"/>
      <c r="T26" s="392"/>
      <c r="U26" s="392"/>
    </row>
    <row customHeight="1" ht="14.25">
      <c r="A27" s="609" t="s">
        <v>263</v>
      </c>
      <c r="B27" s="609"/>
      <c r="C27" s="609"/>
      <c r="D27" s="153"/>
      <c r="E27" s="154">
        <f>_xlfn.IFERROR(E80,"")</f>
        <v>9149</v>
      </c>
      <c r="F27" s="155"/>
      <c r="G27" s="155">
        <f>_xlfn.IFERROR(G65,"")</f>
        <v>5488</v>
      </c>
      <c r="H27" s="101"/>
      <c r="I27" s="160"/>
      <c r="J27" s="67"/>
      <c r="K27" s="67"/>
      <c r="L27" s="392"/>
      <c r="M27" s="392"/>
      <c r="N27" s="392"/>
      <c r="O27" s="392"/>
      <c r="P27" s="392"/>
      <c r="Q27" s="392"/>
      <c r="R27" s="392"/>
      <c r="S27" s="392"/>
      <c r="T27" s="392"/>
      <c r="U27" s="392"/>
    </row>
    <row customHeight="1" ht="14.25">
      <c r="A28" s="609" t="s">
        <v>157</v>
      </c>
      <c r="B28" s="609"/>
      <c r="C28" s="609"/>
      <c r="D28" s="153"/>
      <c r="E28" s="154">
        <f>_xlfn.IFERROR(E82,"")</f>
        <v>18139</v>
      </c>
      <c r="F28" s="155">
        <f>_xlfn.IFERROR(SUM(F30:F32),"")</f>
        <v>13091</v>
      </c>
      <c r="G28" s="154">
        <f>SUM(G30:G32)</f>
        <v>81512</v>
      </c>
      <c r="H28" s="154"/>
      <c r="I28" s="160"/>
      <c r="J28" s="67"/>
      <c r="K28" s="67"/>
      <c r="L28" s="392"/>
      <c r="M28" s="392"/>
      <c r="N28" s="392"/>
      <c r="O28" s="392"/>
      <c r="P28" s="392"/>
      <c r="Q28" s="392"/>
      <c r="R28" s="392"/>
      <c r="S28" s="392"/>
      <c r="T28" s="392"/>
      <c r="U28" s="392"/>
    </row>
    <row customHeight="1" ht="14.25">
      <c r="A29" s="609" t="s">
        <v>158</v>
      </c>
      <c r="B29" s="609"/>
      <c r="C29" s="609"/>
      <c r="D29" s="153"/>
      <c r="E29" s="154"/>
      <c r="F29" s="155"/>
      <c r="G29" s="154"/>
      <c r="H29" s="154"/>
      <c r="I29" s="160"/>
      <c r="J29" s="67"/>
      <c r="K29" s="67"/>
      <c r="L29" s="392"/>
      <c r="M29" s="392"/>
      <c r="N29" s="392"/>
      <c r="O29" s="392"/>
      <c r="P29" s="392"/>
      <c r="Q29" s="392"/>
      <c r="R29" s="392"/>
      <c r="S29" s="392"/>
      <c r="T29" s="392"/>
      <c r="U29" s="392"/>
    </row>
    <row customHeight="1" ht="14.25">
      <c r="A30" s="609" t="s">
        <v>264</v>
      </c>
      <c r="B30" s="609"/>
      <c r="C30" s="609"/>
      <c r="D30" s="153"/>
      <c r="E30" s="154">
        <f>_xlfn.IFERROR(E83,"")</f>
        <v>18139</v>
      </c>
      <c r="F30" s="155">
        <f>_xlfn.IFERROR(F64,"")</f>
        <v>10158</v>
      </c>
      <c r="G30" s="155">
        <f>_xlfn.IFERROR(G67,"")</f>
        <v>74746</v>
      </c>
      <c r="H30" s="101"/>
      <c r="I30" s="160"/>
      <c r="J30" s="67"/>
      <c r="K30" s="67"/>
      <c r="L30" s="392"/>
      <c r="M30" s="392"/>
      <c r="N30" s="392"/>
      <c r="O30" s="392"/>
      <c r="P30" s="392"/>
      <c r="Q30" s="392"/>
      <c r="R30" s="392"/>
      <c r="S30" s="392"/>
      <c r="T30" s="392"/>
      <c r="U30" s="392"/>
    </row>
    <row customHeight="1" ht="14.25">
      <c r="A31" s="609" t="s">
        <v>159</v>
      </c>
      <c r="B31" s="609"/>
      <c r="C31" s="609"/>
      <c r="D31" s="153"/>
      <c r="E31" s="154">
        <f>_xlfn.IFERROR(E84,"")</f>
        <v>0</v>
      </c>
      <c r="F31" s="155">
        <f>_xlfn.IFERROR(F65,"")</f>
        <v>0</v>
      </c>
      <c r="G31" s="155">
        <f>_xlfn.IFERROR(G69,"")</f>
        <v>4132</v>
      </c>
      <c r="H31" s="101"/>
      <c r="I31" s="160"/>
      <c r="J31" s="67"/>
      <c r="K31" s="67"/>
      <c r="L31" s="392"/>
      <c r="M31" s="392"/>
      <c r="N31" s="392"/>
      <c r="O31" s="392"/>
      <c r="P31" s="392"/>
      <c r="Q31" s="392"/>
      <c r="R31" s="392"/>
      <c r="S31" s="392"/>
      <c r="T31" s="392"/>
      <c r="U31" s="392"/>
    </row>
    <row customHeight="1" ht="14.25">
      <c r="A32" s="609" t="s">
        <v>160</v>
      </c>
      <c r="B32" s="609"/>
      <c r="C32" s="609"/>
      <c r="D32" s="153"/>
      <c r="E32" s="101"/>
      <c r="F32" s="155">
        <f>_xlfn.IFERROR(F66,"")</f>
        <v>2933</v>
      </c>
      <c r="G32" s="155">
        <f>_xlfn.IFERROR(G71,"")</f>
        <v>2634</v>
      </c>
      <c r="H32" s="101"/>
      <c r="I32" s="160"/>
      <c r="J32" s="67"/>
      <c r="K32" s="67"/>
      <c r="L32" s="392"/>
      <c r="M32" s="392"/>
      <c r="N32" s="392"/>
      <c r="O32" s="392"/>
      <c r="P32" s="392"/>
      <c r="Q32" s="392"/>
      <c r="R32" s="392"/>
      <c r="S32" s="392"/>
      <c r="T32" s="392"/>
      <c r="U32" s="392"/>
    </row>
    <row customHeight="1" ht="14.25">
      <c r="A33" s="609" t="s">
        <v>265</v>
      </c>
      <c r="B33" s="609"/>
      <c r="C33" s="609"/>
      <c r="D33" s="153"/>
      <c r="E33" s="154">
        <f>_xlfn.IFERROR(E87,"")</f>
        <v>47417</v>
      </c>
      <c r="F33" s="155">
        <f>_xlfn.IFERROR(F90,"")</f>
        <v>5985</v>
      </c>
      <c r="G33" s="155">
        <f>_xlfn.IFERROR(G73,"")</f>
        <v>17391</v>
      </c>
      <c r="H33" s="101"/>
      <c r="I33" s="160"/>
      <c r="J33" s="67"/>
      <c r="K33" s="67"/>
      <c r="L33" s="392"/>
      <c r="M33" s="392"/>
      <c r="N33" s="392"/>
      <c r="O33" s="392"/>
      <c r="P33" s="392"/>
      <c r="Q33" s="392"/>
      <c r="R33" s="392"/>
      <c r="S33" s="392"/>
      <c r="T33" s="392"/>
      <c r="U33" s="392"/>
    </row>
    <row customHeight="1" ht="14.25">
      <c r="A34" s="609" t="s">
        <v>266</v>
      </c>
      <c r="B34" s="609"/>
      <c r="C34" s="609"/>
      <c r="D34" s="153"/>
      <c r="E34" s="154">
        <f>_xlfn.IFERROR(E99,"")</f>
        <v>12610</v>
      </c>
      <c r="F34" s="155">
        <f>_xlfn.IFERROR(F75,"")</f>
        <v>3743</v>
      </c>
      <c r="G34" s="155">
        <f>_xlfn.IFERROR(G56,"")</f>
        <v>13556</v>
      </c>
      <c r="H34" s="101"/>
      <c r="I34" s="160"/>
      <c r="J34" s="67"/>
      <c r="K34" s="67"/>
      <c r="L34" s="392"/>
      <c r="M34" s="392"/>
      <c r="N34" s="392"/>
      <c r="O34" s="392"/>
      <c r="P34" s="392"/>
      <c r="Q34" s="392"/>
      <c r="R34" s="392"/>
      <c r="S34" s="392"/>
      <c r="T34" s="392"/>
      <c r="U34" s="392"/>
    </row>
    <row customHeight="1" ht="14.25">
      <c r="A35" s="609" t="s">
        <v>267</v>
      </c>
      <c r="B35" s="609"/>
      <c r="C35" s="609"/>
      <c r="D35" s="153"/>
      <c r="E35" s="154">
        <f>_xlfn.IFERROR(E103,"")</f>
        <v>1081</v>
      </c>
      <c r="F35" s="155">
        <f>_xlfn.IFERROR(F88,"")</f>
        <v>0</v>
      </c>
      <c r="G35" s="101"/>
      <c r="H35" s="154">
        <f>_xlfn.IFERROR(SUM(H60:H62),"")</f>
        <v>3071</v>
      </c>
      <c r="I35" s="160"/>
      <c r="J35" s="67"/>
      <c r="K35" s="67"/>
      <c r="L35" s="392"/>
      <c r="M35" s="392"/>
      <c r="N35" s="392"/>
      <c r="O35" s="392"/>
      <c r="P35" s="392"/>
      <c r="Q35" s="392"/>
      <c r="R35" s="392"/>
      <c r="S35" s="392"/>
      <c r="T35" s="392"/>
      <c r="U35" s="392"/>
    </row>
    <row customHeight="1" ht="14.25">
      <c r="A36" s="609" t="s">
        <v>268</v>
      </c>
      <c r="B36" s="609"/>
      <c r="C36" s="609"/>
      <c r="D36" s="153"/>
      <c r="E36" s="103"/>
      <c r="F36" s="101"/>
      <c r="G36" s="101"/>
      <c r="H36" s="156">
        <f>H96</f>
        <v>1018</v>
      </c>
      <c r="I36" s="160"/>
      <c r="J36" s="67"/>
      <c r="K36" s="67"/>
      <c r="L36" s="392"/>
      <c r="M36" s="392"/>
      <c r="N36" s="392"/>
      <c r="O36" s="392"/>
      <c r="P36" s="392"/>
      <c r="Q36" s="392"/>
      <c r="R36" s="392"/>
      <c r="S36" s="392"/>
      <c r="T36" s="392"/>
      <c r="U36" s="392"/>
    </row>
    <row customHeight="1" ht="14.25">
      <c r="A37" s="609" t="s">
        <v>269</v>
      </c>
      <c r="B37" s="609"/>
      <c r="C37" s="609"/>
      <c r="D37" s="153"/>
      <c r="E37" s="154">
        <f>_xlfn.IFERROR(E105,"")</f>
        <v>455</v>
      </c>
      <c r="F37" s="101"/>
      <c r="G37" s="101"/>
      <c r="H37" s="156">
        <f>H98</f>
        <v>1354</v>
      </c>
      <c r="I37" s="160"/>
      <c r="J37" s="67"/>
      <c r="K37" s="67"/>
      <c r="L37" s="392"/>
      <c r="M37" s="392"/>
      <c r="N37" s="392"/>
      <c r="O37" s="392"/>
      <c r="P37" s="392"/>
      <c r="Q37" s="392"/>
      <c r="R37" s="392"/>
      <c r="S37" s="392"/>
      <c r="T37" s="392"/>
      <c r="U37" s="392"/>
    </row>
    <row customHeight="1" ht="14.25">
      <c r="A38" s="609" t="s">
        <v>270</v>
      </c>
      <c r="B38" s="609"/>
      <c r="C38" s="609"/>
      <c r="D38" s="153"/>
      <c r="E38" s="67">
        <f>E133</f>
        <v>579</v>
      </c>
      <c r="F38" s="101"/>
      <c r="G38" s="101"/>
      <c r="H38" s="154">
        <f>_xlfn.IFERROR(H72,"")</f>
        <v>597</v>
      </c>
      <c r="I38" s="160"/>
      <c r="J38" s="67"/>
      <c r="K38" s="67"/>
      <c r="L38" s="392"/>
      <c r="M38" s="392"/>
      <c r="N38" s="392"/>
      <c r="O38" s="392"/>
      <c r="P38" s="392"/>
      <c r="Q38" s="392"/>
      <c r="R38" s="392"/>
      <c r="S38" s="392"/>
      <c r="T38" s="392"/>
      <c r="U38" s="392"/>
    </row>
    <row customHeight="1" ht="14.25">
      <c r="A39" s="609" t="s">
        <v>271</v>
      </c>
      <c r="B39" s="609"/>
      <c r="C39" s="609"/>
      <c r="D39" s="153"/>
      <c r="E39" s="154">
        <f>_xlfn.IFERROR(E107,"")</f>
        <v>4002</v>
      </c>
      <c r="F39" s="155">
        <f>_xlfn.IFERROR(F80,"")</f>
        <v>2825</v>
      </c>
      <c r="G39" s="155">
        <f>_xlfn.IFERROR(G61,"")</f>
        <v>3312</v>
      </c>
      <c r="H39" s="154">
        <f>_xlfn.IFERROR(H67,"")</f>
        <v>4402</v>
      </c>
      <c r="I39" s="160"/>
      <c r="J39" s="67"/>
      <c r="K39" s="67"/>
      <c r="L39" s="392"/>
      <c r="M39" s="392"/>
      <c r="N39" s="392"/>
      <c r="O39" s="392"/>
      <c r="P39" s="392"/>
      <c r="Q39" s="392"/>
      <c r="R39" s="392"/>
      <c r="S39" s="392"/>
      <c r="T39" s="392"/>
      <c r="U39" s="392"/>
    </row>
    <row customHeight="1" ht="14.25">
      <c r="A40" s="609" t="s">
        <v>272</v>
      </c>
      <c r="B40" s="609"/>
      <c r="C40" s="609"/>
      <c r="D40" s="153"/>
      <c r="E40" s="154">
        <f>_xlfn.IFERROR(E109,"")</f>
        <v>2052</v>
      </c>
      <c r="F40" s="101"/>
      <c r="G40" s="155">
        <f>_xlfn.IFERROR(G76,"")</f>
        <v>762</v>
      </c>
      <c r="H40" s="154">
        <f>_xlfn.IFERROR(H74,"")</f>
        <v>423</v>
      </c>
      <c r="I40" s="160"/>
      <c r="J40" s="67"/>
      <c r="K40" s="67"/>
      <c r="L40" s="392"/>
      <c r="M40" s="392"/>
      <c r="N40" s="392"/>
      <c r="O40" s="392"/>
      <c r="P40" s="392"/>
      <c r="Q40" s="392"/>
      <c r="R40" s="392"/>
      <c r="S40" s="392"/>
      <c r="T40" s="392"/>
      <c r="U40" s="392"/>
    </row>
    <row customHeight="1" ht="15">
      <c r="A41" s="609" t="s">
        <v>273</v>
      </c>
      <c r="B41" s="609"/>
      <c r="C41" s="609"/>
      <c r="D41" s="153"/>
      <c r="E41" s="101"/>
      <c r="F41" s="155">
        <f>_xlfn.IFERROR(F79,"")</f>
        <v>2670</v>
      </c>
      <c r="G41" s="155">
        <f>_xlfn.IFERROR(G78,"")</f>
        <v>3704</v>
      </c>
      <c r="H41" s="101"/>
      <c r="I41" s="160"/>
      <c r="J41" s="67"/>
      <c r="K41" s="53"/>
      <c r="L41" s="392"/>
      <c r="M41" s="392"/>
      <c r="N41" s="392"/>
      <c r="O41" s="392"/>
      <c r="P41" s="392"/>
      <c r="Q41" s="392"/>
      <c r="R41" s="392"/>
      <c r="S41" s="392"/>
      <c r="T41" s="392"/>
      <c r="U41" s="392"/>
    </row>
    <row customHeight="1" ht="14.25">
      <c r="A42" s="609" t="s">
        <v>274</v>
      </c>
      <c r="B42" s="609"/>
      <c r="C42" s="609"/>
      <c r="D42" s="153"/>
      <c r="E42" s="154">
        <f>_xlfn.IFERROR(E111,"")</f>
        <v>3585</v>
      </c>
      <c r="F42" s="101"/>
      <c r="G42" s="101"/>
      <c r="H42" s="101"/>
      <c r="I42" s="160"/>
      <c r="J42" s="67"/>
      <c r="K42" s="67"/>
      <c r="L42" s="392"/>
      <c r="M42" s="392"/>
      <c r="N42" s="392"/>
      <c r="O42" s="392"/>
      <c r="P42" s="392"/>
      <c r="Q42" s="392"/>
      <c r="R42" s="392"/>
      <c r="S42" s="392"/>
      <c r="T42" s="392"/>
      <c r="U42" s="392"/>
    </row>
    <row customHeight="1" ht="14.25">
      <c r="A43" s="609" t="s">
        <v>275</v>
      </c>
      <c r="B43" s="609"/>
      <c r="C43" s="609"/>
      <c r="D43" s="153"/>
      <c r="E43" s="154">
        <f>_xlfn.IFERROR(E113,"")</f>
        <v>2121</v>
      </c>
      <c r="F43" s="101"/>
      <c r="G43" s="101"/>
      <c r="H43" s="101"/>
      <c r="I43" s="160"/>
      <c r="J43" s="67"/>
      <c r="K43" s="67"/>
      <c r="L43" s="392"/>
      <c r="M43" s="392"/>
      <c r="N43" s="392"/>
      <c r="O43" s="392"/>
      <c r="P43" s="392"/>
      <c r="Q43" s="392"/>
      <c r="R43" s="392"/>
      <c r="S43" s="392"/>
      <c r="T43" s="392"/>
      <c r="U43" s="392"/>
    </row>
    <row customHeight="1" ht="14.25">
      <c r="A44" s="609" t="s">
        <v>276</v>
      </c>
      <c r="B44" s="609"/>
      <c r="C44" s="609"/>
      <c r="D44" s="153"/>
      <c r="E44" s="154">
        <f>_xlfn.IFERROR(E115,"")</f>
        <v>788</v>
      </c>
      <c r="F44" s="101"/>
      <c r="G44" s="101"/>
      <c r="H44" s="101"/>
      <c r="I44" s="160"/>
      <c r="J44" s="67"/>
      <c r="K44" s="67"/>
      <c r="L44" s="392"/>
      <c r="M44" s="392"/>
      <c r="N44" s="392"/>
      <c r="O44" s="392"/>
      <c r="P44" s="392"/>
      <c r="Q44" s="392"/>
      <c r="R44" s="392"/>
      <c r="S44" s="392"/>
      <c r="T44" s="392"/>
      <c r="U44" s="392"/>
    </row>
    <row customHeight="1" ht="14.25">
      <c r="A45" s="609" t="s">
        <v>277</v>
      </c>
      <c r="B45" s="609"/>
      <c r="C45" s="609"/>
      <c r="D45" s="153"/>
      <c r="E45" s="101"/>
      <c r="F45" s="101"/>
      <c r="G45" s="101"/>
      <c r="H45" s="154">
        <f>_xlfn.IFERROR(H76,"")</f>
        <v>7395</v>
      </c>
      <c r="I45" s="160"/>
      <c r="J45" s="67"/>
      <c r="K45" s="67"/>
      <c r="L45" s="392"/>
      <c r="M45" s="392"/>
      <c r="N45" s="392"/>
      <c r="O45" s="392"/>
      <c r="P45" s="392"/>
      <c r="Q45" s="392"/>
      <c r="R45" s="392"/>
      <c r="S45" s="392"/>
      <c r="T45" s="392"/>
      <c r="U45" s="392"/>
    </row>
    <row customHeight="1" ht="14.25">
      <c r="A46" s="609" t="s">
        <v>278</v>
      </c>
      <c r="B46" s="609"/>
      <c r="C46" s="609"/>
      <c r="D46" s="153"/>
      <c r="E46" s="154">
        <f>_xlfn.IFERROR(E117,"")</f>
        <v>1366</v>
      </c>
      <c r="F46" s="155">
        <f>_xlfn.IFERROR(F93,"")</f>
        <v>904</v>
      </c>
      <c r="G46" s="155">
        <f>_xlfn.IFERROR(G54,"")</f>
        <v>4330</v>
      </c>
      <c r="H46" s="101"/>
      <c r="I46" s="160"/>
      <c r="J46" s="67"/>
      <c r="K46" s="67"/>
      <c r="L46" s="392"/>
      <c r="M46" s="392"/>
      <c r="N46" s="392"/>
      <c r="O46" s="392"/>
      <c r="P46" s="392"/>
      <c r="Q46" s="392"/>
      <c r="R46" s="392"/>
      <c r="S46" s="392"/>
      <c r="T46" s="392"/>
      <c r="U46" s="392"/>
    </row>
    <row customHeight="1" ht="14.25">
      <c r="A47" s="609" t="s">
        <v>279</v>
      </c>
      <c r="B47" s="609"/>
      <c r="C47" s="609"/>
      <c r="D47" s="153"/>
      <c r="E47" s="154">
        <f>_xlfn.IFERROR(E119,"")</f>
        <v>138.78</v>
      </c>
      <c r="F47" s="155">
        <f>_xlfn.IFERROR(F68,"")</f>
        <v>123.32</v>
      </c>
      <c r="G47" s="101">
        <f>G96</f>
        <v>45.74</v>
      </c>
      <c r="H47" s="156">
        <f>H100</f>
        <v>0</v>
      </c>
      <c r="I47" s="160"/>
      <c r="J47" s="67"/>
      <c r="K47" s="67"/>
      <c r="L47" s="392"/>
      <c r="M47" s="392"/>
      <c r="N47" s="392"/>
      <c r="O47" s="392"/>
      <c r="P47" s="392"/>
      <c r="Q47" s="392"/>
      <c r="R47" s="392"/>
      <c r="S47" s="392"/>
      <c r="T47" s="392"/>
      <c r="U47" s="392"/>
    </row>
    <row customHeight="1" ht="14.25">
      <c r="A48" s="609" t="s">
        <v>280</v>
      </c>
      <c r="B48" s="609"/>
      <c r="C48" s="609"/>
      <c r="D48" s="153"/>
      <c r="E48" s="101"/>
      <c r="F48" s="101"/>
      <c r="G48" s="101"/>
      <c r="H48" s="154">
        <f>_xlfn.IFERROR(H78,"")</f>
        <v>52</v>
      </c>
      <c r="I48" s="160"/>
      <c r="J48" s="67"/>
      <c r="K48" s="67"/>
      <c r="L48" s="392"/>
      <c r="M48" s="392"/>
      <c r="N48" s="392"/>
      <c r="O48" s="392"/>
      <c r="P48" s="392"/>
      <c r="Q48" s="392"/>
      <c r="R48" s="392"/>
      <c r="S48" s="392"/>
      <c r="T48" s="392"/>
      <c r="U48" s="392"/>
    </row>
    <row customHeight="1" ht="15.75">
      <c r="A49" s="157" t="s">
        <v>59</v>
      </c>
      <c r="B49" s="157"/>
      <c r="C49" s="157"/>
      <c r="D49" s="157"/>
      <c r="E49" s="157"/>
      <c r="F49" s="158" t="s">
        <v>110</v>
      </c>
      <c r="G49" s="157"/>
      <c r="H49" s="158" t="s">
        <v>121</v>
      </c>
      <c r="I49" s="157"/>
      <c r="J49" s="67"/>
      <c r="K49" s="67"/>
      <c r="L49" s="392"/>
      <c r="M49" s="392"/>
      <c r="N49" s="392"/>
      <c r="O49" s="392"/>
      <c r="P49" s="392"/>
      <c r="Q49" s="392"/>
      <c r="R49" s="392"/>
      <c r="S49" s="392"/>
      <c r="T49" s="392"/>
      <c r="U49" s="392"/>
    </row>
    <row customHeight="1" ht="14.25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146"/>
      <c r="M50" s="146"/>
      <c r="N50" s="146"/>
      <c r="O50" s="146"/>
      <c r="P50" s="146"/>
      <c r="Q50" s="146"/>
      <c r="R50" s="146"/>
      <c r="S50" s="146"/>
      <c r="T50" s="146"/>
      <c r="U50" s="146"/>
    </row>
    <row customHeight="1" ht="14.25">
      <c r="A51" s="67"/>
      <c r="B51" s="67"/>
      <c r="C51" s="67"/>
      <c r="D51" s="67"/>
      <c r="E51" s="159">
        <v>68776</v>
      </c>
      <c r="F51" s="159">
        <v>2354</v>
      </c>
      <c r="G51" s="159">
        <v>253649</v>
      </c>
      <c r="H51" s="159">
        <v>8317</v>
      </c>
      <c r="I51" s="67"/>
      <c r="J51" s="67"/>
      <c r="K51" s="67"/>
      <c r="L51" s="146"/>
      <c r="M51" s="146"/>
      <c r="N51" s="146"/>
      <c r="O51" s="146"/>
      <c r="P51" s="146"/>
      <c r="Q51" s="146"/>
      <c r="R51" s="146"/>
      <c r="S51" s="146"/>
      <c r="T51" s="146"/>
      <c r="U51" s="146"/>
    </row>
    <row customHeight="1" ht="14.25">
      <c r="A52" s="67"/>
      <c r="B52" s="67"/>
      <c r="C52" s="67"/>
      <c r="D52" s="67"/>
      <c r="E52" s="159"/>
      <c r="F52" s="159"/>
      <c r="G52" s="67"/>
      <c r="H52" s="67"/>
      <c r="I52" s="67"/>
      <c r="J52" s="67"/>
      <c r="K52" s="67"/>
      <c r="L52" s="146"/>
      <c r="M52" s="146"/>
      <c r="N52" s="146"/>
      <c r="O52" s="146"/>
      <c r="P52" s="146"/>
      <c r="Q52" s="146"/>
      <c r="R52" s="146"/>
      <c r="S52" s="146"/>
      <c r="T52" s="146"/>
      <c r="U52" s="146"/>
    </row>
    <row customHeight="1" ht="14.25">
      <c r="A53" s="67"/>
      <c r="B53" s="67"/>
      <c r="C53" s="67"/>
      <c r="D53" s="67"/>
      <c r="E53" s="67"/>
      <c r="F53" s="159">
        <v>0</v>
      </c>
      <c r="G53" s="159">
        <v>28709</v>
      </c>
      <c r="H53" s="159">
        <v>10165</v>
      </c>
      <c r="I53" s="67"/>
      <c r="J53" s="67"/>
      <c r="K53" s="67"/>
      <c r="L53" s="146"/>
      <c r="M53" s="146"/>
      <c r="N53" s="146"/>
      <c r="O53" s="146"/>
      <c r="P53" s="146"/>
      <c r="Q53" s="146"/>
      <c r="R53" s="146"/>
      <c r="S53" s="146"/>
      <c r="T53" s="146"/>
      <c r="U53" s="146"/>
    </row>
    <row customHeight="1" ht="14.25">
      <c r="A54" s="67"/>
      <c r="B54" s="67"/>
      <c r="C54" s="67"/>
      <c r="D54" s="67"/>
      <c r="E54" s="159">
        <v>44290</v>
      </c>
      <c r="F54" s="159"/>
      <c r="G54" s="159">
        <v>4330</v>
      </c>
      <c r="H54" s="67"/>
      <c r="I54" s="67"/>
      <c r="J54" s="67"/>
      <c r="K54" s="67"/>
      <c r="L54" s="146"/>
      <c r="M54" s="146"/>
      <c r="N54" s="146"/>
      <c r="O54" s="146"/>
      <c r="P54" s="146"/>
      <c r="Q54" s="146"/>
      <c r="R54" s="146"/>
      <c r="S54" s="146"/>
      <c r="T54" s="146"/>
      <c r="U54" s="146"/>
    </row>
    <row customHeight="1" ht="14.25">
      <c r="A55" s="67"/>
      <c r="B55" s="67"/>
      <c r="C55" s="67"/>
      <c r="D55" s="67"/>
      <c r="E55" s="67"/>
      <c r="F55" s="159"/>
      <c r="G55" s="67"/>
      <c r="H55" s="159">
        <v>1559</v>
      </c>
      <c r="I55" s="67"/>
      <c r="J55" s="67"/>
      <c r="K55" s="67"/>
      <c r="L55" s="146"/>
      <c r="M55" s="146"/>
      <c r="N55" s="146"/>
      <c r="O55" s="146"/>
      <c r="P55" s="146"/>
      <c r="Q55" s="146"/>
      <c r="R55" s="146"/>
      <c r="S55" s="146"/>
      <c r="T55" s="146"/>
      <c r="U55" s="146"/>
    </row>
    <row customHeight="1" ht="14.25">
      <c r="A56" s="67"/>
      <c r="B56" s="67"/>
      <c r="C56" s="67"/>
      <c r="D56" s="67"/>
      <c r="E56" s="159">
        <v>6337</v>
      </c>
      <c r="F56" s="617">
        <v>2817</v>
      </c>
      <c r="G56" s="159">
        <v>13556</v>
      </c>
      <c r="H56" s="67"/>
      <c r="I56" s="67"/>
      <c r="J56" s="67"/>
      <c r="K56" s="67"/>
      <c r="L56" s="146"/>
      <c r="M56" s="146"/>
      <c r="N56" s="146"/>
      <c r="O56" s="146"/>
      <c r="P56" s="146"/>
      <c r="Q56" s="146"/>
      <c r="R56" s="146"/>
      <c r="S56" s="146"/>
      <c r="T56" s="146"/>
      <c r="U56" s="146"/>
    </row>
    <row customHeight="1" ht="14.25">
      <c r="A57" s="67"/>
      <c r="B57" s="67"/>
      <c r="C57" s="67"/>
      <c r="D57" s="67"/>
      <c r="E57" s="67"/>
      <c r="F57" s="617"/>
      <c r="G57" s="159">
        <v>5953</v>
      </c>
      <c r="H57" s="159">
        <v>2284</v>
      </c>
      <c r="I57" s="67"/>
      <c r="J57" s="67"/>
      <c r="K57" s="67"/>
      <c r="L57" s="146"/>
      <c r="M57" s="146"/>
      <c r="N57" s="146"/>
      <c r="O57" s="146"/>
      <c r="P57" s="146"/>
      <c r="Q57" s="146"/>
      <c r="R57" s="146"/>
      <c r="S57" s="146"/>
      <c r="T57" s="146"/>
      <c r="U57" s="146"/>
    </row>
    <row customHeight="1" ht="14.25">
      <c r="A58" s="67"/>
      <c r="B58" s="67"/>
      <c r="C58" s="67"/>
      <c r="D58" s="67"/>
      <c r="E58" s="159"/>
      <c r="F58" s="617">
        <v>5727</v>
      </c>
      <c r="G58" s="67"/>
      <c r="H58" s="67"/>
      <c r="I58" s="67"/>
      <c r="J58" s="67"/>
      <c r="K58" s="67"/>
      <c r="L58" s="146"/>
      <c r="M58" s="146"/>
      <c r="N58" s="146"/>
      <c r="O58" s="146"/>
      <c r="P58" s="146"/>
      <c r="Q58" s="146"/>
      <c r="R58" s="146"/>
      <c r="S58" s="146"/>
      <c r="T58" s="146"/>
      <c r="U58" s="146"/>
    </row>
    <row customHeight="1" ht="14.25">
      <c r="A59" s="67"/>
      <c r="B59" s="67"/>
      <c r="C59" s="67"/>
      <c r="D59" s="67"/>
      <c r="E59" s="67"/>
      <c r="F59" s="617"/>
      <c r="G59" s="159">
        <v>1174</v>
      </c>
      <c r="H59" s="159"/>
      <c r="I59" s="67"/>
      <c r="J59" s="67"/>
      <c r="K59" s="67"/>
      <c r="L59" s="146"/>
      <c r="M59" s="146"/>
      <c r="N59" s="146"/>
      <c r="O59" s="146"/>
      <c r="P59" s="146"/>
      <c r="Q59" s="146"/>
      <c r="R59" s="146"/>
      <c r="S59" s="146"/>
      <c r="T59" s="146"/>
      <c r="U59" s="146"/>
    </row>
    <row customHeight="1" ht="14.25">
      <c r="A60" s="67"/>
      <c r="B60" s="67"/>
      <c r="C60" s="67"/>
      <c r="D60" s="67"/>
      <c r="E60" s="159">
        <v>5143</v>
      </c>
      <c r="F60" s="159"/>
      <c r="G60" s="67"/>
      <c r="H60" s="67">
        <v>699</v>
      </c>
      <c r="I60" s="67"/>
      <c r="J60" s="67"/>
      <c r="K60" s="67"/>
      <c r="L60" s="146"/>
      <c r="M60" s="146"/>
      <c r="N60" s="146"/>
      <c r="O60" s="146"/>
      <c r="P60" s="146"/>
      <c r="Q60" s="146"/>
      <c r="R60" s="146"/>
      <c r="S60" s="146"/>
      <c r="T60" s="146"/>
      <c r="U60" s="146"/>
    </row>
    <row customHeight="1" ht="14.25">
      <c r="A61" s="67"/>
      <c r="B61" s="67"/>
      <c r="C61" s="67"/>
      <c r="D61" s="67"/>
      <c r="E61" s="67"/>
      <c r="F61" s="159"/>
      <c r="G61" s="159">
        <v>3312</v>
      </c>
      <c r="H61" s="159">
        <v>1018</v>
      </c>
      <c r="I61" s="67"/>
      <c r="J61" s="67"/>
      <c r="K61" s="67"/>
      <c r="L61" s="146"/>
      <c r="M61" s="146"/>
      <c r="N61" s="146"/>
      <c r="O61" s="146"/>
      <c r="P61" s="146"/>
      <c r="Q61" s="146"/>
      <c r="R61" s="146"/>
      <c r="S61" s="146"/>
      <c r="T61" s="146"/>
      <c r="U61" s="146"/>
    </row>
    <row customHeight="1" ht="14.25">
      <c r="A62" s="67"/>
      <c r="B62" s="67"/>
      <c r="C62" s="67"/>
      <c r="D62" s="67"/>
      <c r="E62" s="159">
        <v>1786</v>
      </c>
      <c r="F62" s="159">
        <v>2360</v>
      </c>
      <c r="G62" s="67"/>
      <c r="H62" s="159">
        <v>1354</v>
      </c>
      <c r="I62" s="67"/>
      <c r="J62" s="67"/>
      <c r="K62" s="67"/>
      <c r="L62" s="146"/>
      <c r="M62" s="146"/>
      <c r="N62" s="146"/>
      <c r="O62" s="146"/>
      <c r="P62" s="146"/>
      <c r="Q62" s="146"/>
      <c r="R62" s="146"/>
      <c r="S62" s="146"/>
      <c r="T62" s="146"/>
      <c r="U62" s="146"/>
    </row>
    <row customHeight="1" ht="14.25">
      <c r="A63" s="67"/>
      <c r="B63" s="67"/>
      <c r="C63" s="67"/>
      <c r="D63" s="67"/>
      <c r="E63" s="67"/>
      <c r="F63" s="159">
        <v>6820</v>
      </c>
      <c r="G63" s="159">
        <v>66749</v>
      </c>
      <c r="H63" s="159"/>
      <c r="I63" s="67"/>
      <c r="J63" s="67"/>
      <c r="K63" s="67"/>
      <c r="L63" s="146"/>
      <c r="M63" s="146"/>
      <c r="N63" s="146"/>
      <c r="O63" s="146"/>
      <c r="P63" s="146"/>
      <c r="Q63" s="146"/>
      <c r="R63" s="146"/>
      <c r="S63" s="146"/>
      <c r="T63" s="146"/>
      <c r="U63" s="146"/>
    </row>
    <row customHeight="1" ht="14.25">
      <c r="A64" s="67"/>
      <c r="B64" s="67"/>
      <c r="C64" s="67"/>
      <c r="D64" s="67"/>
      <c r="E64" s="159">
        <v>1364</v>
      </c>
      <c r="F64" s="159">
        <v>10158</v>
      </c>
      <c r="G64" s="67"/>
      <c r="H64" s="159"/>
      <c r="I64" s="67"/>
      <c r="J64" s="67"/>
      <c r="K64" s="67"/>
      <c r="L64" s="146"/>
      <c r="M64" s="146"/>
      <c r="N64" s="146"/>
      <c r="O64" s="146"/>
      <c r="P64" s="146"/>
      <c r="Q64" s="146"/>
      <c r="R64" s="146"/>
      <c r="S64" s="146"/>
      <c r="T64" s="146"/>
      <c r="U64" s="146"/>
    </row>
    <row customHeight="1" ht="14.25">
      <c r="A65" s="67"/>
      <c r="B65" s="67"/>
      <c r="C65" s="67"/>
      <c r="D65" s="67"/>
      <c r="E65" s="67"/>
      <c r="F65" s="159">
        <v>0</v>
      </c>
      <c r="G65" s="159">
        <v>5488</v>
      </c>
      <c r="H65" s="159">
        <v>4455</v>
      </c>
      <c r="I65" s="67"/>
      <c r="J65" s="67"/>
      <c r="K65" s="67"/>
      <c r="L65" s="146"/>
      <c r="M65" s="146"/>
      <c r="N65" s="146"/>
      <c r="O65" s="146"/>
      <c r="P65" s="146"/>
      <c r="Q65" s="146"/>
      <c r="R65" s="146"/>
      <c r="S65" s="146"/>
      <c r="T65" s="146"/>
      <c r="U65" s="146"/>
    </row>
    <row customHeight="1" ht="14.25">
      <c r="A66" s="67"/>
      <c r="B66" s="67"/>
      <c r="C66" s="67"/>
      <c r="D66" s="67"/>
      <c r="E66" s="159">
        <v>3269</v>
      </c>
      <c r="F66" s="159">
        <v>2933</v>
      </c>
      <c r="G66" s="67"/>
      <c r="H66" s="67"/>
      <c r="I66" s="67"/>
      <c r="J66" s="67"/>
      <c r="K66" s="67"/>
      <c r="L66" s="146"/>
      <c r="M66" s="146"/>
      <c r="N66" s="146"/>
      <c r="O66" s="146"/>
      <c r="P66" s="146"/>
      <c r="Q66" s="146"/>
      <c r="R66" s="146"/>
      <c r="S66" s="146"/>
      <c r="T66" s="146"/>
      <c r="U66" s="146"/>
    </row>
    <row customHeight="1" ht="12.75">
      <c r="A67" s="67"/>
      <c r="B67" s="67"/>
      <c r="C67" s="67"/>
      <c r="D67" s="67"/>
      <c r="E67" s="67"/>
      <c r="F67" s="159"/>
      <c r="G67" s="159">
        <v>74746</v>
      </c>
      <c r="H67" s="159">
        <v>4402</v>
      </c>
      <c r="I67" s="67"/>
      <c r="J67" s="67"/>
      <c r="K67" s="67"/>
      <c r="L67" s="146"/>
      <c r="M67" s="146"/>
      <c r="N67" s="146"/>
      <c r="O67" s="146"/>
      <c r="P67" s="146"/>
      <c r="Q67" s="146"/>
      <c r="R67" s="146"/>
      <c r="S67" s="146"/>
      <c r="T67" s="146"/>
      <c r="U67" s="146"/>
    </row>
    <row customHeight="1" ht="14.25">
      <c r="A68" s="67"/>
      <c r="B68" s="67"/>
      <c r="C68" s="67"/>
      <c r="D68" s="67"/>
      <c r="E68" s="159">
        <v>1142</v>
      </c>
      <c r="F68" s="159">
        <v>123.32</v>
      </c>
      <c r="G68" s="67"/>
      <c r="H68" s="67"/>
      <c r="I68" s="67"/>
      <c r="J68" s="67"/>
      <c r="K68" s="67"/>
      <c r="L68" s="146"/>
      <c r="M68" s="146"/>
      <c r="N68" s="146"/>
      <c r="O68" s="146"/>
      <c r="P68" s="146"/>
      <c r="Q68" s="146"/>
      <c r="R68" s="146"/>
      <c r="S68" s="146"/>
      <c r="T68" s="146"/>
      <c r="U68" s="146"/>
    </row>
    <row customHeight="1" ht="14.25">
      <c r="A69" s="67"/>
      <c r="B69" s="67"/>
      <c r="C69" s="67"/>
      <c r="D69" s="67"/>
      <c r="E69" s="67"/>
      <c r="F69" s="159">
        <v>12261</v>
      </c>
      <c r="G69" s="159">
        <v>4132</v>
      </c>
      <c r="H69" s="159"/>
      <c r="I69" s="67"/>
      <c r="J69" s="67"/>
      <c r="K69" s="67"/>
      <c r="L69" s="146"/>
      <c r="M69" s="146"/>
      <c r="N69" s="146"/>
      <c r="O69" s="146"/>
      <c r="P69" s="146"/>
      <c r="Q69" s="146"/>
      <c r="R69" s="146"/>
      <c r="S69" s="146"/>
      <c r="T69" s="146"/>
      <c r="U69" s="146"/>
    </row>
    <row customHeight="1" ht="14.25">
      <c r="A70" s="67"/>
      <c r="B70" s="67"/>
      <c r="C70" s="67"/>
      <c r="D70" s="67"/>
      <c r="E70" s="159">
        <v>116</v>
      </c>
      <c r="F70" s="159"/>
      <c r="G70" s="67"/>
      <c r="H70" s="159"/>
      <c r="I70" s="67"/>
      <c r="J70" s="67"/>
      <c r="K70" s="67"/>
      <c r="L70" s="146"/>
      <c r="M70" s="146"/>
      <c r="N70" s="146"/>
      <c r="O70" s="146"/>
      <c r="P70" s="146"/>
      <c r="Q70" s="146"/>
      <c r="R70" s="146"/>
      <c r="S70" s="146"/>
      <c r="T70" s="146"/>
      <c r="U70" s="146"/>
    </row>
    <row customHeight="1" ht="14.25">
      <c r="A71" s="67"/>
      <c r="B71" s="67"/>
      <c r="C71" s="67"/>
      <c r="D71" s="67"/>
      <c r="E71" s="67"/>
      <c r="F71" s="159">
        <v>2817</v>
      </c>
      <c r="G71" s="159">
        <v>2634</v>
      </c>
      <c r="H71" s="67"/>
      <c r="I71" s="67"/>
      <c r="J71" s="67"/>
      <c r="K71" s="67"/>
      <c r="L71" s="146"/>
      <c r="M71" s="146"/>
      <c r="N71" s="146"/>
      <c r="O71" s="146"/>
      <c r="P71" s="146"/>
      <c r="Q71" s="146"/>
      <c r="R71" s="146"/>
      <c r="S71" s="146"/>
      <c r="T71" s="146"/>
      <c r="U71" s="146"/>
    </row>
    <row customHeight="1" ht="14.25">
      <c r="A72" s="67"/>
      <c r="B72" s="67"/>
      <c r="C72" s="67"/>
      <c r="D72" s="67"/>
      <c r="E72" s="159">
        <v>962</v>
      </c>
      <c r="F72" s="159"/>
      <c r="G72" s="67"/>
      <c r="H72" s="159">
        <v>597</v>
      </c>
      <c r="I72" s="67"/>
      <c r="J72" s="67"/>
      <c r="K72" s="67"/>
      <c r="L72" s="146"/>
      <c r="M72" s="146"/>
      <c r="N72" s="146"/>
      <c r="O72" s="146"/>
      <c r="P72" s="146"/>
      <c r="Q72" s="146"/>
      <c r="R72" s="146"/>
      <c r="S72" s="146"/>
      <c r="T72" s="146"/>
      <c r="U72" s="146"/>
    </row>
    <row customHeight="1" ht="14.25">
      <c r="A73" s="67"/>
      <c r="B73" s="67"/>
      <c r="C73" s="67"/>
      <c r="D73" s="67"/>
      <c r="E73" s="67"/>
      <c r="F73" s="159"/>
      <c r="G73" s="159">
        <v>17391</v>
      </c>
      <c r="H73" s="67"/>
      <c r="I73" s="67"/>
      <c r="J73" s="67"/>
      <c r="K73" s="67"/>
      <c r="L73" s="146"/>
      <c r="M73" s="146"/>
      <c r="N73" s="146"/>
      <c r="O73" s="146"/>
      <c r="P73" s="146"/>
      <c r="Q73" s="146"/>
      <c r="R73" s="146"/>
      <c r="S73" s="146"/>
      <c r="T73" s="146"/>
      <c r="U73" s="146"/>
    </row>
    <row customHeight="1" ht="14.25">
      <c r="A74" s="67"/>
      <c r="B74" s="67"/>
      <c r="C74" s="67"/>
      <c r="D74" s="67"/>
      <c r="E74" s="159">
        <v>778</v>
      </c>
      <c r="F74" s="159"/>
      <c r="G74" s="159"/>
      <c r="H74" s="159">
        <v>423</v>
      </c>
      <c r="I74" s="67"/>
      <c r="J74" s="67"/>
      <c r="K74" s="67"/>
      <c r="L74" s="146"/>
      <c r="M74" s="146"/>
      <c r="N74" s="146"/>
      <c r="O74" s="146"/>
      <c r="P74" s="146"/>
      <c r="Q74" s="146"/>
      <c r="R74" s="146"/>
      <c r="S74" s="146"/>
      <c r="T74" s="146"/>
      <c r="U74" s="146"/>
    </row>
    <row customHeight="1" ht="14.25">
      <c r="A75" s="67"/>
      <c r="B75" s="67"/>
      <c r="C75" s="67"/>
      <c r="D75" s="67"/>
      <c r="E75" s="67"/>
      <c r="F75" s="159">
        <v>3743</v>
      </c>
      <c r="G75" s="67"/>
      <c r="H75" s="67"/>
      <c r="I75" s="67"/>
      <c r="J75" s="67"/>
      <c r="K75" s="67"/>
      <c r="L75" s="146"/>
      <c r="M75" s="146"/>
      <c r="N75" s="146"/>
      <c r="O75" s="146"/>
      <c r="P75" s="146"/>
      <c r="Q75" s="146"/>
      <c r="R75" s="146"/>
      <c r="S75" s="146"/>
      <c r="T75" s="146"/>
      <c r="U75" s="146"/>
    </row>
    <row customHeight="1" ht="14.25">
      <c r="A76" s="67"/>
      <c r="B76" s="67"/>
      <c r="C76" s="67"/>
      <c r="D76" s="67"/>
      <c r="E76" s="159">
        <v>455</v>
      </c>
      <c r="F76" s="159"/>
      <c r="G76" s="159">
        <v>762</v>
      </c>
      <c r="H76" s="159">
        <v>7395</v>
      </c>
      <c r="I76" s="67"/>
      <c r="J76" s="67"/>
      <c r="K76" s="67"/>
      <c r="L76" s="146"/>
      <c r="M76" s="146"/>
      <c r="N76" s="146"/>
      <c r="O76" s="146"/>
      <c r="P76" s="146"/>
      <c r="Q76" s="146"/>
      <c r="R76" s="146"/>
      <c r="S76" s="146"/>
      <c r="T76" s="146"/>
      <c r="U76" s="146"/>
    </row>
    <row customHeight="1" ht="14.25">
      <c r="A77" s="67"/>
      <c r="B77" s="67"/>
      <c r="C77" s="67"/>
      <c r="D77" s="67"/>
      <c r="E77" s="67"/>
      <c r="F77" s="159"/>
      <c r="G77" s="67"/>
      <c r="H77" s="67"/>
      <c r="I77" s="67"/>
      <c r="J77" s="67"/>
      <c r="K77" s="67"/>
      <c r="L77" s="146"/>
      <c r="M77" s="146"/>
      <c r="N77" s="146"/>
      <c r="O77" s="146"/>
      <c r="P77" s="146"/>
      <c r="Q77" s="146"/>
      <c r="R77" s="146"/>
      <c r="S77" s="146"/>
      <c r="T77" s="146"/>
      <c r="U77" s="146"/>
    </row>
    <row customHeight="1" ht="14.25">
      <c r="A78" s="67"/>
      <c r="B78" s="67"/>
      <c r="C78" s="67"/>
      <c r="D78" s="67"/>
      <c r="E78" s="159">
        <v>10543</v>
      </c>
      <c r="F78" s="159"/>
      <c r="G78" s="159">
        <v>3704</v>
      </c>
      <c r="H78" s="159">
        <v>52</v>
      </c>
      <c r="I78" s="67"/>
      <c r="J78" s="67"/>
      <c r="K78" s="67"/>
      <c r="L78" s="146"/>
      <c r="M78" s="146"/>
      <c r="N78" s="146"/>
      <c r="O78" s="146"/>
      <c r="P78" s="146"/>
      <c r="Q78" s="146"/>
      <c r="R78" s="146"/>
      <c r="S78" s="146"/>
      <c r="T78" s="146"/>
      <c r="U78" s="146"/>
    </row>
    <row customHeight="1" ht="14.25">
      <c r="A79" s="67"/>
      <c r="B79" s="67"/>
      <c r="C79" s="67"/>
      <c r="D79" s="67"/>
      <c r="E79" s="159">
        <v>1394</v>
      </c>
      <c r="F79" s="159">
        <v>2670</v>
      </c>
      <c r="G79" s="159">
        <v>19080</v>
      </c>
      <c r="H79" s="67"/>
      <c r="I79" s="67"/>
      <c r="J79" s="67"/>
      <c r="K79" s="67"/>
      <c r="L79" s="146"/>
      <c r="M79" s="146"/>
      <c r="N79" s="146"/>
      <c r="O79" s="146"/>
      <c r="P79" s="146"/>
      <c r="Q79" s="146"/>
      <c r="R79" s="146"/>
      <c r="S79" s="146"/>
      <c r="T79" s="146"/>
      <c r="U79" s="146"/>
    </row>
    <row customHeight="1" ht="14.25">
      <c r="A80" s="67"/>
      <c r="B80" s="67"/>
      <c r="C80" s="67"/>
      <c r="D80" s="67"/>
      <c r="E80" s="159">
        <v>9149</v>
      </c>
      <c r="F80" s="159">
        <v>2825</v>
      </c>
      <c r="G80" s="159"/>
      <c r="H80" s="159"/>
      <c r="I80" s="67"/>
      <c r="J80" s="67"/>
      <c r="K80" s="67"/>
      <c r="L80" s="146"/>
      <c r="M80" s="146"/>
      <c r="N80" s="146"/>
      <c r="O80" s="146"/>
      <c r="P80" s="146"/>
      <c r="Q80" s="146"/>
      <c r="R80" s="146"/>
      <c r="S80" s="146"/>
      <c r="T80" s="146"/>
      <c r="U80" s="146"/>
    </row>
    <row customHeight="1" ht="14.25">
      <c r="A81" s="67"/>
      <c r="B81" s="67"/>
      <c r="C81" s="67"/>
      <c r="D81" s="67"/>
      <c r="E81" s="67"/>
      <c r="F81" s="159"/>
      <c r="G81" s="159"/>
      <c r="H81" s="67"/>
      <c r="I81" s="67"/>
      <c r="J81" s="67"/>
      <c r="K81" s="67"/>
      <c r="L81" s="146"/>
      <c r="M81" s="146"/>
      <c r="N81" s="146"/>
      <c r="O81" s="146"/>
      <c r="P81" s="146"/>
      <c r="Q81" s="146"/>
      <c r="R81" s="146"/>
      <c r="S81" s="146"/>
      <c r="T81" s="146"/>
      <c r="U81" s="146"/>
    </row>
    <row customHeight="1" ht="14.25">
      <c r="A82" s="67"/>
      <c r="B82" s="67"/>
      <c r="C82" s="67"/>
      <c r="D82" s="67"/>
      <c r="E82" s="159">
        <v>18139</v>
      </c>
      <c r="F82" s="159"/>
      <c r="G82" s="67"/>
      <c r="H82" s="67"/>
      <c r="I82" s="67"/>
      <c r="J82" s="67"/>
      <c r="K82" s="67"/>
      <c r="L82" s="146"/>
      <c r="M82" s="146"/>
      <c r="N82" s="146"/>
      <c r="O82" s="146"/>
      <c r="P82" s="146"/>
      <c r="Q82" s="146"/>
      <c r="R82" s="146"/>
      <c r="S82" s="146"/>
      <c r="T82" s="146"/>
      <c r="U82" s="146"/>
    </row>
    <row customHeight="1" ht="14.25">
      <c r="A83" s="67"/>
      <c r="B83" s="67"/>
      <c r="C83" s="67"/>
      <c r="D83" s="67"/>
      <c r="E83" s="159">
        <v>18139</v>
      </c>
      <c r="F83" s="159"/>
      <c r="G83" s="159"/>
      <c r="H83" s="67"/>
      <c r="I83" s="67"/>
      <c r="J83" s="67"/>
      <c r="K83" s="67"/>
      <c r="L83" s="146"/>
      <c r="M83" s="146"/>
      <c r="N83" s="146"/>
      <c r="O83" s="146"/>
      <c r="P83" s="146"/>
      <c r="Q83" s="146"/>
      <c r="R83" s="146"/>
      <c r="S83" s="146"/>
      <c r="T83" s="146"/>
      <c r="U83" s="146"/>
    </row>
    <row customHeight="1" ht="14.25">
      <c r="A84" s="67"/>
      <c r="B84" s="67"/>
      <c r="C84" s="67"/>
      <c r="D84" s="67"/>
      <c r="E84" s="159">
        <v>0</v>
      </c>
      <c r="F84" s="53"/>
      <c r="G84" s="67"/>
      <c r="H84" s="67"/>
      <c r="I84" s="67"/>
      <c r="J84" s="67"/>
      <c r="K84" s="67"/>
      <c r="L84" s="146"/>
      <c r="M84" s="146"/>
      <c r="N84" s="146"/>
      <c r="O84" s="146"/>
      <c r="P84" s="146"/>
      <c r="Q84" s="146"/>
      <c r="R84" s="146"/>
      <c r="S84" s="146"/>
      <c r="T84" s="146"/>
      <c r="U84" s="146"/>
    </row>
    <row customHeight="1" ht="14.25">
      <c r="A85" s="67"/>
      <c r="B85" s="67"/>
      <c r="C85" s="67"/>
      <c r="D85" s="67"/>
      <c r="E85" s="159"/>
      <c r="F85" s="159">
        <v>859</v>
      </c>
      <c r="G85" s="159"/>
      <c r="H85" s="154">
        <v>1891</v>
      </c>
      <c r="I85" s="67"/>
      <c r="J85" s="67"/>
      <c r="K85" s="67"/>
      <c r="L85" s="146"/>
      <c r="M85" s="146"/>
      <c r="N85" s="146"/>
      <c r="O85" s="146"/>
      <c r="P85" s="146"/>
      <c r="Q85" s="146"/>
      <c r="R85" s="146"/>
      <c r="S85" s="146"/>
      <c r="T85" s="146"/>
      <c r="U85" s="146"/>
    </row>
    <row customHeight="1" ht="14.25">
      <c r="A86" s="67"/>
      <c r="B86" s="67"/>
      <c r="C86" s="67"/>
      <c r="D86" s="67"/>
      <c r="E86" s="67"/>
      <c r="F86" s="159">
        <v>6448</v>
      </c>
      <c r="G86" s="67"/>
      <c r="H86" s="67"/>
      <c r="I86" s="67"/>
      <c r="J86" s="67"/>
      <c r="K86" s="67"/>
      <c r="L86" s="146"/>
      <c r="M86" s="146"/>
      <c r="N86" s="146"/>
      <c r="O86" s="146"/>
      <c r="P86" s="146"/>
      <c r="Q86" s="146"/>
      <c r="R86" s="146"/>
      <c r="S86" s="146"/>
      <c r="T86" s="146"/>
      <c r="U86" s="146"/>
    </row>
    <row customHeight="1" ht="14.25">
      <c r="A87" s="67"/>
      <c r="B87" s="67"/>
      <c r="C87" s="67"/>
      <c r="D87" s="67"/>
      <c r="E87" s="159">
        <v>47417</v>
      </c>
      <c r="F87" s="159"/>
      <c r="G87" s="67"/>
      <c r="H87" s="154">
        <v>693</v>
      </c>
      <c r="I87" s="67"/>
      <c r="J87" s="67"/>
      <c r="K87" s="67"/>
      <c r="L87" s="146"/>
      <c r="M87" s="146"/>
      <c r="N87" s="146"/>
      <c r="O87" s="146"/>
      <c r="P87" s="146"/>
      <c r="Q87" s="146"/>
      <c r="R87" s="146"/>
      <c r="S87" s="146"/>
      <c r="T87" s="146"/>
      <c r="U87" s="146"/>
    </row>
    <row customHeight="1" ht="14.25">
      <c r="A88" s="67"/>
      <c r="B88" s="67"/>
      <c r="C88" s="67"/>
      <c r="D88" s="67"/>
      <c r="E88" s="159"/>
      <c r="F88" s="159">
        <v>0</v>
      </c>
      <c r="G88" s="67"/>
      <c r="H88" s="67"/>
      <c r="I88" s="67"/>
      <c r="J88" s="67"/>
      <c r="K88" s="67"/>
      <c r="L88" s="146"/>
      <c r="M88" s="146"/>
      <c r="N88" s="146"/>
      <c r="O88" s="146"/>
      <c r="P88" s="146"/>
      <c r="Q88" s="146"/>
      <c r="R88" s="146"/>
      <c r="S88" s="146"/>
      <c r="T88" s="146"/>
      <c r="U88" s="146"/>
    </row>
    <row customHeight="1" ht="14.25">
      <c r="A89" s="67"/>
      <c r="B89" s="67"/>
      <c r="C89" s="67"/>
      <c r="D89" s="67"/>
      <c r="E89" s="159"/>
      <c r="F89" s="159"/>
      <c r="G89" s="67"/>
      <c r="H89" s="101">
        <v>1354</v>
      </c>
      <c r="I89" s="67"/>
      <c r="J89" s="67"/>
      <c r="K89" s="67"/>
      <c r="L89" s="146"/>
      <c r="M89" s="146"/>
      <c r="N89" s="146"/>
      <c r="O89" s="146"/>
      <c r="P89" s="146"/>
      <c r="Q89" s="146"/>
      <c r="R89" s="146"/>
      <c r="S89" s="146"/>
      <c r="T89" s="146"/>
      <c r="U89" s="146"/>
    </row>
    <row customHeight="1" ht="14.25">
      <c r="A90" s="67"/>
      <c r="B90" s="67"/>
      <c r="C90" s="67"/>
      <c r="D90" s="67"/>
      <c r="E90" s="159"/>
      <c r="F90" s="159">
        <v>5985</v>
      </c>
      <c r="G90" s="67"/>
      <c r="H90" s="67"/>
      <c r="I90" s="67"/>
      <c r="J90" s="67"/>
      <c r="K90" s="67"/>
      <c r="L90" s="146"/>
      <c r="M90" s="146"/>
      <c r="N90" s="146"/>
      <c r="O90" s="146"/>
      <c r="P90" s="146"/>
      <c r="Q90" s="146"/>
      <c r="R90" s="146"/>
      <c r="S90" s="146"/>
      <c r="T90" s="146"/>
      <c r="U90" s="146"/>
    </row>
    <row customHeight="1" ht="14.25">
      <c r="A91" s="67"/>
      <c r="B91" s="67"/>
      <c r="C91" s="67"/>
      <c r="D91" s="67"/>
      <c r="E91" s="159"/>
      <c r="F91" s="159"/>
      <c r="G91" s="67"/>
      <c r="H91" s="67"/>
      <c r="I91" s="67"/>
      <c r="J91" s="67"/>
      <c r="K91" s="67"/>
      <c r="L91" s="146"/>
      <c r="M91" s="146"/>
      <c r="N91" s="146"/>
      <c r="O91" s="146"/>
      <c r="P91" s="146"/>
      <c r="Q91" s="146"/>
      <c r="R91" s="146"/>
      <c r="S91" s="146"/>
      <c r="T91" s="146"/>
      <c r="U91" s="146"/>
    </row>
    <row customHeight="1" ht="14.25">
      <c r="A92" s="67"/>
      <c r="B92" s="67"/>
      <c r="C92" s="67"/>
      <c r="D92" s="67"/>
      <c r="E92" s="159"/>
      <c r="F92" s="67"/>
      <c r="G92" s="67">
        <v>21660</v>
      </c>
      <c r="H92" s="67"/>
      <c r="I92" s="67"/>
      <c r="J92" s="67"/>
      <c r="K92" s="67"/>
      <c r="L92" s="146"/>
      <c r="M92" s="146"/>
      <c r="N92" s="146"/>
      <c r="O92" s="146"/>
      <c r="P92" s="146"/>
      <c r="Q92" s="146"/>
      <c r="R92" s="146"/>
      <c r="S92" s="146"/>
      <c r="T92" s="146"/>
      <c r="U92" s="146"/>
    </row>
    <row customHeight="1" ht="14.25">
      <c r="A93" s="67"/>
      <c r="B93" s="67"/>
      <c r="C93" s="67"/>
      <c r="D93" s="67"/>
      <c r="E93" s="159"/>
      <c r="F93" s="159">
        <v>904</v>
      </c>
      <c r="G93" s="67"/>
      <c r="H93" s="67"/>
      <c r="I93" s="67"/>
      <c r="J93" s="67"/>
      <c r="K93" s="67"/>
      <c r="L93" s="146"/>
      <c r="M93" s="146"/>
      <c r="N93" s="146"/>
      <c r="O93" s="146"/>
      <c r="P93" s="146"/>
      <c r="Q93" s="146"/>
      <c r="R93" s="146"/>
      <c r="S93" s="146"/>
      <c r="T93" s="146"/>
      <c r="U93" s="146"/>
    </row>
    <row customHeight="1" ht="14.25">
      <c r="A94" s="67"/>
      <c r="B94" s="67"/>
      <c r="C94" s="67"/>
      <c r="D94" s="67"/>
      <c r="E94" s="159"/>
      <c r="F94" s="159"/>
      <c r="G94" s="67">
        <v>19080</v>
      </c>
      <c r="H94" s="67"/>
      <c r="I94" s="67"/>
      <c r="J94" s="67"/>
      <c r="K94" s="67"/>
      <c r="L94" s="146"/>
      <c r="M94" s="146"/>
      <c r="N94" s="146"/>
      <c r="O94" s="146"/>
      <c r="P94" s="146"/>
      <c r="Q94" s="146"/>
      <c r="R94" s="146"/>
      <c r="S94" s="146"/>
      <c r="T94" s="146"/>
      <c r="U94" s="146"/>
    </row>
    <row customHeight="1" ht="14.25">
      <c r="A95" s="67"/>
      <c r="B95" s="67"/>
      <c r="C95" s="67"/>
      <c r="D95" s="67"/>
      <c r="E95" s="159"/>
      <c r="F95" s="67"/>
      <c r="G95" s="67"/>
      <c r="H95" s="67"/>
      <c r="I95" s="67"/>
      <c r="J95" s="67"/>
      <c r="K95" s="67"/>
      <c r="L95" s="146"/>
      <c r="M95" s="146"/>
      <c r="N95" s="146"/>
      <c r="O95" s="146"/>
      <c r="P95" s="146"/>
      <c r="Q95" s="146"/>
      <c r="R95" s="146"/>
      <c r="S95" s="146"/>
      <c r="T95" s="146"/>
      <c r="U95" s="146"/>
    </row>
    <row customHeight="1" ht="14.25">
      <c r="A96" s="67"/>
      <c r="B96" s="67"/>
      <c r="C96" s="67"/>
      <c r="D96" s="67"/>
      <c r="E96" s="159"/>
      <c r="F96" s="159"/>
      <c r="G96" s="67">
        <v>45.74</v>
      </c>
      <c r="H96" s="101">
        <v>1018</v>
      </c>
      <c r="I96" s="67"/>
      <c r="J96" s="67"/>
      <c r="K96" s="67"/>
      <c r="L96" s="146"/>
      <c r="M96" s="146"/>
      <c r="N96" s="146"/>
      <c r="O96" s="146"/>
      <c r="P96" s="146"/>
      <c r="Q96" s="146"/>
      <c r="R96" s="146"/>
      <c r="S96" s="146"/>
      <c r="T96" s="146"/>
      <c r="U96" s="146"/>
    </row>
    <row customHeight="1" ht="14.25">
      <c r="A97" s="67"/>
      <c r="B97" s="67"/>
      <c r="C97" s="67"/>
      <c r="D97" s="67"/>
      <c r="E97" s="159"/>
      <c r="F97" s="67"/>
      <c r="G97" s="67"/>
      <c r="H97" s="67"/>
      <c r="I97" s="67"/>
      <c r="J97" s="67"/>
      <c r="K97" s="67"/>
      <c r="L97" s="146"/>
      <c r="M97" s="146"/>
      <c r="N97" s="146"/>
      <c r="O97" s="146"/>
      <c r="P97" s="146"/>
      <c r="Q97" s="146"/>
      <c r="R97" s="146"/>
      <c r="S97" s="146"/>
      <c r="T97" s="146"/>
      <c r="U97" s="146"/>
    </row>
    <row customHeight="1" ht="14.25">
      <c r="A98" s="67"/>
      <c r="B98" s="67"/>
      <c r="C98" s="67"/>
      <c r="D98" s="67"/>
      <c r="E98" s="67"/>
      <c r="F98" s="67">
        <v>5727</v>
      </c>
      <c r="G98" s="67"/>
      <c r="H98" s="101">
        <v>1354</v>
      </c>
      <c r="I98" s="67"/>
      <c r="J98" s="67"/>
      <c r="K98" s="67"/>
      <c r="L98" s="146"/>
      <c r="M98" s="146"/>
      <c r="N98" s="146"/>
      <c r="O98" s="146"/>
      <c r="P98" s="146"/>
      <c r="Q98" s="146"/>
      <c r="R98" s="146"/>
      <c r="S98" s="146"/>
      <c r="T98" s="146"/>
      <c r="U98" s="146"/>
    </row>
    <row customHeight="1" ht="14.25">
      <c r="A99" s="67"/>
      <c r="B99" s="67"/>
      <c r="C99" s="67"/>
      <c r="D99" s="67"/>
      <c r="E99" s="159">
        <v>12610</v>
      </c>
      <c r="F99" s="67"/>
      <c r="G99" s="67"/>
      <c r="H99" s="67"/>
      <c r="I99" s="67"/>
      <c r="J99" s="67"/>
      <c r="K99" s="67"/>
      <c r="L99" s="146"/>
      <c r="M99" s="146"/>
      <c r="N99" s="146"/>
      <c r="O99" s="146"/>
      <c r="P99" s="146"/>
      <c r="Q99" s="146"/>
      <c r="R99" s="146"/>
      <c r="S99" s="146"/>
      <c r="T99" s="146"/>
      <c r="U99" s="146"/>
    </row>
    <row customHeight="1" ht="14.25">
      <c r="A100" s="67"/>
      <c r="B100" s="67"/>
      <c r="C100" s="67"/>
      <c r="D100" s="67"/>
      <c r="E100" s="159"/>
      <c r="F100" s="67"/>
      <c r="G100" s="67"/>
      <c r="H100" s="101">
        <v>0</v>
      </c>
      <c r="I100" s="67"/>
      <c r="J100" s="67"/>
      <c r="K100" s="67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</row>
    <row customHeight="1" ht="14.25">
      <c r="A101" s="67"/>
      <c r="B101" s="67"/>
      <c r="C101" s="67"/>
      <c r="D101" s="67"/>
      <c r="E101" s="159"/>
      <c r="F101" s="67"/>
      <c r="G101" s="67"/>
      <c r="H101" s="67"/>
      <c r="I101" s="67"/>
      <c r="J101" s="67"/>
      <c r="K101" s="67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</row>
    <row customHeight="1" ht="14.25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</row>
    <row customHeight="1" ht="14.25">
      <c r="A103" s="67"/>
      <c r="B103" s="67"/>
      <c r="C103" s="67"/>
      <c r="D103" s="67"/>
      <c r="E103" s="159">
        <v>1081</v>
      </c>
      <c r="F103" s="67"/>
      <c r="G103" s="67"/>
      <c r="H103" s="67"/>
      <c r="I103" s="67"/>
      <c r="J103" s="67"/>
      <c r="K103" s="67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</row>
    <row customHeight="1" ht="14.2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</row>
    <row customHeight="1" ht="14.25">
      <c r="A105" s="67"/>
      <c r="B105" s="67"/>
      <c r="C105" s="67"/>
      <c r="D105" s="67"/>
      <c r="E105" s="159">
        <v>455</v>
      </c>
      <c r="F105" s="67"/>
      <c r="G105" s="67"/>
      <c r="H105" s="67"/>
      <c r="I105" s="67"/>
      <c r="J105" s="67"/>
      <c r="K105" s="67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</row>
    <row customHeight="1" ht="14.25">
      <c r="A106" s="67"/>
      <c r="B106" s="67"/>
      <c r="C106" s="67"/>
      <c r="D106" s="67"/>
      <c r="E106" s="67"/>
      <c r="F106" s="159"/>
      <c r="G106" s="67"/>
      <c r="H106" s="67"/>
      <c r="I106" s="67"/>
      <c r="J106" s="67"/>
      <c r="K106" s="67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</row>
    <row customHeight="1" ht="14.25">
      <c r="A107" s="67"/>
      <c r="B107" s="67"/>
      <c r="C107" s="67"/>
      <c r="D107" s="67"/>
      <c r="E107" s="159">
        <v>4002</v>
      </c>
      <c r="F107" s="67"/>
      <c r="G107" s="67"/>
      <c r="H107" s="67"/>
      <c r="I107" s="67"/>
      <c r="J107" s="67"/>
      <c r="K107" s="67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</row>
    <row customHeight="1" ht="14.25">
      <c r="A108" s="67"/>
      <c r="B108" s="67"/>
      <c r="C108" s="67"/>
      <c r="D108" s="67"/>
      <c r="E108" s="67"/>
      <c r="F108" s="67">
        <v>6448</v>
      </c>
      <c r="G108" s="67"/>
      <c r="H108" s="67"/>
      <c r="I108" s="67"/>
      <c r="J108" s="67"/>
      <c r="K108" s="67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</row>
    <row customHeight="1" ht="14.25">
      <c r="A109" s="67"/>
      <c r="B109" s="67"/>
      <c r="C109" s="67"/>
      <c r="D109" s="67"/>
      <c r="E109" s="159">
        <v>2052</v>
      </c>
      <c r="F109" s="67"/>
      <c r="G109" s="67"/>
      <c r="H109" s="67"/>
      <c r="I109" s="67"/>
      <c r="J109" s="67"/>
      <c r="K109" s="67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</row>
    <row customHeight="1" ht="14.2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</row>
    <row customHeight="1" ht="14.25">
      <c r="A111" s="67"/>
      <c r="B111" s="67"/>
      <c r="C111" s="67"/>
      <c r="D111" s="67"/>
      <c r="E111" s="159">
        <v>3585</v>
      </c>
      <c r="F111" s="67"/>
      <c r="G111" s="67"/>
      <c r="H111" s="67"/>
      <c r="I111" s="67"/>
      <c r="J111" s="67"/>
      <c r="K111" s="67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</row>
    <row customHeight="1" ht="14.2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</row>
    <row customHeight="1" ht="14.25">
      <c r="A113" s="67"/>
      <c r="B113" s="67"/>
      <c r="C113" s="67"/>
      <c r="D113" s="67"/>
      <c r="E113" s="159">
        <v>2121</v>
      </c>
      <c r="F113" s="67"/>
      <c r="G113" s="67"/>
      <c r="H113" s="67"/>
      <c r="I113" s="67"/>
      <c r="J113" s="67"/>
      <c r="K113" s="67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</row>
    <row customHeight="1" ht="14.2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</row>
    <row customHeight="1" ht="14.25">
      <c r="A115" s="67"/>
      <c r="B115" s="67"/>
      <c r="C115" s="67"/>
      <c r="D115" s="67"/>
      <c r="E115" s="159">
        <v>788</v>
      </c>
      <c r="F115" s="67"/>
      <c r="G115" s="67"/>
      <c r="H115" s="67"/>
      <c r="I115" s="67"/>
      <c r="J115" s="67"/>
      <c r="K115" s="67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</row>
    <row customHeight="1" ht="14.2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</row>
    <row customHeight="1" ht="14.25">
      <c r="A117" s="67"/>
      <c r="B117" s="67"/>
      <c r="C117" s="67"/>
      <c r="D117" s="67"/>
      <c r="E117" s="159">
        <v>1366</v>
      </c>
      <c r="F117" s="67"/>
      <c r="G117" s="67"/>
      <c r="H117" s="67"/>
      <c r="I117" s="67"/>
      <c r="J117" s="67"/>
      <c r="K117" s="67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</row>
    <row customHeight="1" ht="14.2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</row>
    <row customHeight="1" ht="14.25">
      <c r="A119" s="67"/>
      <c r="B119" s="67"/>
      <c r="C119" s="67"/>
      <c r="D119" s="67"/>
      <c r="E119" s="159">
        <v>138.78</v>
      </c>
      <c r="F119" s="67"/>
      <c r="G119" s="67"/>
      <c r="H119" s="67"/>
      <c r="I119" s="67"/>
      <c r="J119" s="67"/>
      <c r="K119" s="67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</row>
    <row customHeight="1" ht="14.2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</row>
    <row customHeight="1" ht="14.25">
      <c r="A121" s="67"/>
      <c r="B121" s="67"/>
      <c r="C121" s="67"/>
      <c r="D121" s="67"/>
      <c r="E121" s="159">
        <v>0</v>
      </c>
      <c r="F121" s="67"/>
      <c r="G121" s="67"/>
      <c r="H121" s="67"/>
      <c r="I121" s="67"/>
      <c r="J121" s="67"/>
      <c r="K121" s="67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</row>
    <row customHeight="1" ht="14.25">
      <c r="A122" s="67"/>
      <c r="B122" s="67"/>
      <c r="C122" s="67"/>
      <c r="D122" s="67"/>
      <c r="E122" s="159">
        <v>14688</v>
      </c>
      <c r="F122" s="67"/>
      <c r="G122" s="67"/>
      <c r="H122" s="67"/>
      <c r="I122" s="67"/>
      <c r="J122" s="67"/>
      <c r="K122" s="67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</row>
    <row customHeight="1" ht="14.25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</row>
    <row customHeight="1" ht="14.25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</row>
    <row customHeight="1" ht="14.25">
      <c r="A125" s="67"/>
      <c r="B125" s="67"/>
      <c r="C125" s="67"/>
      <c r="D125" s="67"/>
      <c r="E125" s="159"/>
      <c r="F125" s="67"/>
      <c r="G125" s="67"/>
      <c r="H125" s="67"/>
      <c r="I125" s="67"/>
      <c r="J125" s="67"/>
      <c r="K125" s="67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</row>
    <row customHeight="1" ht="14.25">
      <c r="A126" s="67"/>
      <c r="B126" s="67"/>
      <c r="C126" s="67"/>
      <c r="D126" s="67"/>
      <c r="E126" s="159"/>
      <c r="F126" s="67"/>
      <c r="G126" s="67"/>
      <c r="H126" s="67"/>
      <c r="I126" s="67"/>
      <c r="J126" s="67"/>
      <c r="K126" s="67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</row>
    <row customHeight="1" ht="14.25">
      <c r="A127" s="67"/>
      <c r="B127" s="67"/>
      <c r="C127" s="67"/>
      <c r="D127" s="67"/>
      <c r="E127" s="159"/>
      <c r="F127" s="67"/>
      <c r="G127" s="67"/>
      <c r="H127" s="67"/>
      <c r="I127" s="67"/>
      <c r="J127" s="67"/>
      <c r="K127" s="67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</row>
    <row customHeight="1" ht="14.25">
      <c r="A128" s="67"/>
      <c r="B128" s="67"/>
      <c r="C128" s="67"/>
      <c r="D128" s="67"/>
      <c r="E128" s="159"/>
      <c r="F128" s="67"/>
      <c r="G128" s="67"/>
      <c r="H128" s="67"/>
      <c r="I128" s="67"/>
      <c r="J128" s="67"/>
      <c r="K128" s="67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</row>
    <row customHeight="1" ht="14.25">
      <c r="A129" s="67"/>
      <c r="B129" s="67"/>
      <c r="C129" s="67"/>
      <c r="D129" s="67"/>
      <c r="E129" s="159"/>
      <c r="F129" s="67"/>
      <c r="G129" s="67"/>
      <c r="H129" s="67"/>
      <c r="I129" s="67"/>
      <c r="J129" s="67"/>
      <c r="K129" s="67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</row>
    <row customHeight="1" ht="14.25">
      <c r="A130" s="67"/>
      <c r="B130" s="67"/>
      <c r="C130" s="67"/>
      <c r="D130" s="67"/>
      <c r="E130" s="159"/>
      <c r="F130" s="67"/>
      <c r="G130" s="67"/>
      <c r="H130" s="67"/>
      <c r="I130" s="67"/>
      <c r="J130" s="67"/>
      <c r="K130" s="67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</row>
    <row customHeight="1" ht="14.25">
      <c r="A131" s="67"/>
      <c r="B131" s="67"/>
      <c r="C131" s="67"/>
      <c r="D131" s="67"/>
      <c r="E131" s="159"/>
      <c r="F131" s="67"/>
      <c r="G131" s="67"/>
      <c r="H131" s="67"/>
      <c r="I131" s="67"/>
      <c r="J131" s="67"/>
      <c r="K131" s="67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</row>
    <row customHeight="1" ht="14.25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</row>
    <row customHeight="1" ht="14.25">
      <c r="A133" s="67"/>
      <c r="B133" s="67"/>
      <c r="C133" s="67"/>
      <c r="D133" s="67"/>
      <c r="E133" s="159">
        <v>579</v>
      </c>
      <c r="F133" s="67"/>
      <c r="G133" s="67"/>
      <c r="H133" s="67"/>
      <c r="I133" s="67"/>
      <c r="J133" s="67"/>
      <c r="K133" s="67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</row>
    <row customHeight="1" ht="14.25">
      <c r="A134" s="67"/>
      <c r="B134" s="67"/>
      <c r="C134" s="67"/>
      <c r="D134" s="67"/>
      <c r="E134" s="159"/>
      <c r="F134" s="67"/>
      <c r="G134" s="67"/>
      <c r="H134" s="67"/>
      <c r="I134" s="67"/>
      <c r="J134" s="67"/>
      <c r="K134" s="67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</row>
    <row customHeight="1" ht="14.25">
      <c r="A135" s="67"/>
      <c r="B135" s="67"/>
      <c r="C135" s="67"/>
      <c r="D135" s="67"/>
      <c r="E135" s="159"/>
      <c r="F135" s="67"/>
      <c r="G135" s="67"/>
      <c r="H135" s="67"/>
      <c r="I135" s="67"/>
      <c r="J135" s="67"/>
      <c r="K135" s="67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</row>
    <row customHeight="1" ht="14.25">
      <c r="A136" s="67"/>
      <c r="B136" s="67"/>
      <c r="C136" s="67"/>
      <c r="D136" s="67"/>
      <c r="E136" s="159"/>
      <c r="F136" s="67"/>
      <c r="G136" s="67"/>
      <c r="H136" s="67"/>
      <c r="I136" s="67"/>
      <c r="J136" s="67"/>
      <c r="K136" s="67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</row>
    <row customHeight="1" ht="14.25">
      <c r="A137" s="67"/>
      <c r="B137" s="67"/>
      <c r="C137" s="67"/>
      <c r="D137" s="67"/>
      <c r="E137" s="159"/>
      <c r="F137" s="67"/>
      <c r="G137" s="67"/>
      <c r="H137" s="67"/>
      <c r="I137" s="67"/>
      <c r="J137" s="67"/>
      <c r="K137" s="67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</row>
    <row customHeight="1" ht="14.25">
      <c r="A138" s="67"/>
      <c r="B138" s="67"/>
      <c r="C138" s="67"/>
      <c r="D138" s="67"/>
      <c r="E138" s="159"/>
      <c r="F138" s="67"/>
      <c r="G138" s="67"/>
      <c r="H138" s="67"/>
      <c r="I138" s="67"/>
      <c r="J138" s="67"/>
      <c r="K138" s="67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</row>
    <row customHeight="1" ht="14.25">
      <c r="A139" s="67"/>
      <c r="B139" s="67"/>
      <c r="C139" s="67"/>
      <c r="D139" s="67"/>
      <c r="E139" s="159"/>
      <c r="F139" s="67"/>
      <c r="G139" s="67"/>
      <c r="H139" s="67"/>
      <c r="I139" s="67"/>
      <c r="J139" s="67"/>
      <c r="K139" s="67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</row>
    <row customHeight="1" ht="14.25">
      <c r="A140" s="67"/>
      <c r="B140" s="67"/>
      <c r="C140" s="67"/>
      <c r="D140" s="67"/>
      <c r="E140" s="159"/>
      <c r="F140" s="67"/>
      <c r="G140" s="67"/>
      <c r="H140" s="67"/>
      <c r="I140" s="67"/>
      <c r="J140" s="67"/>
      <c r="K140" s="67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</row>
    <row customHeight="1" ht="14.25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</row>
    <row customHeight="1" ht="14.25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</row>
    <row customHeight="1" ht="14.25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</row>
    <row customHeight="1" ht="14.25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</row>
    <row customHeight="1" ht="14.2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</row>
    <row customHeight="1" ht="14.25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</row>
    <row customHeight="1" ht="14.25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</row>
    <row customHeight="1" ht="14.25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</row>
    <row customHeight="1" ht="14.25">
      <c r="A149" s="67"/>
      <c r="B149" s="67"/>
      <c r="C149" s="67"/>
      <c r="D149" s="67"/>
      <c r="E149" s="159"/>
      <c r="F149" s="67"/>
      <c r="G149" s="67"/>
      <c r="H149" s="67"/>
      <c r="I149" s="67"/>
      <c r="J149" s="67"/>
      <c r="K149" s="67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</row>
    <row customHeight="1" ht="14.25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</row>
    <row customHeight="1" ht="14.4525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392"/>
      <c r="M151" s="392"/>
      <c r="N151" s="392"/>
      <c r="O151" s="392"/>
      <c r="P151" s="392"/>
      <c r="Q151" s="392"/>
      <c r="R151" s="392"/>
      <c r="S151" s="392"/>
      <c r="T151" s="392"/>
      <c r="U151" s="392"/>
    </row>
    <row customHeight="1" ht="14.25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392"/>
      <c r="M152" s="392"/>
      <c r="N152" s="392"/>
      <c r="O152" s="392"/>
      <c r="P152" s="392"/>
      <c r="Q152" s="392"/>
      <c r="R152" s="392"/>
      <c r="S152" s="392"/>
      <c r="T152" s="392"/>
      <c r="U152" s="392"/>
    </row>
    <row customHeight="1" ht="14.25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392"/>
      <c r="M153" s="392"/>
      <c r="N153" s="392"/>
      <c r="O153" s="392"/>
      <c r="P153" s="392"/>
      <c r="Q153" s="392"/>
      <c r="R153" s="392"/>
      <c r="S153" s="392"/>
      <c r="T153" s="392"/>
      <c r="U153" s="392"/>
    </row>
    <row customHeight="1" ht="14.25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392"/>
      <c r="M154" s="392"/>
      <c r="N154" s="392"/>
      <c r="O154" s="392"/>
      <c r="P154" s="392"/>
      <c r="Q154" s="392"/>
      <c r="R154" s="392"/>
      <c r="S154" s="392"/>
      <c r="T154" s="392"/>
      <c r="U154" s="392"/>
    </row>
    <row customHeight="1" ht="14.2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392"/>
      <c r="M155" s="392"/>
      <c r="N155" s="392"/>
      <c r="O155" s="392"/>
      <c r="P155" s="392"/>
      <c r="Q155" s="392"/>
      <c r="R155" s="392"/>
      <c r="S155" s="392"/>
      <c r="T155" s="392"/>
      <c r="U155" s="392"/>
    </row>
    <row customHeight="1" ht="14.25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</row>
    <row customHeight="1" ht="14.25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</row>
    <row customHeight="1" ht="14.25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392"/>
      <c r="M158" s="392"/>
      <c r="N158" s="392"/>
      <c r="O158" s="392"/>
      <c r="P158" s="392"/>
      <c r="Q158" s="392"/>
      <c r="R158" s="392"/>
      <c r="S158" s="392"/>
      <c r="T158" s="392"/>
      <c r="U158" s="392"/>
    </row>
    <row customHeight="1" ht="14.25">
      <c r="A159" s="67"/>
      <c r="B159" s="67"/>
      <c r="C159" s="67"/>
      <c r="D159" s="67"/>
      <c r="E159" s="159"/>
      <c r="F159" s="67"/>
      <c r="G159" s="67"/>
      <c r="H159" s="67"/>
      <c r="I159" s="67"/>
      <c r="J159" s="67"/>
      <c r="K159" s="67"/>
      <c r="L159" s="392"/>
      <c r="M159" s="392"/>
      <c r="N159" s="392"/>
      <c r="O159" s="392"/>
      <c r="P159" s="392"/>
      <c r="Q159" s="392"/>
      <c r="R159" s="392"/>
      <c r="S159" s="392"/>
      <c r="T159" s="392"/>
      <c r="U159" s="392"/>
    </row>
  </sheetData>
  <mergeCells count="54">
    <mergeCell ref="A1:I1"/>
    <mergeCell ref="A5:C5"/>
    <mergeCell ref="E5:H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E22:H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D3:D4"/>
    <mergeCell ref="E3:E4"/>
    <mergeCell ref="F3:F4"/>
    <mergeCell ref="G3:G4"/>
    <mergeCell ref="H3:H4"/>
    <mergeCell ref="I3:I4"/>
    <mergeCell ref="A3:C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13D4E9A-6DAD-CD98-F0D8-9DE540149A48}" mc:Ignorable="x14ac xr xr2 xr3">
  <dimension ref="A1:Q51"/>
  <sheetViews>
    <sheetView defaultGridColor="0" colorId="31" showGridLines="0" workbookViewId="0">
      <pane xSplit="3" ySplit="4" topLeftCell="D11" activePane="bottomRight" state="frozen"/>
      <selection pane="bottomLeft" activeCell="A5" sqref="A5"/>
      <selection pane="topRight" activeCell="D1" sqref="D1"/>
      <selection pane="bottomRight" activeCell="M18" sqref="M18"/>
    </sheetView>
  </sheetViews>
  <sheetFormatPr defaultColWidth="9.7109375" customHeight="1" defaultRowHeight="13.8975"/>
  <cols>
    <col min="1" max="1" style="51" width="2.7109375" customWidth="1"/>
    <col min="2" max="2" style="120" width="11.7109375" customWidth="1"/>
    <col min="3" max="3" style="120" width="3.421875" customWidth="1"/>
    <col min="4" max="15" style="120" width="9.57421875" customWidth="1"/>
    <col min="16" max="17" style="74" width="9.7109375" hidden="1"/>
  </cols>
  <sheetData>
    <row customHeight="1" ht="27">
      <c r="A1" s="67"/>
      <c r="B1" s="134" t="s">
        <v>0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297"/>
      <c r="Q1" s="297"/>
    </row>
    <row s="133" customFormat="1" customHeight="1" ht="18.75">
      <c r="A2" s="619"/>
      <c r="B2" s="620" t="s">
        <v>226</v>
      </c>
      <c r="C2" s="620"/>
      <c r="D2" s="620"/>
      <c r="E2" s="136" t="s">
        <v>2</v>
      </c>
      <c r="F2" s="136"/>
      <c r="G2" s="622" t="str">
        <f>P2</f>
        <v>2026-01-06</v>
      </c>
      <c r="H2" s="622"/>
      <c r="I2" s="623" t="s">
        <v>4</v>
      </c>
      <c r="J2" s="623"/>
      <c r="K2" s="624" t="str">
        <f>Q2</f>
        <v>2026-01-07</v>
      </c>
      <c r="L2" s="624"/>
      <c r="M2" s="625" t="s">
        <v>6</v>
      </c>
      <c r="N2" s="625"/>
      <c r="O2" s="625"/>
      <c r="P2" s="626" t="s">
        <v>3</v>
      </c>
      <c r="Q2" s="627" t="s">
        <v>5</v>
      </c>
    </row>
    <row customHeight="1" ht="14.25">
      <c r="A3" s="67"/>
      <c r="B3" s="84" t="s">
        <v>7</v>
      </c>
      <c r="C3" s="84"/>
      <c r="D3" s="84" t="s">
        <v>105</v>
      </c>
      <c r="E3" s="84"/>
      <c r="F3" s="84"/>
      <c r="G3" s="84"/>
      <c r="H3" s="84"/>
      <c r="I3" s="84"/>
      <c r="J3" s="84" t="s">
        <v>8</v>
      </c>
      <c r="K3" s="84"/>
      <c r="L3" s="84"/>
      <c r="M3" s="84"/>
      <c r="N3" s="84"/>
      <c r="O3" s="84"/>
      <c r="P3" s="297"/>
      <c r="Q3" s="297"/>
    </row>
    <row customHeight="1" ht="13.5">
      <c r="A4" s="67"/>
      <c r="B4" s="84"/>
      <c r="C4" s="84"/>
      <c r="D4" s="84" t="s">
        <v>283</v>
      </c>
      <c r="E4" s="84"/>
      <c r="F4" s="84" t="s">
        <v>284</v>
      </c>
      <c r="G4" s="84"/>
      <c r="H4" s="84" t="s">
        <v>285</v>
      </c>
      <c r="I4" s="84"/>
      <c r="J4" s="84" t="s">
        <v>283</v>
      </c>
      <c r="K4" s="84"/>
      <c r="L4" s="84" t="s">
        <v>284</v>
      </c>
      <c r="M4" s="84"/>
      <c r="N4" s="84" t="s">
        <v>285</v>
      </c>
      <c r="O4" s="84"/>
      <c r="P4" s="297"/>
      <c r="Q4" s="297"/>
    </row>
    <row customHeight="1" ht="15.75">
      <c r="A5" s="67"/>
      <c r="B5" s="106" t="s">
        <v>286</v>
      </c>
      <c r="C5" s="106"/>
      <c r="D5" s="84">
        <f>生产日报6取值!D5</f>
        <v>0</v>
      </c>
      <c r="E5" s="84"/>
      <c r="F5" s="84">
        <f>生产日报6取值!F5</f>
        <v>0</v>
      </c>
      <c r="G5" s="84"/>
      <c r="H5" s="102" t="str">
        <f>生产日报6取值!H5</f>
        <v/>
      </c>
      <c r="I5" s="102"/>
      <c r="J5" s="84">
        <f>生产日报6取值!J5</f>
        <v>13300</v>
      </c>
      <c r="K5" s="84"/>
      <c r="L5" s="84">
        <f>生产日报6取值!L5</f>
        <v>87900</v>
      </c>
      <c r="M5" s="84"/>
      <c r="N5" s="102">
        <f>生产日报6取值!N5</f>
        <v>92.8</v>
      </c>
      <c r="O5" s="102"/>
      <c r="P5" s="297"/>
      <c r="Q5" s="297"/>
    </row>
    <row customHeight="1" ht="15.75">
      <c r="A6" s="67"/>
      <c r="B6" s="138" t="s">
        <v>287</v>
      </c>
      <c r="C6" s="138"/>
      <c r="D6" s="84">
        <f>_xlfn.IFERROR(生产日报6取值!D6,"")</f>
        <v>0</v>
      </c>
      <c r="E6" s="84"/>
      <c r="F6" s="84">
        <f>_xlfn.IFERROR(生产日报6取值!F6,"")</f>
        <v>0</v>
      </c>
      <c r="G6" s="84"/>
      <c r="H6" s="102">
        <f>_xlfn.IFERROR(生产日报6取值!H6,"")</f>
        <v>0</v>
      </c>
      <c r="I6" s="102"/>
      <c r="J6" s="84">
        <f>_xlfn.IFERROR(生产日报6取值!J6,"")</f>
        <v>2800</v>
      </c>
      <c r="K6" s="84"/>
      <c r="L6" s="84">
        <f>_xlfn.IFERROR(生产日报6取值!L6,"")</f>
        <v>17700</v>
      </c>
      <c r="M6" s="84"/>
      <c r="N6" s="102">
        <f>_xlfn.IFERROR(生产日报6取值!N6,"")</f>
        <v>92.8</v>
      </c>
      <c r="O6" s="102"/>
      <c r="P6" s="297"/>
      <c r="Q6" s="297"/>
    </row>
    <row customHeight="1" ht="15.75">
      <c r="A7" s="67"/>
      <c r="B7" s="138" t="s">
        <v>288</v>
      </c>
      <c r="C7" s="138"/>
      <c r="D7" s="84">
        <f>_xlfn.IFERROR(生产日报6取值!D7,"")</f>
        <v>0</v>
      </c>
      <c r="E7" s="84"/>
      <c r="F7" s="84">
        <f>_xlfn.IFERROR(生产日报6取值!F7,"")</f>
        <v>0</v>
      </c>
      <c r="G7" s="84"/>
      <c r="H7" s="102">
        <f>_xlfn.IFERROR(生产日报6取值!H7,"")</f>
        <v>0</v>
      </c>
      <c r="I7" s="102"/>
      <c r="J7" s="84">
        <f>_xlfn.IFERROR(生产日报6取值!J7,"")</f>
        <v>1500</v>
      </c>
      <c r="K7" s="84"/>
      <c r="L7" s="84">
        <f>_xlfn.IFERROR(生产日报6取值!L7,"")</f>
        <v>9000</v>
      </c>
      <c r="M7" s="84"/>
      <c r="N7" s="102">
        <f>_xlfn.IFERROR(生产日报6取值!N7,"")</f>
        <v>92.8</v>
      </c>
      <c r="O7" s="102"/>
      <c r="P7" s="297"/>
      <c r="Q7" s="297"/>
    </row>
    <row customHeight="1" ht="15.75">
      <c r="A8" s="67"/>
      <c r="B8" s="138" t="s">
        <v>289</v>
      </c>
      <c r="C8" s="138"/>
      <c r="D8" s="84">
        <f>_xlfn.IFERROR(生产日报6取值!D8,"")</f>
        <v>0</v>
      </c>
      <c r="E8" s="84"/>
      <c r="F8" s="84">
        <f>_xlfn.IFERROR(生产日报6取值!F8,"")</f>
        <v>0</v>
      </c>
      <c r="G8" s="84"/>
      <c r="H8" s="102">
        <f>_xlfn.IFERROR(生产日报6取值!H8,"")</f>
        <v>0</v>
      </c>
      <c r="I8" s="102"/>
      <c r="J8" s="84">
        <f>_xlfn.IFERROR(生产日报6取值!J8,"")</f>
        <v>2300</v>
      </c>
      <c r="K8" s="84"/>
      <c r="L8" s="84">
        <f>_xlfn.IFERROR(生产日报6取值!L8,"")</f>
        <v>14400</v>
      </c>
      <c r="M8" s="84"/>
      <c r="N8" s="102">
        <f>_xlfn.IFERROR(生产日报6取值!N8,"")</f>
        <v>92.8</v>
      </c>
      <c r="O8" s="102"/>
      <c r="P8" s="297"/>
      <c r="Q8" s="297"/>
    </row>
    <row customHeight="1" ht="15.75">
      <c r="A9" s="67"/>
      <c r="B9" s="138" t="s">
        <v>290</v>
      </c>
      <c r="C9" s="138"/>
      <c r="D9" s="84">
        <f>_xlfn.IFERROR(生产日报6取值!D9,"")</f>
        <v>0</v>
      </c>
      <c r="E9" s="84"/>
      <c r="F9" s="84">
        <f>_xlfn.IFERROR(生产日报6取值!F9,"")</f>
        <v>0</v>
      </c>
      <c r="G9" s="84"/>
      <c r="H9" s="102">
        <f>_xlfn.IFERROR(生产日报6取值!H9,"")</f>
        <v>0</v>
      </c>
      <c r="I9" s="102"/>
      <c r="J9" s="84">
        <f>_xlfn.IFERROR(生产日报6取值!J9,"")</f>
        <v>4000</v>
      </c>
      <c r="K9" s="84"/>
      <c r="L9" s="84">
        <f>_xlfn.IFERROR(生产日报6取值!L9,"")</f>
        <v>29100</v>
      </c>
      <c r="M9" s="84"/>
      <c r="N9" s="102">
        <f>_xlfn.IFERROR(生产日报6取值!N9,"")</f>
        <v>92.8</v>
      </c>
      <c r="O9" s="102"/>
      <c r="P9" s="297"/>
      <c r="Q9" s="297"/>
    </row>
    <row customHeight="1" ht="15.75">
      <c r="A10" s="67"/>
      <c r="B10" s="138" t="s">
        <v>291</v>
      </c>
      <c r="C10" s="138"/>
      <c r="D10" s="84">
        <f>_xlfn.IFERROR(生产日报6取值!D10,"")</f>
        <v>0</v>
      </c>
      <c r="E10" s="84"/>
      <c r="F10" s="84">
        <f>_xlfn.IFERROR(生产日报6取值!F10,"")</f>
        <v>0</v>
      </c>
      <c r="G10" s="84"/>
      <c r="H10" s="102">
        <f>_xlfn.IFERROR(生产日报6取值!H10,"")</f>
        <v>0</v>
      </c>
      <c r="I10" s="102"/>
      <c r="J10" s="84">
        <f>_xlfn.IFERROR(生产日报6取值!J10,"")</f>
        <v>2700</v>
      </c>
      <c r="K10" s="84"/>
      <c r="L10" s="84">
        <f>_xlfn.IFERROR(生产日报6取值!L10,"")</f>
        <v>17700</v>
      </c>
      <c r="M10" s="84"/>
      <c r="N10" s="102">
        <f>_xlfn.IFERROR(生产日报6取值!N10,"")</f>
        <v>92.8</v>
      </c>
      <c r="O10" s="102"/>
      <c r="P10" s="297"/>
      <c r="Q10" s="297"/>
    </row>
    <row customHeight="1" ht="15.75">
      <c r="A11" s="67"/>
      <c r="B11" s="84" t="s">
        <v>7</v>
      </c>
      <c r="C11" s="84"/>
      <c r="D11" s="84" t="s">
        <v>292</v>
      </c>
      <c r="E11" s="84"/>
      <c r="F11" s="84"/>
      <c r="G11" s="84" t="s">
        <v>293</v>
      </c>
      <c r="H11" s="84"/>
      <c r="I11" s="84"/>
      <c r="J11" s="84" t="s">
        <v>285</v>
      </c>
      <c r="K11" s="84"/>
      <c r="L11" s="84"/>
      <c r="M11" s="84" t="s">
        <v>294</v>
      </c>
      <c r="N11" s="84"/>
      <c r="O11" s="84"/>
      <c r="P11" s="297"/>
      <c r="Q11" s="297"/>
    </row>
    <row customHeight="1" ht="15.75">
      <c r="A12" s="67"/>
      <c r="B12" s="84"/>
      <c r="C12" s="84"/>
      <c r="D12" s="84" t="s">
        <v>126</v>
      </c>
      <c r="E12" s="84" t="s">
        <v>17</v>
      </c>
      <c r="F12" s="84" t="s">
        <v>108</v>
      </c>
      <c r="G12" s="84" t="s">
        <v>126</v>
      </c>
      <c r="H12" s="84" t="s">
        <v>17</v>
      </c>
      <c r="I12" s="84" t="s">
        <v>108</v>
      </c>
      <c r="J12" s="84" t="s">
        <v>126</v>
      </c>
      <c r="K12" s="84" t="s">
        <v>17</v>
      </c>
      <c r="L12" s="84" t="s">
        <v>108</v>
      </c>
      <c r="M12" s="84" t="s">
        <v>126</v>
      </c>
      <c r="N12" s="84" t="s">
        <v>17</v>
      </c>
      <c r="O12" s="84" t="s">
        <v>108</v>
      </c>
      <c r="P12" s="297"/>
      <c r="Q12" s="297"/>
    </row>
    <row customHeight="1" ht="15.75">
      <c r="A13" s="67"/>
      <c r="B13" s="106" t="s">
        <v>286</v>
      </c>
      <c r="C13" s="106"/>
      <c r="D13" s="84">
        <f>生产日报6取值!D13</f>
        <v>340.31</v>
      </c>
      <c r="E13" s="84">
        <f>生产日报6取值!E13</f>
        <v>2450.94</v>
      </c>
      <c r="F13" s="84">
        <f>生产日报6取值!F13</f>
        <v>2450.94</v>
      </c>
      <c r="G13" s="84">
        <f>生产日报6取值!G13</f>
        <v>2119</v>
      </c>
      <c r="H13" s="84">
        <f>生产日报6取值!H13</f>
        <v>15226</v>
      </c>
      <c r="I13" s="84">
        <f>生产日报6取值!I13</f>
        <v>15226</v>
      </c>
      <c r="J13" s="102">
        <f>生产日报6取值!J13</f>
        <v>75.138</v>
      </c>
      <c r="K13" s="102">
        <f>生产日报6取值!K13</f>
        <v>92.982</v>
      </c>
      <c r="L13" s="102">
        <f>生产日报6取值!L13</f>
        <v>92.982</v>
      </c>
      <c r="M13" s="84">
        <f>生产日报6取值!M13</f>
        <v>4099</v>
      </c>
      <c r="N13" s="84">
        <f>生产日报6取值!N13</f>
        <v>14347</v>
      </c>
      <c r="O13" s="84">
        <f>生产日报6取值!O13</f>
        <v>14347</v>
      </c>
      <c r="P13" s="297"/>
      <c r="Q13" s="297"/>
    </row>
    <row customHeight="1" ht="15.75">
      <c r="A14" s="67"/>
      <c r="B14" s="138" t="s">
        <v>287</v>
      </c>
      <c r="C14" s="138"/>
      <c r="D14" s="84">
        <f>_xlfn.IFERROR(生产日报6取值!D14,"")</f>
        <v>61.02</v>
      </c>
      <c r="E14" s="84">
        <f>_xlfn.IFERROR(生产日报6取值!E14,"")</f>
        <v>442.25</v>
      </c>
      <c r="F14" s="84">
        <f>_xlfn.IFERROR(生产日报6取值!F14,"")</f>
        <v>442.25</v>
      </c>
      <c r="G14" s="84">
        <f>_xlfn.IFERROR(生产日报6取值!G14,"")</f>
        <v>369</v>
      </c>
      <c r="H14" s="84">
        <f>_xlfn.IFERROR(生产日报6取值!H14,"")</f>
        <v>2712</v>
      </c>
      <c r="I14" s="84">
        <f>_xlfn.IFERROR(生产日报6取值!I14,"")</f>
        <v>2712</v>
      </c>
      <c r="J14" s="102">
        <f>_xlfn.IFERROR(生产日报6取值!J14,"")</f>
        <v>91.25</v>
      </c>
      <c r="K14" s="102">
        <f>_xlfn.IFERROR(生产日报6取值!K14,"")</f>
        <v>92.54</v>
      </c>
      <c r="L14" s="102">
        <f>_xlfn.IFERROR(生产日报6取值!L14,"")</f>
        <v>92.54</v>
      </c>
      <c r="M14" s="84">
        <f>_xlfn.IFERROR(生产日报6取值!M14,"")</f>
        <v>873</v>
      </c>
      <c r="N14" s="84">
        <f>_xlfn.IFERROR(生产日报6取值!N14,"")</f>
        <v>1837</v>
      </c>
      <c r="O14" s="84">
        <f>_xlfn.IFERROR(生产日报6取值!O14,"")</f>
        <v>1837</v>
      </c>
      <c r="P14" s="297"/>
      <c r="Q14" s="297"/>
    </row>
    <row customHeight="1" ht="15.75">
      <c r="A15" s="67"/>
      <c r="B15" s="138" t="s">
        <v>288</v>
      </c>
      <c r="C15" s="138"/>
      <c r="D15" s="84">
        <f>_xlfn.IFERROR(生产日报6取值!D15,"")</f>
        <v>1.4</v>
      </c>
      <c r="E15" s="84">
        <f>_xlfn.IFERROR(生产日报6取值!E15,"")</f>
        <v>154.83</v>
      </c>
      <c r="F15" s="84">
        <f>_xlfn.IFERROR(生产日报6取值!F15,"")</f>
        <v>154.83</v>
      </c>
      <c r="G15" s="84">
        <f>_xlfn.IFERROR(生产日报6取值!G15,"")</f>
        <v>0</v>
      </c>
      <c r="H15" s="84">
        <f>_xlfn.IFERROR(生产日报6取值!H15,"")</f>
        <v>928</v>
      </c>
      <c r="I15" s="84">
        <f>_xlfn.IFERROR(生产日报6取值!I15,"")</f>
        <v>928</v>
      </c>
      <c r="J15" s="102">
        <f>_xlfn.IFERROR(生产日报6取值!J15,"")</f>
        <v>0</v>
      </c>
      <c r="K15" s="102">
        <f>_xlfn.IFERROR(生产日报6取值!K15,"")</f>
        <v>89.8</v>
      </c>
      <c r="L15" s="102">
        <f>_xlfn.IFERROR(生产日报6取值!L15,"")</f>
        <v>89.8</v>
      </c>
      <c r="M15" s="84">
        <f>_xlfn.IFERROR(生产日报6取值!M15,"")</f>
        <v>0</v>
      </c>
      <c r="N15" s="84">
        <f>_xlfn.IFERROR(生产日报6取值!N15,"")</f>
        <v>987</v>
      </c>
      <c r="O15" s="84">
        <f>_xlfn.IFERROR(生产日报6取值!O15,"")</f>
        <v>987</v>
      </c>
      <c r="P15" s="297"/>
      <c r="Q15" s="297"/>
    </row>
    <row customHeight="1" ht="15.75">
      <c r="A16" s="67"/>
      <c r="B16" s="138" t="s">
        <v>289</v>
      </c>
      <c r="C16" s="138"/>
      <c r="D16" s="84">
        <f>_xlfn.IFERROR(生产日报6取值!D16,"")</f>
        <v>72.79</v>
      </c>
      <c r="E16" s="84">
        <f>_xlfn.IFERROR(生产日报6取值!E16,"")</f>
        <v>508.73</v>
      </c>
      <c r="F16" s="84">
        <f>_xlfn.IFERROR(生产日报6取值!F16,"")</f>
        <v>508.73</v>
      </c>
      <c r="G16" s="84">
        <f>_xlfn.IFERROR(生产日报6取值!G16,"")</f>
        <v>467</v>
      </c>
      <c r="H16" s="84">
        <f>_xlfn.IFERROR(生产日报6取值!H16,"")</f>
        <v>3218</v>
      </c>
      <c r="I16" s="84">
        <f>_xlfn.IFERROR(生产日报6取值!I16,"")</f>
        <v>3218</v>
      </c>
      <c r="J16" s="102">
        <f>_xlfn.IFERROR(生产日报6取值!J16,"")</f>
        <v>96.35</v>
      </c>
      <c r="K16" s="102">
        <f>_xlfn.IFERROR(生产日报6取值!K16,"")</f>
        <v>94.97</v>
      </c>
      <c r="L16" s="102">
        <f>_xlfn.IFERROR(生产日报6取值!L16,"")</f>
        <v>94.97</v>
      </c>
      <c r="M16" s="84">
        <f>_xlfn.IFERROR(生产日报6取值!M16,"")</f>
        <v>750</v>
      </c>
      <c r="N16" s="84">
        <f>_xlfn.IFERROR(生产日报6取值!N16,"")</f>
        <v>2122</v>
      </c>
      <c r="O16" s="84">
        <f>_xlfn.IFERROR(生产日报6取值!O16,"")</f>
        <v>2122</v>
      </c>
      <c r="P16" s="297"/>
      <c r="Q16" s="297"/>
    </row>
    <row customHeight="1" ht="15.75">
      <c r="A17" s="67"/>
      <c r="B17" s="138" t="s">
        <v>290</v>
      </c>
      <c r="C17" s="138"/>
      <c r="D17" s="84">
        <f>_xlfn.IFERROR(生产日报6取值!D17,"")</f>
        <v>121.68</v>
      </c>
      <c r="E17" s="84">
        <f>_xlfn.IFERROR(生产日报6取值!E17,"")</f>
        <v>770.19</v>
      </c>
      <c r="F17" s="84">
        <f>_xlfn.IFERROR(生产日报6取值!F17,"")</f>
        <v>770.19</v>
      </c>
      <c r="G17" s="84">
        <f>_xlfn.IFERROR(生产日报6取值!G17,"")</f>
        <v>762</v>
      </c>
      <c r="H17" s="84">
        <f>_xlfn.IFERROR(生产日报6取值!H17,"")</f>
        <v>4771</v>
      </c>
      <c r="I17" s="84">
        <f>_xlfn.IFERROR(生产日报6取值!I17,"")</f>
        <v>4771</v>
      </c>
      <c r="J17" s="102">
        <f>_xlfn.IFERROR(生产日报6取值!J17,"")</f>
        <v>94.82</v>
      </c>
      <c r="K17" s="102">
        <f>_xlfn.IFERROR(生产日报6取值!K17,"")</f>
        <v>94.02</v>
      </c>
      <c r="L17" s="102">
        <f>_xlfn.IFERROR(生产日报6取值!L17,"")</f>
        <v>94.02</v>
      </c>
      <c r="M17" s="84">
        <f>_xlfn.IFERROR(生产日报6取值!M17,"")</f>
        <v>1830</v>
      </c>
      <c r="N17" s="84">
        <f>_xlfn.IFERROR(生产日报6取值!N17,"")</f>
        <v>5660</v>
      </c>
      <c r="O17" s="84">
        <f>_xlfn.IFERROR(生产日报6取值!O17,"")</f>
        <v>5660</v>
      </c>
      <c r="P17" s="297"/>
      <c r="Q17" s="297"/>
    </row>
    <row customHeight="1" ht="15.75">
      <c r="A18" s="67"/>
      <c r="B18" s="138" t="s">
        <v>291</v>
      </c>
      <c r="C18" s="138"/>
      <c r="D18" s="84">
        <f>_xlfn.IFERROR(生产日报6取值!D18,"")</f>
        <v>83.42</v>
      </c>
      <c r="E18" s="84">
        <f>_xlfn.IFERROR(生产日报6取值!E18,"")</f>
        <v>574.94</v>
      </c>
      <c r="F18" s="84">
        <f>_xlfn.IFERROR(生产日报6取值!F18,"")</f>
        <v>574.94</v>
      </c>
      <c r="G18" s="84">
        <f>_xlfn.IFERROR(生产日报6取值!G18,"")</f>
        <v>521</v>
      </c>
      <c r="H18" s="84">
        <f>_xlfn.IFERROR(生产日报6取值!H18,"")</f>
        <v>3597</v>
      </c>
      <c r="I18" s="84">
        <f>_xlfn.IFERROR(生产日报6取值!I18,"")</f>
        <v>3597</v>
      </c>
      <c r="J18" s="102">
        <f>_xlfn.IFERROR(生产日报6取值!J18,"")</f>
        <v>93.27</v>
      </c>
      <c r="K18" s="102">
        <f>_xlfn.IFERROR(生产日报6取值!K18,"")</f>
        <v>93.58</v>
      </c>
      <c r="L18" s="102">
        <f>_xlfn.IFERROR(生产日报6取值!L18,"")</f>
        <v>93.58</v>
      </c>
      <c r="M18" s="84">
        <f>_xlfn.IFERROR(生产日报6取值!M18,"")</f>
        <v>646</v>
      </c>
      <c r="N18" s="84">
        <f>_xlfn.IFERROR(生产日报6取值!N18,"")</f>
        <v>3741</v>
      </c>
      <c r="O18" s="84">
        <f>_xlfn.IFERROR(生产日报6取值!O18,"")</f>
        <v>3741</v>
      </c>
      <c r="P18" s="297"/>
      <c r="Q18" s="297"/>
    </row>
    <row customHeight="1" ht="15.75">
      <c r="A19" s="67"/>
      <c r="B19" s="84" t="s">
        <v>7</v>
      </c>
      <c r="C19" s="84"/>
      <c r="D19" s="84" t="s">
        <v>295</v>
      </c>
      <c r="E19" s="84"/>
      <c r="F19" s="84" t="s">
        <v>125</v>
      </c>
      <c r="G19" s="84"/>
      <c r="H19" s="84"/>
      <c r="I19" s="84"/>
      <c r="J19" s="84"/>
      <c r="K19" s="84" t="s">
        <v>296</v>
      </c>
      <c r="L19" s="84"/>
      <c r="M19" s="84"/>
      <c r="N19" s="84"/>
      <c r="O19" s="84"/>
      <c r="P19" s="297"/>
      <c r="Q19" s="297"/>
    </row>
    <row customHeight="1" ht="15.75">
      <c r="A20" s="67"/>
      <c r="B20" s="84"/>
      <c r="C20" s="84"/>
      <c r="D20" s="84"/>
      <c r="E20" s="84"/>
      <c r="F20" s="84" t="s">
        <v>292</v>
      </c>
      <c r="G20" s="84"/>
      <c r="H20" s="84" t="s">
        <v>284</v>
      </c>
      <c r="I20" s="84"/>
      <c r="J20" s="84" t="s">
        <v>297</v>
      </c>
      <c r="K20" s="84" t="s">
        <v>292</v>
      </c>
      <c r="L20" s="84"/>
      <c r="M20" s="84" t="s">
        <v>284</v>
      </c>
      <c r="N20" s="84"/>
      <c r="O20" s="84" t="s">
        <v>297</v>
      </c>
      <c r="P20" s="297"/>
      <c r="Q20" s="297"/>
    </row>
    <row customHeight="1" ht="15.75">
      <c r="A21" s="67"/>
      <c r="B21" s="106" t="s">
        <v>286</v>
      </c>
      <c r="C21" s="106"/>
      <c r="D21" s="84">
        <f>生产日报6取值!D21</f>
        <v>13212</v>
      </c>
      <c r="E21" s="84"/>
      <c r="F21" s="128">
        <f>生产日报6取值!F21</f>
        <v>18.4281203007519</v>
      </c>
      <c r="G21" s="128"/>
      <c r="H21" s="128">
        <f>生产日报6取值!H21</f>
        <v>17.3219567690557</v>
      </c>
      <c r="I21" s="128"/>
      <c r="J21" s="128">
        <f>K13</f>
        <v>92.982</v>
      </c>
      <c r="K21" s="128" t="str">
        <f>生产日报6取值!K21</f>
        <v/>
      </c>
      <c r="L21" s="128"/>
      <c r="M21" s="128" t="str">
        <f>生产日报6取值!M21</f>
        <v/>
      </c>
      <c r="N21" s="128"/>
      <c r="O21" s="128">
        <f>L13</f>
        <v>92.982</v>
      </c>
      <c r="P21" s="297"/>
      <c r="Q21" s="297"/>
    </row>
    <row customHeight="1" ht="15.75">
      <c r="A22" s="67"/>
      <c r="B22" s="138" t="s">
        <v>287</v>
      </c>
      <c r="C22" s="138"/>
      <c r="D22" s="84">
        <f>_xlfn.IFERROR(生产日报6取值!D22,"")</f>
        <v>2469</v>
      </c>
      <c r="E22" s="84"/>
      <c r="F22" s="128">
        <f>生产日报6取值!F22</f>
        <v>15.7946428571429</v>
      </c>
      <c r="G22" s="128"/>
      <c r="H22" s="128">
        <f>生产日报6取值!H22</f>
        <v>15.3220338983051</v>
      </c>
      <c r="I22" s="128"/>
      <c r="J22" s="128">
        <f>K14</f>
        <v>92.54</v>
      </c>
      <c r="K22" s="128" t="str">
        <f>生产日报6取值!K22</f>
        <v/>
      </c>
      <c r="L22" s="128"/>
      <c r="M22" s="128" t="str">
        <f>生产日报6取值!M22</f>
        <v/>
      </c>
      <c r="N22" s="128"/>
      <c r="O22" s="128">
        <f>L14</f>
        <v>92.54</v>
      </c>
      <c r="P22" s="297"/>
      <c r="Q22" s="297"/>
    </row>
    <row customHeight="1" ht="15.75">
      <c r="A23" s="67"/>
      <c r="B23" s="138" t="s">
        <v>288</v>
      </c>
      <c r="C23" s="138"/>
      <c r="D23" s="84">
        <f>_xlfn.IFERROR(生产日报6取值!D23,"")</f>
        <v>587</v>
      </c>
      <c r="E23" s="84"/>
      <c r="F23" s="128">
        <f>生产日报6取值!F23</f>
        <v>10.322</v>
      </c>
      <c r="G23" s="128"/>
      <c r="H23" s="128">
        <f>生产日报6取值!H23</f>
        <v>10.3111111111111</v>
      </c>
      <c r="I23" s="128"/>
      <c r="J23" s="128">
        <f>K15</f>
        <v>89.8</v>
      </c>
      <c r="K23" s="128" t="str">
        <f>生产日报6取值!K23</f>
        <v/>
      </c>
      <c r="L23" s="128"/>
      <c r="M23" s="128" t="str">
        <f>生产日报6取值!M23</f>
        <v/>
      </c>
      <c r="N23" s="128"/>
      <c r="O23" s="128">
        <f>L15</f>
        <v>89.8</v>
      </c>
      <c r="P23" s="297"/>
      <c r="Q23" s="297"/>
    </row>
    <row customHeight="1" ht="15.75">
      <c r="A24" s="67"/>
      <c r="B24" s="138" t="s">
        <v>289</v>
      </c>
      <c r="C24" s="138"/>
      <c r="D24" s="84">
        <f>_xlfn.IFERROR(生产日报6取值!D24,"")</f>
        <v>2918</v>
      </c>
      <c r="E24" s="84"/>
      <c r="F24" s="128">
        <f>生产日报6取值!F24</f>
        <v>22.1186956521739</v>
      </c>
      <c r="G24" s="128"/>
      <c r="H24" s="128">
        <f>生产日报6取值!H24</f>
        <v>22.3472222222222</v>
      </c>
      <c r="I24" s="128"/>
      <c r="J24" s="128">
        <f>K16</f>
        <v>94.97</v>
      </c>
      <c r="K24" s="128" t="str">
        <f>生产日报6取值!K24</f>
        <v/>
      </c>
      <c r="L24" s="128"/>
      <c r="M24" s="128" t="str">
        <f>生产日报6取值!M24</f>
        <v/>
      </c>
      <c r="N24" s="128"/>
      <c r="O24" s="128">
        <f>L16</f>
        <v>94.97</v>
      </c>
      <c r="P24" s="297"/>
      <c r="Q24" s="297"/>
    </row>
    <row customHeight="1" ht="15.75">
      <c r="A25" s="67"/>
      <c r="B25" s="138" t="s">
        <v>290</v>
      </c>
      <c r="C25" s="138"/>
      <c r="D25" s="84">
        <f>_xlfn.IFERROR(生产日报6取值!D25,"")</f>
        <v>4887</v>
      </c>
      <c r="E25" s="84"/>
      <c r="F25" s="128">
        <f>生产日报6取值!F25</f>
        <v>19.25475</v>
      </c>
      <c r="G25" s="128"/>
      <c r="H25" s="128">
        <f>生产日报6取值!H25</f>
        <v>16.3951890034364</v>
      </c>
      <c r="I25" s="128"/>
      <c r="J25" s="128">
        <f>K17</f>
        <v>94.02</v>
      </c>
      <c r="K25" s="128" t="str">
        <f>生产日报6取值!K25</f>
        <v/>
      </c>
      <c r="L25" s="128"/>
      <c r="M25" s="128" t="str">
        <f>生产日报6取值!M25</f>
        <v/>
      </c>
      <c r="N25" s="128"/>
      <c r="O25" s="128">
        <f>L17</f>
        <v>94.02</v>
      </c>
      <c r="P25" s="297"/>
      <c r="Q25" s="297"/>
    </row>
    <row customHeight="1" ht="15.75">
      <c r="A26" s="67"/>
      <c r="B26" s="138" t="s">
        <v>291</v>
      </c>
      <c r="C26" s="138"/>
      <c r="D26" s="87">
        <f>_xlfn.IFERROR(生产日报6取值!D26,"")</f>
        <v>2351</v>
      </c>
      <c r="E26" s="87"/>
      <c r="F26" s="139">
        <f>生产日报6取值!F26</f>
        <v>21.2940740740741</v>
      </c>
      <c r="G26" s="139"/>
      <c r="H26" s="139">
        <f>生产日报6取值!H26</f>
        <v>20.3220338983051</v>
      </c>
      <c r="I26" s="139"/>
      <c r="J26" s="139">
        <f>K18</f>
        <v>93.58</v>
      </c>
      <c r="K26" s="139" t="str">
        <f>生产日报6取值!K26</f>
        <v/>
      </c>
      <c r="L26" s="139"/>
      <c r="M26" s="139" t="str">
        <f>生产日报6取值!M26</f>
        <v/>
      </c>
      <c r="N26" s="139"/>
      <c r="O26" s="139">
        <f>L18</f>
        <v>93.58</v>
      </c>
      <c r="P26" s="297"/>
      <c r="Q26" s="297"/>
    </row>
    <row customHeight="1" ht="50.25">
      <c r="A27" s="67"/>
      <c r="B27" s="84" t="s">
        <v>298</v>
      </c>
      <c r="C27" s="140"/>
      <c r="D27" s="631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297"/>
      <c r="Q27" s="297"/>
    </row>
    <row customHeight="1" ht="27">
      <c r="A28" s="67"/>
      <c r="B28" s="87" t="s">
        <v>299</v>
      </c>
      <c r="C28" s="104"/>
      <c r="D28" s="632" t="s">
        <v>300</v>
      </c>
      <c r="E28" s="632"/>
      <c r="F28" s="632"/>
      <c r="G28" s="87" t="s">
        <v>301</v>
      </c>
      <c r="H28" s="87"/>
      <c r="I28" s="87"/>
      <c r="J28" s="87" t="s">
        <v>302</v>
      </c>
      <c r="K28" s="87"/>
      <c r="L28" s="87"/>
      <c r="M28" s="633" t="s">
        <v>303</v>
      </c>
      <c r="N28" s="633" t="s">
        <v>304</v>
      </c>
      <c r="O28" s="633" t="s">
        <v>242</v>
      </c>
      <c r="P28" s="146"/>
      <c r="Q28" s="146"/>
    </row>
    <row customHeight="1" ht="24">
      <c r="A29" s="67"/>
      <c r="B29" s="106" t="s">
        <v>305</v>
      </c>
      <c r="C29" s="106"/>
      <c r="D29" s="107" t="s">
        <v>306</v>
      </c>
      <c r="E29" s="84" t="s">
        <v>307</v>
      </c>
      <c r="F29" s="84" t="s">
        <v>308</v>
      </c>
      <c r="G29" s="107" t="s">
        <v>309</v>
      </c>
      <c r="H29" s="84" t="s">
        <v>310</v>
      </c>
      <c r="I29" s="84" t="s">
        <v>311</v>
      </c>
      <c r="J29" s="107" t="s">
        <v>312</v>
      </c>
      <c r="K29" s="84" t="s">
        <v>313</v>
      </c>
      <c r="L29" s="84" t="s">
        <v>314</v>
      </c>
      <c r="M29" s="635"/>
      <c r="N29" s="635"/>
      <c r="O29" s="635"/>
      <c r="P29" s="146"/>
      <c r="Q29" s="146"/>
    </row>
    <row customHeight="1" ht="24">
      <c r="A30" s="67"/>
      <c r="B30" s="106"/>
      <c r="C30" s="106"/>
      <c r="D30" s="102" t="str">
        <f>_xlfn.IFERROR(生产日报6取值!D30&amp;"","")</f>
        <v/>
      </c>
      <c r="E30" s="102" t="str">
        <f>_xlfn.IFERROR(生产日报6取值!E30&amp;"","")</f>
        <v/>
      </c>
      <c r="F30" s="102" t="str">
        <f>_xlfn.IFERROR(生产日报6取值!F30&amp;"","")</f>
        <v/>
      </c>
      <c r="G30" s="102" t="str">
        <f>_xlfn.IFERROR(生产日报6取值!G30&amp;"","")</f>
        <v/>
      </c>
      <c r="H30" s="102" t="str">
        <f>_xlfn.IFERROR(生产日报6取值!H30&amp;"","")</f>
        <v/>
      </c>
      <c r="I30" s="102" t="str">
        <f>_xlfn.IFERROR(生产日报6取值!I30&amp;"","")</f>
        <v/>
      </c>
      <c r="J30" s="102" t="str">
        <f>_xlfn.IFERROR(生产日报6取值!J30&amp;"","")</f>
        <v/>
      </c>
      <c r="K30" s="102" t="str">
        <f>_xlfn.IFERROR(生产日报6取值!K30&amp;"","")</f>
        <v/>
      </c>
      <c r="L30" s="102" t="str">
        <f>_xlfn.IFERROR(生产日报6取值!L30&amp;"","")</f>
        <v/>
      </c>
      <c r="M30" s="147" t="str">
        <f>_xlfn.IFERROR(生产日报6取值!M30&amp;"","")</f>
        <v/>
      </c>
      <c r="N30" s="147" t="str">
        <f>_xlfn.IFERROR(生产日报6取值!N30&amp;"","")</f>
        <v/>
      </c>
      <c r="O30" s="637"/>
      <c r="P30" s="146"/>
      <c r="Q30" s="146"/>
    </row>
    <row customHeight="1" ht="24">
      <c r="A31" s="67"/>
      <c r="B31" s="106"/>
      <c r="C31" s="106"/>
      <c r="D31" s="84" t="s">
        <v>315</v>
      </c>
      <c r="E31" s="84" t="str">
        <f>_xlfn.IFERROR(生产日报6取值!E31&amp;"","")</f>
        <v/>
      </c>
      <c r="F31" s="84" t="str">
        <f>_xlfn.IFERROR(生产日报6取值!F31&amp;"","")</f>
        <v/>
      </c>
      <c r="G31" s="84" t="s">
        <v>315</v>
      </c>
      <c r="H31" s="84" t="str">
        <f>_xlfn.IFERROR(生产日报6取值!H31&amp;"","")</f>
        <v/>
      </c>
      <c r="I31" s="84" t="str">
        <f>_xlfn.IFERROR(生产日报6取值!I31&amp;"","")</f>
        <v/>
      </c>
      <c r="J31" s="84" t="s">
        <v>315</v>
      </c>
      <c r="K31" s="84" t="str">
        <f>_xlfn.IFERROR(生产日报6取值!K31&amp;"","")</f>
        <v/>
      </c>
      <c r="L31" s="84" t="str">
        <f>_xlfn.IFERROR(生产日报6取值!L31&amp;"","")</f>
        <v/>
      </c>
      <c r="M31" s="102"/>
      <c r="N31" s="102"/>
      <c r="O31" s="102"/>
      <c r="P31" s="146"/>
      <c r="Q31" s="146"/>
    </row>
    <row customHeight="1" ht="24">
      <c r="A32" s="67"/>
      <c r="B32" s="106"/>
      <c r="C32" s="106"/>
      <c r="D32" s="84" t="s">
        <v>316</v>
      </c>
      <c r="E32" s="102" t="str">
        <f>_xlfn.IFERROR(生产日报6取值!E32&amp;"","")</f>
        <v/>
      </c>
      <c r="F32" s="102" t="str">
        <f>_xlfn.IFERROR(生产日报6取值!F32&amp;"","")</f>
        <v/>
      </c>
      <c r="G32" s="84" t="s">
        <v>316</v>
      </c>
      <c r="H32" s="102" t="str">
        <f>_xlfn.IFERROR(生产日报6取值!H32&amp;"","")</f>
        <v/>
      </c>
      <c r="I32" s="102" t="str">
        <f>_xlfn.IFERROR(生产日报6取值!I32&amp;"","")</f>
        <v/>
      </c>
      <c r="J32" s="84" t="s">
        <v>316</v>
      </c>
      <c r="K32" s="102" t="str">
        <f>_xlfn.IFERROR(生产日报6取值!K32&amp;"","")</f>
        <v/>
      </c>
      <c r="L32" s="102" t="str">
        <f>_xlfn.IFERROR(生产日报6取值!L32&amp;"","")</f>
        <v/>
      </c>
      <c r="M32" s="102"/>
      <c r="N32" s="102"/>
      <c r="O32" s="102"/>
      <c r="P32" s="146"/>
      <c r="Q32" s="146"/>
    </row>
    <row customHeight="1" ht="18">
      <c r="A33" s="67"/>
      <c r="B33" s="110" t="s">
        <v>171</v>
      </c>
      <c r="C33" s="110"/>
      <c r="D33" s="141" t="s">
        <v>60</v>
      </c>
      <c r="E33" s="110" t="s">
        <v>317</v>
      </c>
      <c r="F33" s="110"/>
      <c r="G33" s="111" t="s">
        <v>110</v>
      </c>
      <c r="H33" s="111"/>
      <c r="I33" s="141" t="s">
        <v>318</v>
      </c>
      <c r="J33" s="141"/>
      <c r="K33" s="131"/>
      <c r="L33" s="111" t="s">
        <v>121</v>
      </c>
      <c r="M33" s="111"/>
      <c r="N33" s="141" t="s">
        <v>319</v>
      </c>
      <c r="O33" s="141"/>
      <c r="P33" s="297"/>
      <c r="Q33" s="297"/>
    </row>
    <row customHeight="1" ht="13.8975">
      <c r="A34" s="67"/>
      <c r="B34" s="641"/>
      <c r="C34" s="641"/>
      <c r="D34" s="641"/>
      <c r="E34" s="641"/>
      <c r="F34" s="641"/>
      <c r="G34" s="641"/>
      <c r="H34" s="641"/>
      <c r="I34" s="641"/>
      <c r="J34" s="641"/>
      <c r="K34" s="641"/>
      <c r="L34" s="641"/>
      <c r="M34" s="641"/>
      <c r="N34" s="641"/>
      <c r="O34" s="641"/>
      <c r="P34" s="297"/>
      <c r="Q34" s="297"/>
    </row>
    <row customHeight="1" ht="13.8975">
      <c r="A35" s="67"/>
      <c r="B35" s="641"/>
      <c r="C35" s="641"/>
      <c r="D35" s="641"/>
      <c r="E35" s="641"/>
      <c r="F35" s="641"/>
      <c r="G35" s="641"/>
      <c r="H35" s="641"/>
      <c r="I35" s="641"/>
      <c r="J35" s="641"/>
      <c r="K35" s="641"/>
      <c r="L35" s="641"/>
      <c r="M35" s="641"/>
      <c r="N35" s="641"/>
      <c r="O35" s="641"/>
      <c r="P35" s="297"/>
      <c r="Q35" s="297"/>
    </row>
    <row customHeight="1" ht="13.8975">
      <c r="A36" s="67"/>
      <c r="B36" s="641"/>
      <c r="C36" s="641"/>
      <c r="D36" s="641"/>
      <c r="E36" s="641"/>
      <c r="F36" s="641"/>
      <c r="G36" s="641"/>
      <c r="H36" s="641"/>
      <c r="I36" s="641"/>
      <c r="J36" s="641"/>
      <c r="K36" s="641"/>
      <c r="L36" s="641"/>
      <c r="M36" s="641"/>
      <c r="N36" s="641"/>
      <c r="O36" s="641"/>
      <c r="P36" s="297"/>
      <c r="Q36" s="297"/>
    </row>
    <row customHeight="1" ht="13.8975">
      <c r="A37" s="67"/>
      <c r="B37" s="641"/>
      <c r="C37" s="641"/>
      <c r="D37" s="641"/>
      <c r="E37" s="641"/>
      <c r="F37" s="641"/>
      <c r="G37" s="641"/>
      <c r="H37" s="641"/>
      <c r="I37" s="641"/>
      <c r="J37" s="641"/>
      <c r="K37" s="641"/>
      <c r="L37" s="641"/>
      <c r="M37" s="641"/>
      <c r="N37" s="641"/>
      <c r="O37" s="641"/>
      <c r="P37" s="297"/>
      <c r="Q37" s="297"/>
    </row>
    <row customHeight="1" ht="14.25">
      <c r="A38" s="67"/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297"/>
      <c r="Q38" s="297"/>
    </row>
    <row customHeight="1" ht="14.25">
      <c r="A39" s="67"/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297"/>
      <c r="Q39" s="297"/>
    </row>
    <row customHeight="1" ht="14.25">
      <c r="A40" s="67"/>
      <c r="B40" s="641"/>
      <c r="C40" s="641"/>
      <c r="D40" s="641"/>
      <c r="E40" s="641"/>
      <c r="F40" s="641"/>
      <c r="G40" s="641"/>
      <c r="H40" s="641"/>
      <c r="I40" s="641"/>
      <c r="J40" s="641"/>
      <c r="K40" s="641"/>
      <c r="L40" s="641"/>
      <c r="M40" s="641"/>
      <c r="N40" s="641"/>
      <c r="O40" s="641"/>
      <c r="P40" s="297"/>
      <c r="Q40" s="297"/>
    </row>
    <row customHeight="1" ht="14.25">
      <c r="A41" s="67"/>
      <c r="B41" s="641"/>
      <c r="C41" s="641"/>
      <c r="D41" s="641"/>
      <c r="E41" s="641"/>
      <c r="F41" s="641"/>
      <c r="G41" s="641"/>
      <c r="H41" s="641"/>
      <c r="I41" s="641"/>
      <c r="J41" s="641"/>
      <c r="K41" s="641"/>
      <c r="L41" s="641"/>
      <c r="M41" s="641"/>
      <c r="N41" s="641"/>
      <c r="O41" s="641"/>
      <c r="P41" s="297"/>
      <c r="Q41" s="297"/>
    </row>
    <row customHeight="1" ht="14.25">
      <c r="A42" s="67"/>
      <c r="B42" s="641"/>
      <c r="C42" s="641"/>
      <c r="D42" s="641"/>
      <c r="E42" s="641"/>
      <c r="F42" s="641"/>
      <c r="G42" s="641"/>
      <c r="H42" s="641"/>
      <c r="I42" s="641"/>
      <c r="J42" s="641"/>
      <c r="K42" s="641"/>
      <c r="L42" s="641"/>
      <c r="M42" s="641"/>
      <c r="N42" s="641"/>
      <c r="O42" s="641"/>
      <c r="P42" s="297"/>
      <c r="Q42" s="297"/>
    </row>
    <row customHeight="1" ht="14.25">
      <c r="A43" s="67"/>
      <c r="B43" s="641"/>
      <c r="C43" s="641"/>
      <c r="D43" s="641"/>
      <c r="E43" s="641"/>
      <c r="F43" s="641"/>
      <c r="G43" s="641"/>
      <c r="H43" s="641"/>
      <c r="I43" s="641"/>
      <c r="J43" s="641"/>
      <c r="K43" s="641"/>
      <c r="L43" s="641"/>
      <c r="M43" s="641"/>
      <c r="N43" s="641"/>
      <c r="O43" s="641"/>
      <c r="P43" s="297"/>
      <c r="Q43" s="297"/>
    </row>
    <row customHeight="1" ht="14.25">
      <c r="A44" s="67"/>
      <c r="B44" s="641"/>
      <c r="C44" s="641"/>
      <c r="D44" s="641"/>
      <c r="E44" s="641"/>
      <c r="F44" s="641"/>
      <c r="G44" s="641"/>
      <c r="H44" s="641"/>
      <c r="I44" s="641"/>
      <c r="J44" s="641"/>
      <c r="K44" s="641"/>
      <c r="L44" s="641"/>
      <c r="M44" s="641"/>
      <c r="N44" s="641"/>
      <c r="O44" s="641"/>
      <c r="P44" s="297"/>
      <c r="Q44" s="297"/>
    </row>
    <row customHeight="1" ht="14.25">
      <c r="A45" s="67"/>
      <c r="B45" s="641"/>
      <c r="C45" s="641"/>
      <c r="D45" s="641"/>
      <c r="E45" s="641"/>
      <c r="F45" s="641"/>
      <c r="G45" s="641"/>
      <c r="H45" s="641"/>
      <c r="I45" s="641"/>
      <c r="J45" s="641"/>
      <c r="K45" s="641"/>
      <c r="L45" s="641"/>
      <c r="M45" s="641"/>
      <c r="N45" s="641"/>
      <c r="O45" s="641"/>
      <c r="P45" s="297"/>
      <c r="Q45" s="297"/>
    </row>
    <row customHeight="1" ht="14.25">
      <c r="A46" s="67"/>
      <c r="B46" s="641"/>
      <c r="C46" s="641"/>
      <c r="D46" s="641"/>
      <c r="E46" s="641"/>
      <c r="F46" s="641"/>
      <c r="G46" s="641"/>
      <c r="H46" s="641"/>
      <c r="I46" s="641"/>
      <c r="J46" s="641"/>
      <c r="K46" s="641"/>
      <c r="L46" s="641"/>
      <c r="M46" s="641"/>
      <c r="N46" s="641"/>
      <c r="O46" s="641"/>
      <c r="P46" s="297"/>
      <c r="Q46" s="297"/>
    </row>
    <row customHeight="1" ht="14.25">
      <c r="A47" s="67"/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297"/>
      <c r="Q47" s="297"/>
    </row>
    <row customHeight="1" ht="14.25">
      <c r="A48" s="67"/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297"/>
      <c r="Q48" s="297"/>
    </row>
    <row customHeight="1" ht="14.25">
      <c r="A49" s="67"/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297"/>
      <c r="Q49" s="297"/>
    </row>
    <row customHeight="1" ht="14.25">
      <c r="A50" s="67"/>
      <c r="B50" s="641"/>
      <c r="C50" s="641"/>
      <c r="D50" s="641"/>
      <c r="E50" s="641"/>
      <c r="F50" s="641"/>
      <c r="G50" s="641"/>
      <c r="H50" s="641"/>
      <c r="I50" s="641"/>
      <c r="J50" s="641"/>
      <c r="K50" s="641"/>
      <c r="L50" s="641"/>
      <c r="M50" s="641"/>
      <c r="N50" s="641"/>
      <c r="O50" s="641"/>
      <c r="P50" s="297"/>
      <c r="Q50" s="297"/>
    </row>
    <row customHeight="1" ht="14.25">
      <c r="A51" s="67"/>
      <c r="B51" s="641"/>
      <c r="C51" s="641"/>
      <c r="D51" s="641"/>
      <c r="E51" s="641"/>
      <c r="F51" s="641"/>
      <c r="G51" s="641"/>
      <c r="H51" s="641"/>
      <c r="I51" s="641"/>
      <c r="J51" s="641"/>
      <c r="K51" s="641"/>
      <c r="L51" s="641"/>
      <c r="M51" s="641"/>
      <c r="N51" s="641"/>
      <c r="O51" s="641"/>
      <c r="P51" s="297"/>
      <c r="Q51" s="297"/>
    </row>
  </sheetData>
  <mergeCells count="132">
    <mergeCell ref="B1:O1"/>
    <mergeCell ref="B2:D2"/>
    <mergeCell ref="E2:F2"/>
    <mergeCell ref="G2:H2"/>
    <mergeCell ref="I2:J2"/>
    <mergeCell ref="K2:L2"/>
    <mergeCell ref="M2:O2"/>
    <mergeCell ref="D3:I3"/>
    <mergeCell ref="J3:O3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D11:F11"/>
    <mergeCell ref="G11:I11"/>
    <mergeCell ref="J11:L11"/>
    <mergeCell ref="M11:O11"/>
    <mergeCell ref="B13:C13"/>
    <mergeCell ref="B14:C14"/>
    <mergeCell ref="B15:C15"/>
    <mergeCell ref="B16:C16"/>
    <mergeCell ref="B17:C17"/>
    <mergeCell ref="B18:C18"/>
    <mergeCell ref="F19:J19"/>
    <mergeCell ref="K19:O19"/>
    <mergeCell ref="F20:G20"/>
    <mergeCell ref="H20:I20"/>
    <mergeCell ref="K20:L20"/>
    <mergeCell ref="M20:N20"/>
    <mergeCell ref="B21:C21"/>
    <mergeCell ref="D21:E21"/>
    <mergeCell ref="F21:G21"/>
    <mergeCell ref="H21:I21"/>
    <mergeCell ref="K21:L21"/>
    <mergeCell ref="M21:N21"/>
    <mergeCell ref="B22:C22"/>
    <mergeCell ref="D22:E22"/>
    <mergeCell ref="F22:G22"/>
    <mergeCell ref="H22:I22"/>
    <mergeCell ref="K22:L22"/>
    <mergeCell ref="M22:N22"/>
    <mergeCell ref="B23:C23"/>
    <mergeCell ref="D23:E23"/>
    <mergeCell ref="F23:G23"/>
    <mergeCell ref="H23:I23"/>
    <mergeCell ref="K23:L23"/>
    <mergeCell ref="M23:N23"/>
    <mergeCell ref="B24:C24"/>
    <mergeCell ref="D24:E24"/>
    <mergeCell ref="F24:G24"/>
    <mergeCell ref="H24:I24"/>
    <mergeCell ref="K24:L24"/>
    <mergeCell ref="M24:N24"/>
    <mergeCell ref="B25:C25"/>
    <mergeCell ref="D25:E25"/>
    <mergeCell ref="F25:G25"/>
    <mergeCell ref="H25:I25"/>
    <mergeCell ref="K25:L25"/>
    <mergeCell ref="M25:N25"/>
    <mergeCell ref="B26:C26"/>
    <mergeCell ref="D26:E26"/>
    <mergeCell ref="F26:G26"/>
    <mergeCell ref="H26:I26"/>
    <mergeCell ref="K26:L26"/>
    <mergeCell ref="M26:N26"/>
    <mergeCell ref="B27:C27"/>
    <mergeCell ref="D27:O27"/>
    <mergeCell ref="B28:C28"/>
    <mergeCell ref="D28:F28"/>
    <mergeCell ref="G28:I28"/>
    <mergeCell ref="J28:L28"/>
    <mergeCell ref="B33:C33"/>
    <mergeCell ref="E33:F33"/>
    <mergeCell ref="G33:H33"/>
    <mergeCell ref="I33:J33"/>
    <mergeCell ref="L33:M33"/>
    <mergeCell ref="N33:O33"/>
    <mergeCell ref="M28:M29"/>
    <mergeCell ref="M30:M32"/>
    <mergeCell ref="N28:N29"/>
    <mergeCell ref="N30:N32"/>
    <mergeCell ref="O28:O29"/>
    <mergeCell ref="O30:O32"/>
    <mergeCell ref="B3:C4"/>
    <mergeCell ref="B11:C12"/>
    <mergeCell ref="B19:C20"/>
    <mergeCell ref="D19:E20"/>
    <mergeCell ref="B29:C32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3560C53-655A-4C71-83C7-C32FF6C1CDBF}" mc:Ignorable="x14ac xr xr2 xr3">
  <dimension ref="A1:O60"/>
  <sheetViews>
    <sheetView topLeftCell="A12" workbookViewId="0">
      <selection activeCell="F22" sqref="F22:G22"/>
    </sheetView>
  </sheetViews>
  <sheetFormatPr defaultColWidth="9.00390625" customHeight="1" defaultRowHeight="13.5"/>
  <cols>
    <col min="1" max="1" style="51" width="2.7109375" customWidth="1"/>
    <col min="2" max="15" style="51" width="9.00390625"/>
  </cols>
  <sheetData>
    <row customHeight="1" ht="25.5">
      <c r="A1" s="67"/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</row>
    <row customHeight="1" ht="14.25">
      <c r="A2" s="67"/>
      <c r="B2" s="90" t="s">
        <v>1</v>
      </c>
      <c r="C2" s="90"/>
      <c r="D2" s="90"/>
      <c r="E2" s="90"/>
      <c r="F2" s="90" t="s">
        <v>66</v>
      </c>
      <c r="G2" s="395" t="s">
        <v>3</v>
      </c>
      <c r="H2" s="395"/>
      <c r="I2" s="643" t="s">
        <v>68</v>
      </c>
      <c r="J2" s="643"/>
      <c r="K2" s="644"/>
      <c r="L2" s="644"/>
      <c r="M2" s="88" t="s">
        <v>320</v>
      </c>
      <c r="N2" s="88"/>
      <c r="O2" s="127" t="s">
        <v>321</v>
      </c>
    </row>
    <row customHeight="1" ht="14.25">
      <c r="A3" s="67"/>
      <c r="B3" s="80" t="s">
        <v>7</v>
      </c>
      <c r="C3" s="80"/>
      <c r="D3" s="80" t="s">
        <v>105</v>
      </c>
      <c r="E3" s="80"/>
      <c r="F3" s="80"/>
      <c r="G3" s="80"/>
      <c r="H3" s="80"/>
      <c r="I3" s="80"/>
      <c r="J3" s="80" t="s">
        <v>8</v>
      </c>
      <c r="K3" s="80"/>
      <c r="L3" s="80"/>
      <c r="M3" s="80"/>
      <c r="N3" s="80"/>
      <c r="O3" s="80"/>
    </row>
    <row customHeight="1" ht="14.25">
      <c r="A4" s="67"/>
      <c r="B4" s="80"/>
      <c r="C4" s="80"/>
      <c r="D4" s="80" t="s">
        <v>283</v>
      </c>
      <c r="E4" s="80"/>
      <c r="F4" s="80" t="s">
        <v>284</v>
      </c>
      <c r="G4" s="80"/>
      <c r="H4" s="80" t="s">
        <v>285</v>
      </c>
      <c r="I4" s="80"/>
      <c r="J4" s="80" t="s">
        <v>283</v>
      </c>
      <c r="K4" s="80"/>
      <c r="L4" s="80" t="s">
        <v>284</v>
      </c>
      <c r="M4" s="80"/>
      <c r="N4" s="80" t="s">
        <v>285</v>
      </c>
      <c r="O4" s="80"/>
    </row>
    <row customHeight="1" ht="14.25">
      <c r="A5" s="67"/>
      <c r="B5" s="100" t="s">
        <v>286</v>
      </c>
      <c r="C5" s="100"/>
      <c r="D5" s="101">
        <f>_xlfn.IFERROR(SUM(D6:E10),"")</f>
        <v>0</v>
      </c>
      <c r="E5" s="101"/>
      <c r="F5" s="101">
        <f>_xlfn.IFERROR(SUM(F6:G10),"")</f>
        <v>0</v>
      </c>
      <c r="G5" s="101"/>
      <c r="H5" s="101" t="str">
        <f>_xlfn.IFERROR(AVERAGE(H6:I10),"")</f>
        <v/>
      </c>
      <c r="I5" s="101"/>
      <c r="J5" s="101">
        <f>_xlfn.IFERROR(SUM(J6:K10),"")</f>
        <v>13300</v>
      </c>
      <c r="K5" s="101"/>
      <c r="L5" s="101">
        <f>_xlfn.IFERROR(SUM(L6:M10),"")</f>
        <v>87900</v>
      </c>
      <c r="M5" s="101"/>
      <c r="N5" s="101">
        <f>_xlfn.IFERROR(AVERAGE(N6:O10),"")</f>
        <v>92.8</v>
      </c>
      <c r="O5" s="101"/>
    </row>
    <row customHeight="1" ht="14.25">
      <c r="A6" s="67"/>
      <c r="B6" s="80" t="s">
        <v>287</v>
      </c>
      <c r="C6" s="80"/>
      <c r="D6" s="101"/>
      <c r="E6" s="101"/>
      <c r="F6" s="101"/>
      <c r="G6" s="101"/>
      <c r="H6" s="102"/>
      <c r="I6" s="102"/>
      <c r="J6" s="101">
        <v>2800</v>
      </c>
      <c r="K6" s="101"/>
      <c r="L6" s="101">
        <v>17700</v>
      </c>
      <c r="M6" s="101"/>
      <c r="N6" s="102">
        <v>92.8</v>
      </c>
      <c r="O6" s="102"/>
    </row>
    <row customHeight="1" ht="14.25">
      <c r="A7" s="67"/>
      <c r="B7" s="80" t="s">
        <v>288</v>
      </c>
      <c r="C7" s="80"/>
      <c r="D7" s="101"/>
      <c r="E7" s="101"/>
      <c r="F7" s="101"/>
      <c r="G7" s="101"/>
      <c r="H7" s="102"/>
      <c r="I7" s="102"/>
      <c r="J7" s="101">
        <v>1500</v>
      </c>
      <c r="K7" s="101"/>
      <c r="L7" s="101">
        <v>9000</v>
      </c>
      <c r="M7" s="101"/>
      <c r="N7" s="102">
        <v>92.8</v>
      </c>
      <c r="O7" s="102"/>
    </row>
    <row customHeight="1" ht="14.25">
      <c r="A8" s="67"/>
      <c r="B8" s="80" t="s">
        <v>289</v>
      </c>
      <c r="C8" s="80"/>
      <c r="D8" s="101"/>
      <c r="E8" s="101"/>
      <c r="F8" s="101"/>
      <c r="G8" s="101"/>
      <c r="H8" s="102"/>
      <c r="I8" s="102"/>
      <c r="J8" s="101">
        <v>2300</v>
      </c>
      <c r="K8" s="101"/>
      <c r="L8" s="101">
        <v>14400</v>
      </c>
      <c r="M8" s="101"/>
      <c r="N8" s="102">
        <v>92.8</v>
      </c>
      <c r="O8" s="102"/>
    </row>
    <row customHeight="1" ht="14.25">
      <c r="A9" s="67"/>
      <c r="B9" s="80" t="s">
        <v>290</v>
      </c>
      <c r="C9" s="80"/>
      <c r="D9" s="101"/>
      <c r="E9" s="101"/>
      <c r="F9" s="101"/>
      <c r="G9" s="101"/>
      <c r="H9" s="102"/>
      <c r="I9" s="102"/>
      <c r="J9" s="101">
        <v>4000</v>
      </c>
      <c r="K9" s="101"/>
      <c r="L9" s="101">
        <v>29100</v>
      </c>
      <c r="M9" s="101"/>
      <c r="N9" s="102">
        <v>92.8</v>
      </c>
      <c r="O9" s="102"/>
    </row>
    <row customHeight="1" ht="14.25">
      <c r="A10" s="67"/>
      <c r="B10" s="80" t="s">
        <v>291</v>
      </c>
      <c r="C10" s="80"/>
      <c r="D10" s="101"/>
      <c r="E10" s="101"/>
      <c r="F10" s="101"/>
      <c r="G10" s="101"/>
      <c r="H10" s="102"/>
      <c r="I10" s="102"/>
      <c r="J10" s="101">
        <v>2700</v>
      </c>
      <c r="K10" s="101"/>
      <c r="L10" s="101">
        <v>17700</v>
      </c>
      <c r="M10" s="101"/>
      <c r="N10" s="102">
        <v>92.8</v>
      </c>
      <c r="O10" s="102"/>
    </row>
    <row customHeight="1" ht="14.25">
      <c r="A11" s="67"/>
      <c r="B11" s="80" t="s">
        <v>7</v>
      </c>
      <c r="C11" s="80"/>
      <c r="D11" s="80" t="s">
        <v>292</v>
      </c>
      <c r="E11" s="80"/>
      <c r="F11" s="80"/>
      <c r="G11" s="80" t="s">
        <v>293</v>
      </c>
      <c r="H11" s="80"/>
      <c r="I11" s="80"/>
      <c r="J11" s="80" t="s">
        <v>285</v>
      </c>
      <c r="K11" s="80"/>
      <c r="L11" s="80"/>
      <c r="M11" s="80" t="s">
        <v>294</v>
      </c>
      <c r="N11" s="80"/>
      <c r="O11" s="80"/>
    </row>
    <row customHeight="1" ht="14.25">
      <c r="A12" s="67"/>
      <c r="B12" s="80"/>
      <c r="C12" s="80"/>
      <c r="D12" s="80" t="s">
        <v>126</v>
      </c>
      <c r="E12" s="80" t="s">
        <v>17</v>
      </c>
      <c r="F12" s="80" t="s">
        <v>108</v>
      </c>
      <c r="G12" s="80" t="s">
        <v>126</v>
      </c>
      <c r="H12" s="80" t="s">
        <v>17</v>
      </c>
      <c r="I12" s="80" t="s">
        <v>108</v>
      </c>
      <c r="J12" s="80" t="s">
        <v>126</v>
      </c>
      <c r="K12" s="80" t="s">
        <v>17</v>
      </c>
      <c r="L12" s="80" t="s">
        <v>108</v>
      </c>
      <c r="M12" s="80" t="s">
        <v>126</v>
      </c>
      <c r="N12" s="80" t="s">
        <v>17</v>
      </c>
      <c r="O12" s="80" t="s">
        <v>108</v>
      </c>
    </row>
    <row customHeight="1" ht="14.25">
      <c r="A13" s="67"/>
      <c r="B13" s="100" t="s">
        <v>286</v>
      </c>
      <c r="C13" s="100"/>
      <c r="D13" s="84">
        <f>_xlfn.IFERROR(SUM(D14:D18),"")</f>
        <v>340.31</v>
      </c>
      <c r="E13" s="84">
        <f>_xlfn.IFERROR(SUM(E14:E18),"")</f>
        <v>2450.94</v>
      </c>
      <c r="F13" s="84">
        <f>_xlfn.IFERROR(SUM(F14:F18),"")</f>
        <v>2450.94</v>
      </c>
      <c r="G13" s="84">
        <f>_xlfn.IFERROR(SUM(G14:G18),"")</f>
        <v>2119</v>
      </c>
      <c r="H13" s="84">
        <f>_xlfn.IFERROR(SUM(H14:H18),"")</f>
        <v>15226</v>
      </c>
      <c r="I13" s="84">
        <f>_xlfn.IFERROR(SUM(I14:I18),"")</f>
        <v>15226</v>
      </c>
      <c r="J13" s="128">
        <f>_xlfn.IFERROR(AVERAGE(J14:J18),"")</f>
        <v>75.138</v>
      </c>
      <c r="K13" s="128">
        <f>_xlfn.IFERROR(AVERAGE(K14:K18),"")</f>
        <v>92.982</v>
      </c>
      <c r="L13" s="128">
        <f>_xlfn.IFERROR(AVERAGE(L14:L18),"")</f>
        <v>92.982</v>
      </c>
      <c r="M13" s="84">
        <f>_xlfn.IFERROR(SUM(M14:M18),"")</f>
        <v>4099</v>
      </c>
      <c r="N13" s="84">
        <f>_xlfn.IFERROR(SUM(N14:N18),"")</f>
        <v>14347</v>
      </c>
      <c r="O13" s="84">
        <f>_xlfn.IFERROR(SUM(O14:O18),"")</f>
        <v>14347</v>
      </c>
    </row>
    <row customHeight="1" ht="14.25">
      <c r="A14" s="67"/>
      <c r="B14" s="80" t="s">
        <v>287</v>
      </c>
      <c r="C14" s="80"/>
      <c r="D14" s="103">
        <f>D34</f>
        <v>61.02</v>
      </c>
      <c r="E14" s="103">
        <f>E34</f>
        <v>442.25</v>
      </c>
      <c r="F14" s="103">
        <f>F34</f>
        <v>442.25</v>
      </c>
      <c r="G14" s="103">
        <f>G34</f>
        <v>369</v>
      </c>
      <c r="H14" s="103">
        <f>H34</f>
        <v>2712</v>
      </c>
      <c r="I14" s="103">
        <f>I34</f>
        <v>2712</v>
      </c>
      <c r="J14" s="103">
        <f>J34</f>
        <v>91.25</v>
      </c>
      <c r="K14" s="103">
        <f>K34</f>
        <v>92.54</v>
      </c>
      <c r="L14" s="103">
        <f>L34</f>
        <v>92.54</v>
      </c>
      <c r="M14" s="103">
        <f>M34</f>
        <v>873</v>
      </c>
      <c r="N14" s="103">
        <f>N34</f>
        <v>1837</v>
      </c>
      <c r="O14" s="103">
        <f>O34</f>
        <v>1837</v>
      </c>
    </row>
    <row customHeight="1" ht="14.25">
      <c r="A15" s="67"/>
      <c r="B15" s="80" t="s">
        <v>288</v>
      </c>
      <c r="C15" s="80"/>
      <c r="D15" s="103">
        <f>D35</f>
        <v>1.4</v>
      </c>
      <c r="E15" s="103">
        <f>E35</f>
        <v>154.83</v>
      </c>
      <c r="F15" s="103">
        <f>F35</f>
        <v>154.83</v>
      </c>
      <c r="G15" s="103">
        <f>G35</f>
        <v>0</v>
      </c>
      <c r="H15" s="103">
        <f>H35</f>
        <v>928</v>
      </c>
      <c r="I15" s="103">
        <f>I35</f>
        <v>928</v>
      </c>
      <c r="J15" s="103">
        <f>J35</f>
        <v>0</v>
      </c>
      <c r="K15" s="103">
        <f>K35</f>
        <v>89.8</v>
      </c>
      <c r="L15" s="103">
        <f>L35</f>
        <v>89.8</v>
      </c>
      <c r="M15" s="103">
        <f>M35</f>
        <v>0</v>
      </c>
      <c r="N15" s="103">
        <f>N35</f>
        <v>987</v>
      </c>
      <c r="O15" s="103">
        <f>O35</f>
        <v>987</v>
      </c>
    </row>
    <row customHeight="1" ht="14.25">
      <c r="A16" s="67"/>
      <c r="B16" s="80" t="s">
        <v>289</v>
      </c>
      <c r="C16" s="80"/>
      <c r="D16" s="103">
        <f>D36</f>
        <v>72.79</v>
      </c>
      <c r="E16" s="103">
        <f>E36</f>
        <v>508.73</v>
      </c>
      <c r="F16" s="103">
        <f>F36</f>
        <v>508.73</v>
      </c>
      <c r="G16" s="103">
        <f>G36</f>
        <v>467</v>
      </c>
      <c r="H16" s="103">
        <f>H36</f>
        <v>3218</v>
      </c>
      <c r="I16" s="103">
        <f>I36</f>
        <v>3218</v>
      </c>
      <c r="J16" s="103">
        <f>J36</f>
        <v>96.35</v>
      </c>
      <c r="K16" s="103">
        <f>K36</f>
        <v>94.97</v>
      </c>
      <c r="L16" s="103">
        <f>L36</f>
        <v>94.97</v>
      </c>
      <c r="M16" s="103">
        <f>M36</f>
        <v>750</v>
      </c>
      <c r="N16" s="103">
        <f>N36</f>
        <v>2122</v>
      </c>
      <c r="O16" s="103">
        <f>O36</f>
        <v>2122</v>
      </c>
    </row>
    <row customHeight="1" ht="14.25">
      <c r="A17" s="67"/>
      <c r="B17" s="80" t="s">
        <v>290</v>
      </c>
      <c r="C17" s="80"/>
      <c r="D17" s="103">
        <f>D37</f>
        <v>121.68</v>
      </c>
      <c r="E17" s="103">
        <f>E37</f>
        <v>770.19</v>
      </c>
      <c r="F17" s="103">
        <f>F37</f>
        <v>770.19</v>
      </c>
      <c r="G17" s="103">
        <f>G37</f>
        <v>762</v>
      </c>
      <c r="H17" s="103">
        <f>H37</f>
        <v>4771</v>
      </c>
      <c r="I17" s="103">
        <f>I37</f>
        <v>4771</v>
      </c>
      <c r="J17" s="103">
        <f>J37</f>
        <v>94.82</v>
      </c>
      <c r="K17" s="103">
        <f>K37</f>
        <v>94.02</v>
      </c>
      <c r="L17" s="103">
        <f>L37</f>
        <v>94.02</v>
      </c>
      <c r="M17" s="103">
        <f>M37</f>
        <v>1830</v>
      </c>
      <c r="N17" s="103">
        <f>N37</f>
        <v>5660</v>
      </c>
      <c r="O17" s="103">
        <f>O37</f>
        <v>5660</v>
      </c>
    </row>
    <row customHeight="1" ht="14.25">
      <c r="A18" s="67"/>
      <c r="B18" s="80" t="s">
        <v>291</v>
      </c>
      <c r="C18" s="80"/>
      <c r="D18" s="103">
        <f>D38</f>
        <v>83.42</v>
      </c>
      <c r="E18" s="103">
        <f>E38</f>
        <v>574.94</v>
      </c>
      <c r="F18" s="103">
        <f>F38</f>
        <v>574.94</v>
      </c>
      <c r="G18" s="103">
        <f>G38</f>
        <v>521</v>
      </c>
      <c r="H18" s="103">
        <f>H38</f>
        <v>3597</v>
      </c>
      <c r="I18" s="103">
        <f>I38</f>
        <v>3597</v>
      </c>
      <c r="J18" s="103">
        <f>J38</f>
        <v>93.27</v>
      </c>
      <c r="K18" s="103">
        <f>K38</f>
        <v>93.58</v>
      </c>
      <c r="L18" s="103">
        <f>L38</f>
        <v>93.58</v>
      </c>
      <c r="M18" s="103">
        <f>M38</f>
        <v>646</v>
      </c>
      <c r="N18" s="103">
        <f>N38</f>
        <v>3741</v>
      </c>
      <c r="O18" s="103">
        <f>O38</f>
        <v>3741</v>
      </c>
    </row>
    <row customHeight="1" ht="14.25">
      <c r="A19" s="67"/>
      <c r="B19" s="82" t="s">
        <v>7</v>
      </c>
      <c r="C19" s="82"/>
      <c r="D19" s="82" t="s">
        <v>295</v>
      </c>
      <c r="E19" s="82"/>
      <c r="F19" s="82" t="s">
        <v>125</v>
      </c>
      <c r="G19" s="82"/>
      <c r="H19" s="82"/>
      <c r="I19" s="82"/>
      <c r="J19" s="82"/>
      <c r="K19" s="82" t="s">
        <v>296</v>
      </c>
      <c r="L19" s="82"/>
      <c r="M19" s="82"/>
      <c r="N19" s="82"/>
      <c r="O19" s="82"/>
    </row>
    <row customHeight="1" ht="14.25">
      <c r="A20" s="67"/>
      <c r="B20" s="80"/>
      <c r="C20" s="80"/>
      <c r="D20" s="80"/>
      <c r="E20" s="80"/>
      <c r="F20" s="80" t="s">
        <v>292</v>
      </c>
      <c r="G20" s="80"/>
      <c r="H20" s="80" t="s">
        <v>284</v>
      </c>
      <c r="I20" s="80"/>
      <c r="J20" s="80" t="s">
        <v>297</v>
      </c>
      <c r="K20" s="90" t="s">
        <v>292</v>
      </c>
      <c r="L20" s="90"/>
      <c r="M20" s="90" t="s">
        <v>284</v>
      </c>
      <c r="N20" s="90"/>
      <c r="O20" s="80" t="s">
        <v>297</v>
      </c>
    </row>
    <row customHeight="1" ht="14.25">
      <c r="A21" s="67"/>
      <c r="B21" s="100" t="s">
        <v>286</v>
      </c>
      <c r="C21" s="100"/>
      <c r="D21" s="101">
        <f>_xlfn.IFERROR(SUM(D22:E26),"")</f>
        <v>13212</v>
      </c>
      <c r="E21" s="101"/>
      <c r="F21" s="102">
        <f>_xlfn.IFERROR(E13/J5*100,"")</f>
        <v>18.4281203007519</v>
      </c>
      <c r="G21" s="102"/>
      <c r="H21" s="102">
        <f>_xlfn.IFERROR(H13/L5*100,"")</f>
        <v>17.3219567690557</v>
      </c>
      <c r="I21" s="102"/>
      <c r="J21" s="102"/>
      <c r="K21" s="102" t="str">
        <f>_xlfn.IFERROR(F13/D5*100,"")</f>
        <v/>
      </c>
      <c r="L21" s="102"/>
      <c r="M21" s="102" t="str">
        <f>_xlfn.IFERROR(I13/F5*100,"")</f>
        <v/>
      </c>
      <c r="N21" s="102"/>
      <c r="O21" s="102"/>
    </row>
    <row customHeight="1" ht="14.25">
      <c r="A22" s="67"/>
      <c r="B22" s="80" t="s">
        <v>287</v>
      </c>
      <c r="C22" s="80"/>
      <c r="D22" s="101">
        <v>2469</v>
      </c>
      <c r="E22" s="101"/>
      <c r="F22" s="102">
        <f>_xlfn.IFERROR(E14/J6*100,"")</f>
        <v>15.7946428571429</v>
      </c>
      <c r="G22" s="102"/>
      <c r="H22" s="102">
        <f>_xlfn.IFERROR(H14/L6*100,"")</f>
        <v>15.3220338983051</v>
      </c>
      <c r="I22" s="102"/>
      <c r="J22" s="102">
        <f>_xlfn.IFERROR(K14/N6*100,"")</f>
        <v>99.7198275862069</v>
      </c>
      <c r="K22" s="102" t="str">
        <f>_xlfn.IFERROR(F14/D6*100,"")</f>
        <v/>
      </c>
      <c r="L22" s="102"/>
      <c r="M22" s="102" t="str">
        <f>_xlfn.IFERROR(I14/F6*100,"")</f>
        <v/>
      </c>
      <c r="N22" s="102"/>
      <c r="O22" s="102" t="str">
        <f>_xlfn.IFERROR(L14/H6,"")</f>
        <v/>
      </c>
    </row>
    <row customHeight="1" ht="14.25">
      <c r="A23" s="67"/>
      <c r="B23" s="80" t="s">
        <v>288</v>
      </c>
      <c r="C23" s="80"/>
      <c r="D23" s="101">
        <v>587</v>
      </c>
      <c r="E23" s="101"/>
      <c r="F23" s="102">
        <f>_xlfn.IFERROR(E15/J7*100,"")</f>
        <v>10.322</v>
      </c>
      <c r="G23" s="102"/>
      <c r="H23" s="102">
        <f>_xlfn.IFERROR(H15/L7*100,"")</f>
        <v>10.3111111111111</v>
      </c>
      <c r="I23" s="102"/>
      <c r="J23" s="102">
        <f>_xlfn.IFERROR(K15/N7*100,"")</f>
        <v>96.7672413793103</v>
      </c>
      <c r="K23" s="102" t="str">
        <f>_xlfn.IFERROR(F15/D7*100,"")</f>
        <v/>
      </c>
      <c r="L23" s="102"/>
      <c r="M23" s="102" t="str">
        <f>_xlfn.IFERROR(I15/F7*100,"")</f>
        <v/>
      </c>
      <c r="N23" s="102"/>
      <c r="O23" s="102" t="str">
        <f>_xlfn.IFERROR(L15/H7,"")</f>
        <v/>
      </c>
    </row>
    <row customHeight="1" ht="14.25">
      <c r="A24" s="67"/>
      <c r="B24" s="80" t="s">
        <v>289</v>
      </c>
      <c r="C24" s="80"/>
      <c r="D24" s="101">
        <v>2918</v>
      </c>
      <c r="E24" s="101"/>
      <c r="F24" s="102">
        <f>_xlfn.IFERROR(E16/J8*100,"")</f>
        <v>22.1186956521739</v>
      </c>
      <c r="G24" s="102"/>
      <c r="H24" s="102">
        <f>_xlfn.IFERROR(H16/L8*100,"")</f>
        <v>22.3472222222222</v>
      </c>
      <c r="I24" s="102"/>
      <c r="J24" s="102">
        <f>_xlfn.IFERROR(K16/N8*100,"")</f>
        <v>102.338362068966</v>
      </c>
      <c r="K24" s="102" t="str">
        <f>_xlfn.IFERROR(F16/D8*100,"")</f>
        <v/>
      </c>
      <c r="L24" s="102"/>
      <c r="M24" s="102" t="str">
        <f>_xlfn.IFERROR(I16/F8*100,"")</f>
        <v/>
      </c>
      <c r="N24" s="102"/>
      <c r="O24" s="102" t="str">
        <f>_xlfn.IFERROR(L16/H8,"")</f>
        <v/>
      </c>
    </row>
    <row customHeight="1" ht="14.25">
      <c r="A25" s="67"/>
      <c r="B25" s="80" t="s">
        <v>290</v>
      </c>
      <c r="C25" s="80"/>
      <c r="D25" s="101">
        <v>4887</v>
      </c>
      <c r="E25" s="101"/>
      <c r="F25" s="102">
        <f>_xlfn.IFERROR(E17/J9*100,"")</f>
        <v>19.25475</v>
      </c>
      <c r="G25" s="102"/>
      <c r="H25" s="102">
        <f>_xlfn.IFERROR(H17/L9*100,"")</f>
        <v>16.3951890034364</v>
      </c>
      <c r="I25" s="102"/>
      <c r="J25" s="102">
        <f>_xlfn.IFERROR(K17/N9*100,"")</f>
        <v>101.314655172414</v>
      </c>
      <c r="K25" s="102" t="str">
        <f>_xlfn.IFERROR(F17/D9*100,"")</f>
        <v/>
      </c>
      <c r="L25" s="102"/>
      <c r="M25" s="102" t="str">
        <f>_xlfn.IFERROR(I17/F9*100,"")</f>
        <v/>
      </c>
      <c r="N25" s="102"/>
      <c r="O25" s="102" t="str">
        <f>_xlfn.IFERROR(L17/H9,"")</f>
        <v/>
      </c>
    </row>
    <row customHeight="1" ht="14.25">
      <c r="A26" s="67"/>
      <c r="B26" s="95" t="s">
        <v>291</v>
      </c>
      <c r="C26" s="95"/>
      <c r="D26" s="101">
        <v>2351</v>
      </c>
      <c r="E26" s="101"/>
      <c r="F26" s="102">
        <f>_xlfn.IFERROR(E18/J10*100,"")</f>
        <v>21.2940740740741</v>
      </c>
      <c r="G26" s="102"/>
      <c r="H26" s="102">
        <f>_xlfn.IFERROR(H18/L10*100,"")</f>
        <v>20.3220338983051</v>
      </c>
      <c r="I26" s="102"/>
      <c r="J26" s="102">
        <f>_xlfn.IFERROR(K18/N10*100,"")</f>
        <v>100.840517241379</v>
      </c>
      <c r="K26" s="102" t="str">
        <f>_xlfn.IFERROR(F18/D10*100,"")</f>
        <v/>
      </c>
      <c r="L26" s="102"/>
      <c r="M26" s="102" t="str">
        <f>_xlfn.IFERROR(I18/F10*100,"")</f>
        <v/>
      </c>
      <c r="N26" s="102"/>
      <c r="O26" s="102" t="str">
        <f>_xlfn.IFERROR(L18/H10,"")</f>
        <v/>
      </c>
    </row>
    <row customHeight="1" ht="14.25">
      <c r="A27" s="67"/>
      <c r="B27" s="80" t="s">
        <v>298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</row>
    <row customHeight="1" ht="13.5">
      <c r="A28" s="67"/>
      <c r="B28" s="87" t="s">
        <v>299</v>
      </c>
      <c r="C28" s="104"/>
      <c r="D28" s="632" t="s">
        <v>300</v>
      </c>
      <c r="E28" s="632"/>
      <c r="F28" s="632"/>
      <c r="G28" s="87" t="s">
        <v>301</v>
      </c>
      <c r="H28" s="87"/>
      <c r="I28" s="87"/>
      <c r="J28" s="87" t="s">
        <v>302</v>
      </c>
      <c r="K28" s="87"/>
      <c r="L28" s="87"/>
      <c r="M28" s="633" t="s">
        <v>303</v>
      </c>
      <c r="N28" s="633" t="s">
        <v>304</v>
      </c>
      <c r="O28" s="633" t="s">
        <v>242</v>
      </c>
    </row>
    <row customHeight="1" ht="13.5">
      <c r="A29" s="67"/>
      <c r="B29" s="106" t="s">
        <v>305</v>
      </c>
      <c r="C29" s="106"/>
      <c r="D29" s="107" t="s">
        <v>306</v>
      </c>
      <c r="E29" s="84" t="s">
        <v>307</v>
      </c>
      <c r="F29" s="84" t="s">
        <v>308</v>
      </c>
      <c r="G29" s="107" t="s">
        <v>309</v>
      </c>
      <c r="H29" s="84" t="s">
        <v>310</v>
      </c>
      <c r="I29" s="84" t="s">
        <v>311</v>
      </c>
      <c r="J29" s="107" t="s">
        <v>312</v>
      </c>
      <c r="K29" s="84" t="s">
        <v>313</v>
      </c>
      <c r="L29" s="84" t="s">
        <v>314</v>
      </c>
      <c r="M29" s="635"/>
      <c r="N29" s="635"/>
      <c r="O29" s="635"/>
    </row>
    <row customHeight="1" ht="13.5">
      <c r="A30" s="67"/>
      <c r="B30" s="106"/>
      <c r="C30" s="106"/>
      <c r="D30" s="646"/>
      <c r="E30" s="646"/>
      <c r="F30" s="646"/>
      <c r="G30" s="646"/>
      <c r="H30" s="646"/>
      <c r="I30" s="646"/>
      <c r="J30" s="646"/>
      <c r="K30" s="646"/>
      <c r="L30" s="646"/>
      <c r="M30" s="87"/>
      <c r="N30" s="87"/>
      <c r="O30" s="87"/>
    </row>
    <row customHeight="1" ht="13.5">
      <c r="A31" s="67"/>
      <c r="B31" s="106"/>
      <c r="C31" s="106"/>
      <c r="D31" s="84" t="s">
        <v>315</v>
      </c>
      <c r="E31" s="646"/>
      <c r="F31" s="646"/>
      <c r="G31" s="84" t="s">
        <v>315</v>
      </c>
      <c r="H31" s="646"/>
      <c r="I31" s="646"/>
      <c r="J31" s="84" t="s">
        <v>315</v>
      </c>
      <c r="K31" s="646"/>
      <c r="L31" s="646"/>
      <c r="M31" s="84"/>
      <c r="N31" s="84"/>
      <c r="O31" s="84"/>
    </row>
    <row customHeight="1" ht="13.5">
      <c r="A32" s="67"/>
      <c r="B32" s="106"/>
      <c r="C32" s="106"/>
      <c r="D32" s="84" t="s">
        <v>316</v>
      </c>
      <c r="E32" s="646"/>
      <c r="F32" s="646"/>
      <c r="G32" s="84" t="s">
        <v>316</v>
      </c>
      <c r="H32" s="646"/>
      <c r="I32" s="646"/>
      <c r="J32" s="84" t="s">
        <v>316</v>
      </c>
      <c r="K32" s="646"/>
      <c r="L32" s="646"/>
      <c r="M32" s="84"/>
      <c r="N32" s="84"/>
      <c r="O32" s="84"/>
    </row>
    <row customHeight="1" ht="13.5">
      <c r="A33" s="67"/>
      <c r="B33" s="109"/>
      <c r="C33" s="109"/>
      <c r="D33" s="110"/>
      <c r="E33" s="110"/>
      <c r="F33" s="110"/>
      <c r="G33" s="110"/>
      <c r="H33" s="111"/>
      <c r="I33" s="110"/>
      <c r="J33" s="110"/>
      <c r="K33" s="131"/>
      <c r="L33" s="111"/>
      <c r="M33" s="110"/>
      <c r="N33" s="110"/>
      <c r="O33" s="110"/>
    </row>
    <row customHeight="1" ht="13.5">
      <c r="A34" s="67"/>
      <c r="B34" s="67"/>
      <c r="C34" s="67"/>
      <c r="D34" s="67">
        <v>61.02</v>
      </c>
      <c r="E34" s="434">
        <v>442.25</v>
      </c>
      <c r="F34" s="67">
        <v>442.25</v>
      </c>
      <c r="G34" s="67">
        <v>369</v>
      </c>
      <c r="H34" s="67">
        <v>2712</v>
      </c>
      <c r="I34" s="67">
        <v>2712</v>
      </c>
      <c r="J34" s="67">
        <v>91.25</v>
      </c>
      <c r="K34" s="67">
        <v>92.54</v>
      </c>
      <c r="L34" s="67">
        <v>92.54</v>
      </c>
      <c r="M34" s="67">
        <v>873</v>
      </c>
      <c r="N34" s="67">
        <v>1837</v>
      </c>
      <c r="O34" s="67">
        <v>1837</v>
      </c>
    </row>
    <row customHeight="1" ht="13.5">
      <c r="A35" s="67"/>
      <c r="B35" s="67"/>
      <c r="C35" s="67"/>
      <c r="D35" s="67">
        <v>1.4</v>
      </c>
      <c r="E35" s="434">
        <v>154.83</v>
      </c>
      <c r="F35" s="67">
        <v>154.83</v>
      </c>
      <c r="G35" s="67">
        <v>0</v>
      </c>
      <c r="H35" s="67">
        <v>928</v>
      </c>
      <c r="I35" s="67">
        <v>928</v>
      </c>
      <c r="J35" s="67">
        <v>0</v>
      </c>
      <c r="K35" s="67">
        <v>89.8</v>
      </c>
      <c r="L35" s="67">
        <v>89.8</v>
      </c>
      <c r="M35" s="67">
        <v>0</v>
      </c>
      <c r="N35" s="67">
        <v>987</v>
      </c>
      <c r="O35" s="67">
        <v>987</v>
      </c>
    </row>
    <row customHeight="1" ht="13.5">
      <c r="A36" s="67"/>
      <c r="B36" s="67"/>
      <c r="C36" s="67"/>
      <c r="D36" s="67">
        <v>72.79</v>
      </c>
      <c r="E36" s="434">
        <v>508.73</v>
      </c>
      <c r="F36" s="67">
        <v>508.73</v>
      </c>
      <c r="G36" s="67">
        <v>467</v>
      </c>
      <c r="H36" s="67">
        <v>3218</v>
      </c>
      <c r="I36" s="67">
        <v>3218</v>
      </c>
      <c r="J36" s="67">
        <v>96.35</v>
      </c>
      <c r="K36" s="67">
        <v>94.97</v>
      </c>
      <c r="L36" s="67">
        <v>94.97</v>
      </c>
      <c r="M36" s="67">
        <v>750</v>
      </c>
      <c r="N36" s="67">
        <v>2122</v>
      </c>
      <c r="O36" s="67">
        <v>2122</v>
      </c>
    </row>
    <row customHeight="1" ht="13.5">
      <c r="A37" s="67"/>
      <c r="B37" s="67"/>
      <c r="C37" s="67"/>
      <c r="D37" s="67">
        <v>121.68</v>
      </c>
      <c r="E37" s="434">
        <v>770.19</v>
      </c>
      <c r="F37" s="67">
        <v>770.19</v>
      </c>
      <c r="G37" s="67">
        <v>762</v>
      </c>
      <c r="H37" s="67">
        <v>4771</v>
      </c>
      <c r="I37" s="67">
        <v>4771</v>
      </c>
      <c r="J37" s="67">
        <v>94.82</v>
      </c>
      <c r="K37" s="67">
        <v>94.02</v>
      </c>
      <c r="L37" s="67">
        <v>94.02</v>
      </c>
      <c r="M37" s="67">
        <v>1830</v>
      </c>
      <c r="N37" s="67">
        <v>5660</v>
      </c>
      <c r="O37" s="67">
        <v>5660</v>
      </c>
    </row>
    <row customHeight="1" ht="13.5">
      <c r="A38" s="67"/>
      <c r="B38" s="67"/>
      <c r="C38" s="67"/>
      <c r="D38" s="67">
        <v>83.42</v>
      </c>
      <c r="E38" s="434">
        <v>574.94</v>
      </c>
      <c r="F38" s="67">
        <v>574.94</v>
      </c>
      <c r="G38" s="67">
        <v>521</v>
      </c>
      <c r="H38" s="67">
        <v>3597</v>
      </c>
      <c r="I38" s="67">
        <v>3597</v>
      </c>
      <c r="J38" s="67">
        <v>93.27</v>
      </c>
      <c r="K38" s="67">
        <v>93.58</v>
      </c>
      <c r="L38" s="67">
        <v>93.58</v>
      </c>
      <c r="M38" s="67">
        <v>646</v>
      </c>
      <c r="N38" s="67">
        <v>3741</v>
      </c>
      <c r="O38" s="67">
        <v>3741</v>
      </c>
    </row>
    <row customHeight="1" ht="13.5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</row>
    <row customHeight="1" ht="13.5">
      <c r="A40" s="67"/>
      <c r="B40" s="67"/>
      <c r="C40" s="67"/>
      <c r="D40" s="648" t="s">
        <v>322</v>
      </c>
      <c r="E40" s="648"/>
      <c r="F40" s="648"/>
      <c r="G40" s="648"/>
      <c r="H40" s="648"/>
      <c r="I40" s="648"/>
      <c r="J40" s="648"/>
      <c r="K40" s="648"/>
      <c r="L40" s="648"/>
      <c r="M40" s="67"/>
      <c r="N40" s="67"/>
      <c r="O40" s="67"/>
    </row>
    <row customHeight="1" ht="13.5">
      <c r="A41" s="67"/>
      <c r="B41" s="67"/>
      <c r="C41" s="67"/>
      <c r="D41" s="114" t="s">
        <v>7</v>
      </c>
      <c r="E41" s="114"/>
      <c r="F41" s="650" t="s">
        <v>8</v>
      </c>
      <c r="G41" s="650" t="s">
        <v>105</v>
      </c>
      <c r="H41" s="650" t="s">
        <v>323</v>
      </c>
      <c r="I41" s="650" t="s">
        <v>324</v>
      </c>
      <c r="J41" s="650" t="s">
        <v>325</v>
      </c>
      <c r="K41" s="650" t="s">
        <v>15</v>
      </c>
      <c r="L41" s="650" t="s">
        <v>107</v>
      </c>
      <c r="M41" s="67"/>
      <c r="N41" s="67"/>
      <c r="O41" s="67"/>
    </row>
    <row customHeight="1" ht="13.5">
      <c r="A42" s="67"/>
      <c r="B42" s="67"/>
      <c r="C42" s="67"/>
      <c r="D42" s="116" t="s">
        <v>326</v>
      </c>
      <c r="E42" s="116"/>
      <c r="F42" s="650"/>
      <c r="G42" s="650"/>
      <c r="H42" s="650"/>
      <c r="I42" s="650"/>
      <c r="J42" s="650"/>
      <c r="K42" s="650"/>
      <c r="L42" s="650"/>
      <c r="M42" s="67"/>
      <c r="N42" s="67"/>
      <c r="O42" s="67"/>
    </row>
    <row customHeight="1" ht="13.5">
      <c r="A43" s="67"/>
      <c r="B43" s="67"/>
      <c r="C43" s="67"/>
      <c r="D43" s="652" t="s">
        <v>18</v>
      </c>
      <c r="E43" s="652"/>
      <c r="F43" s="653"/>
      <c r="G43" s="650"/>
      <c r="H43" s="650"/>
      <c r="I43" s="650"/>
      <c r="J43" s="650"/>
      <c r="K43" s="650"/>
      <c r="L43" s="650"/>
      <c r="M43" s="67"/>
      <c r="N43" s="67"/>
      <c r="O43" s="67"/>
    </row>
    <row customHeight="1" ht="13.5">
      <c r="A44" s="67"/>
      <c r="B44" s="67"/>
      <c r="C44" s="67"/>
      <c r="D44" s="652" t="s">
        <v>327</v>
      </c>
      <c r="E44" s="654"/>
      <c r="F44" s="646"/>
      <c r="G44" s="646"/>
      <c r="H44" s="646"/>
      <c r="I44" s="646"/>
      <c r="J44" s="646"/>
      <c r="K44" s="646"/>
      <c r="L44" s="646"/>
      <c r="M44" s="67"/>
      <c r="N44" s="67"/>
      <c r="O44" s="67"/>
    </row>
    <row customHeight="1" ht="13.5">
      <c r="A45" s="67"/>
      <c r="B45" s="67"/>
      <c r="C45" s="67"/>
      <c r="D45" s="652" t="s">
        <v>36</v>
      </c>
      <c r="E45" s="654"/>
      <c r="F45" s="468"/>
      <c r="G45" s="646"/>
      <c r="H45" s="646"/>
      <c r="I45" s="646"/>
      <c r="J45" s="646"/>
      <c r="K45" s="646"/>
      <c r="L45" s="646"/>
      <c r="M45" s="67"/>
      <c r="N45" s="67"/>
      <c r="O45" s="67"/>
    </row>
    <row customHeight="1" ht="13.5">
      <c r="A46" s="67"/>
      <c r="B46" s="67"/>
      <c r="C46" s="67"/>
      <c r="D46" s="652" t="s">
        <v>328</v>
      </c>
      <c r="E46" s="654"/>
      <c r="F46" s="646"/>
      <c r="G46" s="646"/>
      <c r="H46" s="646"/>
      <c r="I46" s="646"/>
      <c r="J46" s="646"/>
      <c r="K46" s="646"/>
      <c r="L46" s="646"/>
      <c r="M46" s="67"/>
      <c r="N46" s="67"/>
      <c r="O46" s="67"/>
    </row>
    <row customHeight="1" ht="13.5">
      <c r="A47" s="67"/>
      <c r="B47" s="67"/>
      <c r="C47" s="67"/>
      <c r="D47" s="655" t="s">
        <v>329</v>
      </c>
      <c r="E47" s="656"/>
      <c r="F47" s="646"/>
      <c r="G47" s="646"/>
      <c r="H47" s="646"/>
      <c r="I47" s="646"/>
      <c r="J47" s="646"/>
      <c r="K47" s="646"/>
      <c r="L47" s="646"/>
      <c r="M47" s="67"/>
      <c r="N47" s="67"/>
      <c r="O47" s="67"/>
    </row>
    <row customHeight="1" ht="13.5">
      <c r="A48" s="67"/>
      <c r="B48" s="67"/>
      <c r="C48" s="67"/>
      <c r="D48" s="655" t="s">
        <v>330</v>
      </c>
      <c r="E48" s="656"/>
      <c r="F48" s="646"/>
      <c r="G48" s="646"/>
      <c r="H48" s="646"/>
      <c r="I48" s="646"/>
      <c r="J48" s="646"/>
      <c r="K48" s="646"/>
      <c r="L48" s="646"/>
      <c r="M48" s="67"/>
      <c r="N48" s="67"/>
      <c r="O48" s="67"/>
    </row>
    <row customHeight="1" ht="13.5">
      <c r="A49" s="67"/>
      <c r="B49" s="67"/>
      <c r="C49" s="67"/>
      <c r="D49" s="655" t="s">
        <v>331</v>
      </c>
      <c r="E49" s="656"/>
      <c r="F49" s="646"/>
      <c r="G49" s="646"/>
      <c r="H49" s="646"/>
      <c r="I49" s="646"/>
      <c r="J49" s="646"/>
      <c r="K49" s="646"/>
      <c r="L49" s="646"/>
      <c r="M49" s="67"/>
      <c r="N49" s="67"/>
      <c r="O49" s="67"/>
    </row>
    <row customHeight="1" ht="13.5">
      <c r="A50" s="67"/>
      <c r="B50" s="67"/>
      <c r="C50" s="67"/>
      <c r="D50" s="652" t="s">
        <v>332</v>
      </c>
      <c r="E50" s="654"/>
      <c r="F50" s="646"/>
      <c r="G50" s="646"/>
      <c r="H50" s="646"/>
      <c r="I50" s="646"/>
      <c r="J50" s="646"/>
      <c r="K50" s="518" t="s">
        <v>333</v>
      </c>
      <c r="L50" s="518"/>
      <c r="M50" s="67"/>
      <c r="N50" s="67"/>
      <c r="O50" s="67"/>
    </row>
    <row customHeight="1" ht="13.5">
      <c r="A51" s="67"/>
      <c r="B51" s="67"/>
      <c r="C51" s="67"/>
      <c r="D51" s="655" t="s">
        <v>329</v>
      </c>
      <c r="E51" s="656"/>
      <c r="F51" s="646"/>
      <c r="G51" s="646"/>
      <c r="H51" s="646"/>
      <c r="I51" s="646"/>
      <c r="J51" s="646"/>
      <c r="K51" s="646"/>
      <c r="L51" s="646"/>
      <c r="M51" s="67"/>
      <c r="N51" s="67"/>
      <c r="O51" s="67"/>
    </row>
    <row customHeight="1" ht="13.5">
      <c r="A52" s="67"/>
      <c r="B52" s="67"/>
      <c r="C52" s="67"/>
      <c r="D52" s="655" t="s">
        <v>330</v>
      </c>
      <c r="E52" s="656"/>
      <c r="F52" s="646"/>
      <c r="G52" s="646"/>
      <c r="H52" s="646"/>
      <c r="I52" s="646"/>
      <c r="J52" s="646"/>
      <c r="K52" s="646"/>
      <c r="L52" s="646"/>
      <c r="M52" s="67"/>
      <c r="N52" s="67"/>
      <c r="O52" s="67"/>
    </row>
    <row customHeight="1" ht="13.5">
      <c r="A53" s="67"/>
      <c r="B53" s="67"/>
      <c r="C53" s="67"/>
      <c r="D53" s="655" t="s">
        <v>331</v>
      </c>
      <c r="E53" s="656"/>
      <c r="F53" s="646"/>
      <c r="G53" s="646"/>
      <c r="H53" s="646"/>
      <c r="I53" s="646"/>
      <c r="J53" s="646"/>
      <c r="K53" s="646"/>
      <c r="L53" s="646"/>
      <c r="M53" s="67"/>
      <c r="N53" s="67"/>
      <c r="O53" s="67"/>
    </row>
    <row customHeight="1" ht="13.5">
      <c r="A54" s="67"/>
      <c r="B54" s="67"/>
      <c r="C54" s="67"/>
      <c r="D54" s="652" t="s">
        <v>334</v>
      </c>
      <c r="E54" s="654"/>
      <c r="F54" s="646"/>
      <c r="G54" s="646"/>
      <c r="H54" s="646"/>
      <c r="I54" s="646"/>
      <c r="J54" s="646"/>
      <c r="K54" s="646"/>
      <c r="L54" s="646"/>
      <c r="M54" s="67"/>
      <c r="N54" s="67"/>
      <c r="O54" s="67"/>
    </row>
    <row customHeight="1" ht="13.5">
      <c r="A55" s="67"/>
      <c r="B55" s="67"/>
      <c r="C55" s="67"/>
      <c r="D55" s="655" t="s">
        <v>335</v>
      </c>
      <c r="E55" s="656"/>
      <c r="F55" s="646"/>
      <c r="G55" s="646"/>
      <c r="H55" s="646"/>
      <c r="I55" s="646"/>
      <c r="J55" s="646"/>
      <c r="K55" s="646"/>
      <c r="L55" s="646"/>
      <c r="M55" s="67"/>
      <c r="N55" s="67"/>
      <c r="O55" s="67"/>
    </row>
    <row customHeight="1" ht="13.5">
      <c r="A56" s="67"/>
      <c r="B56" s="67"/>
      <c r="C56" s="67"/>
      <c r="D56" s="652" t="s">
        <v>336</v>
      </c>
      <c r="E56" s="654"/>
      <c r="F56" s="646"/>
      <c r="G56" s="646"/>
      <c r="H56" s="646"/>
      <c r="I56" s="646"/>
      <c r="J56" s="646"/>
      <c r="K56" s="646"/>
      <c r="L56" s="646"/>
      <c r="M56" s="67"/>
      <c r="N56" s="67"/>
      <c r="O56" s="67"/>
    </row>
    <row customHeight="1" ht="13.5">
      <c r="A57" s="67"/>
      <c r="B57" s="67"/>
      <c r="C57" s="67"/>
      <c r="D57" s="655" t="s">
        <v>329</v>
      </c>
      <c r="E57" s="656"/>
      <c r="F57" s="646"/>
      <c r="G57" s="646"/>
      <c r="H57" s="646"/>
      <c r="I57" s="646"/>
      <c r="J57" s="646"/>
      <c r="K57" s="646"/>
      <c r="L57" s="646"/>
      <c r="M57" s="67"/>
      <c r="N57" s="67"/>
      <c r="O57" s="67"/>
    </row>
    <row customHeight="1" ht="13.5">
      <c r="A58" s="67"/>
      <c r="B58" s="67"/>
      <c r="C58" s="67"/>
      <c r="D58" s="655" t="s">
        <v>330</v>
      </c>
      <c r="E58" s="656"/>
      <c r="F58" s="646"/>
      <c r="G58" s="646"/>
      <c r="H58" s="646"/>
      <c r="I58" s="646"/>
      <c r="J58" s="646"/>
      <c r="K58" s="646"/>
      <c r="L58" s="646"/>
      <c r="M58" s="67"/>
      <c r="N58" s="67"/>
      <c r="O58" s="67"/>
    </row>
    <row customHeight="1" ht="13.5">
      <c r="A59" s="67"/>
      <c r="B59" s="67"/>
      <c r="C59" s="67"/>
      <c r="D59" s="657" t="s">
        <v>337</v>
      </c>
      <c r="E59" s="658"/>
      <c r="F59" s="646"/>
      <c r="G59" s="646"/>
      <c r="H59" s="646"/>
      <c r="I59" s="646"/>
      <c r="J59" s="646"/>
      <c r="K59" s="646"/>
      <c r="L59" s="646"/>
      <c r="M59" s="67"/>
      <c r="N59" s="67"/>
      <c r="O59" s="67"/>
    </row>
    <row customHeight="1" ht="13.5">
      <c r="A60" s="67"/>
      <c r="B60" s="67"/>
      <c r="C60" s="67"/>
      <c r="D60" s="650" t="s">
        <v>298</v>
      </c>
      <c r="E60" s="650"/>
      <c r="F60" s="659"/>
      <c r="G60" s="107"/>
      <c r="H60" s="107"/>
      <c r="I60" s="107"/>
      <c r="J60" s="107"/>
      <c r="K60" s="107"/>
      <c r="L60" s="107"/>
      <c r="M60" s="67"/>
      <c r="N60" s="67"/>
      <c r="O60" s="67"/>
    </row>
  </sheetData>
  <mergeCells count="155">
    <mergeCell ref="B1:O1"/>
    <mergeCell ref="B2:D2"/>
    <mergeCell ref="G2:H2"/>
    <mergeCell ref="I2:J2"/>
    <mergeCell ref="K2:L2"/>
    <mergeCell ref="M2:N2"/>
    <mergeCell ref="D3:I3"/>
    <mergeCell ref="J3:O3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D11:F11"/>
    <mergeCell ref="G11:I11"/>
    <mergeCell ref="J11:L11"/>
    <mergeCell ref="M11:O11"/>
    <mergeCell ref="B13:C13"/>
    <mergeCell ref="B14:C14"/>
    <mergeCell ref="B15:C15"/>
    <mergeCell ref="B16:C16"/>
    <mergeCell ref="B17:C17"/>
    <mergeCell ref="B18:C18"/>
    <mergeCell ref="F19:J19"/>
    <mergeCell ref="K19:O19"/>
    <mergeCell ref="F20:G20"/>
    <mergeCell ref="H20:I20"/>
    <mergeCell ref="K20:L20"/>
    <mergeCell ref="M20:N20"/>
    <mergeCell ref="B21:C21"/>
    <mergeCell ref="D21:E21"/>
    <mergeCell ref="F21:G21"/>
    <mergeCell ref="H21:I21"/>
    <mergeCell ref="K21:L21"/>
    <mergeCell ref="M21:N21"/>
    <mergeCell ref="B22:C22"/>
    <mergeCell ref="D22:E22"/>
    <mergeCell ref="F22:G22"/>
    <mergeCell ref="H22:I22"/>
    <mergeCell ref="K22:L22"/>
    <mergeCell ref="M22:N22"/>
    <mergeCell ref="B23:C23"/>
    <mergeCell ref="D23:E23"/>
    <mergeCell ref="F23:G23"/>
    <mergeCell ref="H23:I23"/>
    <mergeCell ref="K23:L23"/>
    <mergeCell ref="M23:N23"/>
    <mergeCell ref="B24:C24"/>
    <mergeCell ref="D24:E24"/>
    <mergeCell ref="F24:G24"/>
    <mergeCell ref="H24:I24"/>
    <mergeCell ref="K24:L24"/>
    <mergeCell ref="M24:N24"/>
    <mergeCell ref="B25:C25"/>
    <mergeCell ref="D25:E25"/>
    <mergeCell ref="F25:G25"/>
    <mergeCell ref="H25:I25"/>
    <mergeCell ref="K25:L25"/>
    <mergeCell ref="M25:N25"/>
    <mergeCell ref="B26:C26"/>
    <mergeCell ref="D26:E26"/>
    <mergeCell ref="F26:G26"/>
    <mergeCell ref="H26:I26"/>
    <mergeCell ref="K26:L26"/>
    <mergeCell ref="M26:N26"/>
    <mergeCell ref="B27:C27"/>
    <mergeCell ref="D27:O27"/>
    <mergeCell ref="B28:C28"/>
    <mergeCell ref="D28:F28"/>
    <mergeCell ref="G28:I28"/>
    <mergeCell ref="J28:L28"/>
    <mergeCell ref="D40:L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K50:L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F60:L60"/>
    <mergeCell ref="F41:F42"/>
    <mergeCell ref="G41:G42"/>
    <mergeCell ref="H41:H42"/>
    <mergeCell ref="I41:I42"/>
    <mergeCell ref="J41:J42"/>
    <mergeCell ref="K41:K42"/>
    <mergeCell ref="L41:L42"/>
    <mergeCell ref="M28:M29"/>
    <mergeCell ref="M30:M32"/>
    <mergeCell ref="N28:N29"/>
    <mergeCell ref="N30:N32"/>
    <mergeCell ref="O28:O29"/>
    <mergeCell ref="O30:O32"/>
    <mergeCell ref="B3:C4"/>
    <mergeCell ref="B11:C12"/>
    <mergeCell ref="B19:C20"/>
    <mergeCell ref="D19:E20"/>
    <mergeCell ref="B29:C32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A7C814E-2088-2888-5588-999EF5C3F9CB}" mc:Ignorable="x14ac xr xr2 xr3">
  <dimension ref="A1:L46"/>
  <sheetViews>
    <sheetView defaultGridColor="0" colorId="31" showGridLines="0"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D35" sqref="D35:D36"/>
    </sheetView>
  </sheetViews>
  <sheetFormatPr defaultColWidth="9.00390625" customHeight="1" defaultRowHeight="14.25"/>
  <cols>
    <col min="1" max="1" style="51" width="2.7109375" customWidth="1"/>
    <col min="2" max="2" style="51" width="13.57421875" customWidth="1"/>
    <col min="3" max="4" style="51" width="14.57421875" customWidth="1"/>
    <col min="5" max="5" style="51" width="11.57421875" customWidth="1"/>
    <col min="6" max="6" style="51" width="13.57421875" customWidth="1"/>
    <col min="7" max="9" style="51" width="14.57421875" customWidth="1"/>
    <col min="10" max="10" style="51" width="22.7109375" customWidth="1"/>
    <col min="11" max="12" style="74" width="9.00390625" hidden="1"/>
  </cols>
  <sheetData>
    <row customHeight="1" ht="27">
      <c r="A1" s="67"/>
      <c r="B1" s="75" t="s">
        <v>338</v>
      </c>
      <c r="C1" s="75"/>
      <c r="D1" s="75"/>
      <c r="E1" s="75"/>
      <c r="F1" s="75"/>
      <c r="G1" s="75"/>
      <c r="H1" s="75"/>
      <c r="I1" s="75"/>
      <c r="J1" s="75"/>
      <c r="K1" s="297"/>
      <c r="L1" s="297"/>
    </row>
    <row customHeight="1" ht="18.75">
      <c r="A2" s="67"/>
      <c r="B2" s="76" t="s">
        <v>226</v>
      </c>
      <c r="C2" s="76"/>
      <c r="D2" s="77" t="s">
        <v>2</v>
      </c>
      <c r="E2" s="76" t="str">
        <f>K2</f>
        <v>2026-01-06</v>
      </c>
      <c r="F2" s="76"/>
      <c r="G2" s="573" t="s">
        <v>4</v>
      </c>
      <c r="H2" s="534" t="str">
        <f>L2</f>
        <v>2026-01-07</v>
      </c>
      <c r="I2" s="534"/>
      <c r="J2" s="436" t="s">
        <v>6</v>
      </c>
      <c r="K2" s="439" t="s">
        <v>3</v>
      </c>
      <c r="L2" s="439" t="s">
        <v>5</v>
      </c>
    </row>
    <row customHeight="1" ht="15.75">
      <c r="A3" s="67"/>
      <c r="B3" s="80" t="s">
        <v>339</v>
      </c>
      <c r="C3" s="80" t="s">
        <v>340</v>
      </c>
      <c r="D3" s="81"/>
      <c r="E3" s="80" t="s">
        <v>341</v>
      </c>
      <c r="F3" s="80"/>
      <c r="G3" s="80"/>
      <c r="H3" s="80"/>
      <c r="I3" s="80"/>
      <c r="J3" s="94" t="s">
        <v>242</v>
      </c>
      <c r="K3" s="297"/>
      <c r="L3" s="297"/>
    </row>
    <row customHeight="1" ht="15.75">
      <c r="A4" s="67"/>
      <c r="B4" s="80"/>
      <c r="C4" s="80"/>
      <c r="D4" s="80"/>
      <c r="E4" s="82" t="s">
        <v>299</v>
      </c>
      <c r="F4" s="82"/>
      <c r="G4" s="83" t="s">
        <v>295</v>
      </c>
      <c r="H4" s="83" t="s">
        <v>342</v>
      </c>
      <c r="I4" s="83" t="s">
        <v>343</v>
      </c>
      <c r="J4" s="80"/>
      <c r="K4" s="297"/>
      <c r="L4" s="297"/>
    </row>
    <row customHeight="1" ht="15.75">
      <c r="A5" s="67"/>
      <c r="B5" s="80" t="s">
        <v>344</v>
      </c>
      <c r="C5" s="84" t="s">
        <v>345</v>
      </c>
      <c r="D5" s="84" t="s">
        <v>346</v>
      </c>
      <c r="E5" s="84" t="s">
        <v>347</v>
      </c>
      <c r="F5" s="84" t="s">
        <v>348</v>
      </c>
      <c r="G5" s="84">
        <f>生产日报8取值!G5</f>
        <v>143187</v>
      </c>
      <c r="H5" s="85">
        <f>生产日报8取值!H5</f>
        <v>219341</v>
      </c>
      <c r="I5" s="84">
        <f>H5-G5</f>
        <v>76154</v>
      </c>
      <c r="J5" s="664"/>
      <c r="K5" s="297"/>
      <c r="L5" s="297"/>
    </row>
    <row customHeight="1" ht="15.75">
      <c r="A6" s="67"/>
      <c r="B6" s="80"/>
      <c r="C6" s="84"/>
      <c r="D6" s="84"/>
      <c r="E6" s="84"/>
      <c r="F6" s="84" t="s">
        <v>349</v>
      </c>
      <c r="G6" s="84">
        <f>生产日报8取值!G6</f>
        <v>89600</v>
      </c>
      <c r="H6" s="85">
        <f>生产日报8取值!H6</f>
        <v>144341</v>
      </c>
      <c r="I6" s="84">
        <f>H6-G6</f>
        <v>54741</v>
      </c>
      <c r="J6" s="96"/>
      <c r="K6" s="297"/>
      <c r="L6" s="297"/>
    </row>
    <row customHeight="1" ht="15.75">
      <c r="A7" s="67"/>
      <c r="B7" s="80"/>
      <c r="C7" s="84">
        <f>生产日报8取值!C7:C8</f>
        <v>39021</v>
      </c>
      <c r="D7" s="84">
        <f>生产日报8取值!D7:D8</f>
        <v>15472</v>
      </c>
      <c r="E7" s="84"/>
      <c r="F7" s="84" t="s">
        <v>350</v>
      </c>
      <c r="G7" s="84">
        <f>生产日报8取值!G7</f>
        <v>53587</v>
      </c>
      <c r="H7" s="85">
        <f>生产日报8取值!H7</f>
        <v>75000</v>
      </c>
      <c r="I7" s="84">
        <f>H7-G7</f>
        <v>21413</v>
      </c>
      <c r="J7" s="96"/>
      <c r="K7" s="297"/>
      <c r="L7" s="297"/>
    </row>
    <row customHeight="1" ht="15.75">
      <c r="A8" s="67"/>
      <c r="B8" s="80"/>
      <c r="C8" s="84"/>
      <c r="D8" s="84"/>
      <c r="E8" s="84" t="s">
        <v>351</v>
      </c>
      <c r="F8" s="84" t="s">
        <v>348</v>
      </c>
      <c r="G8" s="84">
        <f>生产日报8取值!G8</f>
        <v>136144</v>
      </c>
      <c r="H8" s="85">
        <f>生产日报8取值!H8</f>
        <v>244309</v>
      </c>
      <c r="I8" s="84">
        <f>H8-G8</f>
        <v>108165</v>
      </c>
      <c r="J8" s="96"/>
      <c r="K8" s="297"/>
      <c r="L8" s="297"/>
    </row>
    <row customHeight="1" ht="15.75">
      <c r="A9" s="67"/>
      <c r="B9" s="80"/>
      <c r="C9" s="84" t="s">
        <v>352</v>
      </c>
      <c r="D9" s="84" t="s">
        <v>353</v>
      </c>
      <c r="E9" s="84"/>
      <c r="F9" s="84" t="s">
        <v>349</v>
      </c>
      <c r="G9" s="84">
        <f>生产日报8取值!G9</f>
        <v>112742</v>
      </c>
      <c r="H9" s="85">
        <f>生产日报8取值!H9</f>
        <v>179250</v>
      </c>
      <c r="I9" s="84">
        <f>H9-G9</f>
        <v>66508</v>
      </c>
      <c r="J9" s="96"/>
      <c r="K9" s="297"/>
      <c r="L9" s="297"/>
    </row>
    <row customHeight="1" ht="15.75">
      <c r="A10" s="67"/>
      <c r="B10" s="80"/>
      <c r="C10" s="84"/>
      <c r="D10" s="84"/>
      <c r="E10" s="84"/>
      <c r="F10" s="84" t="s">
        <v>350</v>
      </c>
      <c r="G10" s="84">
        <f>生产日报8取值!G10</f>
        <v>23402</v>
      </c>
      <c r="H10" s="85">
        <f>生产日报8取值!H10</f>
        <v>65059</v>
      </c>
      <c r="I10" s="84">
        <f>H10-G10</f>
        <v>41657</v>
      </c>
      <c r="J10" s="96"/>
      <c r="K10" s="297"/>
      <c r="L10" s="297"/>
    </row>
    <row customHeight="1" ht="15.75">
      <c r="A11" s="67"/>
      <c r="B11" s="80"/>
      <c r="C11" s="84">
        <f>生产日报8取值!C11:C12</f>
        <v>16945</v>
      </c>
      <c r="D11" s="84">
        <f>生产日报8取值!D11:D12</f>
        <v>11918</v>
      </c>
      <c r="E11" s="84" t="s">
        <v>354</v>
      </c>
      <c r="F11" s="84"/>
      <c r="G11" s="84">
        <f>生产日报8取值!G11</f>
        <v>350194</v>
      </c>
      <c r="H11" s="85">
        <f>生产日报8取值!H11</f>
        <v>441649</v>
      </c>
      <c r="I11" s="84">
        <f>H11-G11</f>
        <v>91455</v>
      </c>
      <c r="J11" s="96"/>
      <c r="K11" s="297"/>
      <c r="L11" s="297"/>
    </row>
    <row customHeight="1" ht="15.75">
      <c r="A12" s="67"/>
      <c r="B12" s="80"/>
      <c r="C12" s="84"/>
      <c r="D12" s="84"/>
      <c r="E12" s="84" t="s">
        <v>355</v>
      </c>
      <c r="F12" s="84"/>
      <c r="G12" s="84">
        <f>生产日报8取值!G12</f>
        <v>75353</v>
      </c>
      <c r="H12" s="85">
        <f>生产日报8取值!H12</f>
        <v>164000</v>
      </c>
      <c r="I12" s="84">
        <f>H12-G12</f>
        <v>88647</v>
      </c>
      <c r="J12" s="96"/>
      <c r="K12" s="297"/>
      <c r="L12" s="297"/>
    </row>
    <row customHeight="1" ht="15.75">
      <c r="A13" s="67"/>
      <c r="B13" s="80" t="s">
        <v>356</v>
      </c>
      <c r="C13" s="84" t="s">
        <v>345</v>
      </c>
      <c r="D13" s="84" t="s">
        <v>346</v>
      </c>
      <c r="E13" s="84" t="s">
        <v>357</v>
      </c>
      <c r="F13" s="84" t="s">
        <v>348</v>
      </c>
      <c r="G13" s="84">
        <f>生产日报8取值!G13</f>
        <v>40754</v>
      </c>
      <c r="H13" s="85">
        <f>生产日报8取值!H13</f>
        <v>90000</v>
      </c>
      <c r="I13" s="84">
        <f>H13-G13</f>
        <v>49246</v>
      </c>
      <c r="J13" s="96"/>
      <c r="K13" s="297"/>
      <c r="L13" s="297"/>
    </row>
    <row customHeight="1" ht="15.75">
      <c r="A14" s="67"/>
      <c r="B14" s="80"/>
      <c r="C14" s="84"/>
      <c r="D14" s="84"/>
      <c r="E14" s="84"/>
      <c r="F14" s="84" t="s">
        <v>349</v>
      </c>
      <c r="G14" s="84">
        <f>生产日报8取值!C67</f>
        <v>10543</v>
      </c>
      <c r="H14" s="85">
        <f>生产日报8取值!H14</f>
        <v>55000</v>
      </c>
      <c r="I14" s="84">
        <f>H14-G14</f>
        <v>44457</v>
      </c>
      <c r="J14" s="96"/>
      <c r="K14" s="297"/>
      <c r="L14" s="297"/>
    </row>
    <row customHeight="1" ht="15.75">
      <c r="A15" s="67"/>
      <c r="B15" s="80"/>
      <c r="C15" s="84">
        <f>生产日报8取值!C63</f>
        <v>16826</v>
      </c>
      <c r="D15" s="84">
        <f>生产日报8取值!C64</f>
        <v>8490</v>
      </c>
      <c r="E15" s="84"/>
      <c r="F15" s="84" t="s">
        <v>350</v>
      </c>
      <c r="G15" s="84">
        <f>生产日报8取值!C68</f>
        <v>30211</v>
      </c>
      <c r="H15" s="85">
        <f>生产日报8取值!H15</f>
        <v>35000</v>
      </c>
      <c r="I15" s="84">
        <f>H15-G15</f>
        <v>4789</v>
      </c>
      <c r="J15" s="96"/>
      <c r="K15" s="297"/>
      <c r="L15" s="297"/>
    </row>
    <row customHeight="1" ht="15.75">
      <c r="A16" s="67"/>
      <c r="B16" s="80"/>
      <c r="C16" s="84"/>
      <c r="D16" s="84"/>
      <c r="E16" s="84" t="s">
        <v>351</v>
      </c>
      <c r="F16" s="84" t="s">
        <v>348</v>
      </c>
      <c r="G16" s="84">
        <f>生产日报8取值!G16</f>
        <v>24242</v>
      </c>
      <c r="H16" s="85">
        <f>生产日报8取值!H16</f>
        <v>84000</v>
      </c>
      <c r="I16" s="84">
        <f>H16-G16</f>
        <v>59758</v>
      </c>
      <c r="J16" s="96"/>
      <c r="K16" s="297"/>
      <c r="L16" s="297"/>
    </row>
    <row customHeight="1" ht="15.75">
      <c r="A17" s="67"/>
      <c r="B17" s="80"/>
      <c r="C17" s="84" t="s">
        <v>352</v>
      </c>
      <c r="D17" s="84" t="s">
        <v>353</v>
      </c>
      <c r="E17" s="84"/>
      <c r="F17" s="84" t="s">
        <v>349</v>
      </c>
      <c r="G17" s="84">
        <f>生产日报8取值!C69</f>
        <v>18139</v>
      </c>
      <c r="H17" s="85">
        <f>生产日报8取值!H17</f>
        <v>54000</v>
      </c>
      <c r="I17" s="84">
        <f>H17-G17</f>
        <v>35861</v>
      </c>
      <c r="J17" s="96"/>
      <c r="K17" s="297"/>
      <c r="L17" s="297"/>
    </row>
    <row customHeight="1" ht="15.75">
      <c r="A18" s="67"/>
      <c r="B18" s="80"/>
      <c r="C18" s="84"/>
      <c r="D18" s="84"/>
      <c r="E18" s="84"/>
      <c r="F18" s="84" t="s">
        <v>350</v>
      </c>
      <c r="G18" s="84">
        <f>生产日报8取值!C70</f>
        <v>6103</v>
      </c>
      <c r="H18" s="85">
        <f>生产日报8取值!H18</f>
        <v>30000</v>
      </c>
      <c r="I18" s="84">
        <f>H18-G18</f>
        <v>23897</v>
      </c>
      <c r="J18" s="96"/>
      <c r="K18" s="297"/>
      <c r="L18" s="297"/>
    </row>
    <row customHeight="1" ht="15.75">
      <c r="A19" s="67"/>
      <c r="B19" s="80"/>
      <c r="C19" s="84">
        <f>生产日报8取值!C65</f>
        <v>8867</v>
      </c>
      <c r="D19" s="84">
        <f>生产日报8取值!C66</f>
        <v>6405</v>
      </c>
      <c r="E19" s="84" t="s">
        <v>354</v>
      </c>
      <c r="F19" s="84"/>
      <c r="G19" s="84">
        <f>生产日报8取值!C71</f>
        <v>68776</v>
      </c>
      <c r="H19" s="85">
        <f>生产日报8取值!H19</f>
        <v>90000</v>
      </c>
      <c r="I19" s="84">
        <f>H19-G19</f>
        <v>21224</v>
      </c>
      <c r="J19" s="96"/>
      <c r="K19" s="297"/>
      <c r="L19" s="297"/>
    </row>
    <row customHeight="1" ht="15.75">
      <c r="A20" s="67"/>
      <c r="B20" s="80"/>
      <c r="C20" s="84"/>
      <c r="D20" s="84"/>
      <c r="E20" s="84" t="s">
        <v>355</v>
      </c>
      <c r="F20" s="84"/>
      <c r="G20" s="84">
        <f>生产日报8取值!C72</f>
        <v>44290</v>
      </c>
      <c r="H20" s="85">
        <f>生产日报8取值!H20</f>
        <v>75000</v>
      </c>
      <c r="I20" s="84">
        <f>H20-G20</f>
        <v>30710</v>
      </c>
      <c r="J20" s="96"/>
      <c r="K20" s="297"/>
      <c r="L20" s="297"/>
    </row>
    <row customHeight="1" ht="15.75">
      <c r="A21" s="67"/>
      <c r="B21" s="80" t="s">
        <v>358</v>
      </c>
      <c r="C21" s="84" t="s">
        <v>345</v>
      </c>
      <c r="D21" s="84" t="s">
        <v>346</v>
      </c>
      <c r="E21" s="84" t="s">
        <v>357</v>
      </c>
      <c r="F21" s="84" t="s">
        <v>348</v>
      </c>
      <c r="G21" s="84">
        <f>生产日报8取值!G21</f>
        <v>12805</v>
      </c>
      <c r="H21" s="85">
        <f>生产日报8取值!H21</f>
        <v>24000</v>
      </c>
      <c r="I21" s="84">
        <f>H21-G21</f>
        <v>11195</v>
      </c>
      <c r="J21" s="96"/>
      <c r="K21" s="297"/>
      <c r="L21" s="297"/>
    </row>
    <row customHeight="1" ht="15.75">
      <c r="A22" s="67"/>
      <c r="B22" s="80"/>
      <c r="C22" s="84"/>
      <c r="D22" s="84"/>
      <c r="E22" s="84"/>
      <c r="F22" s="84" t="s">
        <v>349</v>
      </c>
      <c r="G22" s="84">
        <f>生产日报8取值!G22</f>
        <v>6820</v>
      </c>
      <c r="H22" s="85">
        <f>生产日报8取值!H22</f>
        <v>12000</v>
      </c>
      <c r="I22" s="84">
        <f>H22-G22</f>
        <v>5180</v>
      </c>
      <c r="J22" s="96"/>
      <c r="K22" s="297"/>
      <c r="L22" s="297"/>
    </row>
    <row customHeight="1" ht="15.75">
      <c r="A23" s="67"/>
      <c r="B23" s="80"/>
      <c r="C23" s="84">
        <f>生产日报8取值!C23:C24</f>
        <v>9194</v>
      </c>
      <c r="D23" s="84">
        <f>生产日报8取值!D23:D24</f>
        <v>2596</v>
      </c>
      <c r="E23" s="84"/>
      <c r="F23" s="84" t="s">
        <v>350</v>
      </c>
      <c r="G23" s="84">
        <f>生产日报8取值!G23</f>
        <v>5985</v>
      </c>
      <c r="H23" s="85">
        <f>生产日报8取值!H23</f>
        <v>12000</v>
      </c>
      <c r="I23" s="84">
        <f>H23-G23</f>
        <v>6015</v>
      </c>
      <c r="J23" s="96"/>
      <c r="K23" s="297"/>
      <c r="L23" s="297"/>
    </row>
    <row customHeight="1" ht="15.75">
      <c r="A24" s="67"/>
      <c r="B24" s="80"/>
      <c r="C24" s="84"/>
      <c r="D24" s="84"/>
      <c r="E24" s="84" t="s">
        <v>351</v>
      </c>
      <c r="F24" s="84" t="s">
        <v>348</v>
      </c>
      <c r="G24" s="84">
        <f>生产日报8取值!G24</f>
        <v>16834</v>
      </c>
      <c r="H24" s="85">
        <f>生产日报8取值!H24</f>
        <v>36750</v>
      </c>
      <c r="I24" s="84">
        <f>H24-G24</f>
        <v>19916</v>
      </c>
      <c r="J24" s="96"/>
      <c r="K24" s="297"/>
      <c r="L24" s="297"/>
    </row>
    <row customHeight="1" ht="15.75">
      <c r="A25" s="67"/>
      <c r="B25" s="80"/>
      <c r="C25" s="84" t="s">
        <v>352</v>
      </c>
      <c r="D25" s="84" t="s">
        <v>353</v>
      </c>
      <c r="E25" s="84"/>
      <c r="F25" s="84" t="s">
        <v>349</v>
      </c>
      <c r="G25" s="84">
        <f>生产日报8取值!G25</f>
        <v>13091</v>
      </c>
      <c r="H25" s="85">
        <f>生产日报8取值!H25</f>
        <v>25250</v>
      </c>
      <c r="I25" s="84">
        <f>H25-G25</f>
        <v>12159</v>
      </c>
      <c r="J25" s="96"/>
      <c r="K25" s="297"/>
      <c r="L25" s="297"/>
    </row>
    <row customHeight="1" ht="15.75">
      <c r="A26" s="67"/>
      <c r="B26" s="80"/>
      <c r="C26" s="84"/>
      <c r="D26" s="84"/>
      <c r="E26" s="84"/>
      <c r="F26" s="84" t="s">
        <v>350</v>
      </c>
      <c r="G26" s="84">
        <f>生产日报8取值!G26</f>
        <v>3743</v>
      </c>
      <c r="H26" s="85">
        <f>生产日报8取值!H26</f>
        <v>11500</v>
      </c>
      <c r="I26" s="84">
        <f>H26-G26</f>
        <v>7757</v>
      </c>
      <c r="J26" s="96"/>
      <c r="K26" s="297"/>
      <c r="L26" s="297"/>
    </row>
    <row customHeight="1" ht="15.75">
      <c r="A27" s="67"/>
      <c r="B27" s="80"/>
      <c r="C27" s="84">
        <f>生产日报8取值!C27:C28</f>
        <v>3431</v>
      </c>
      <c r="D27" s="84">
        <f>生产日报8取值!D27:D28</f>
        <v>2495</v>
      </c>
      <c r="E27" s="84" t="s">
        <v>354</v>
      </c>
      <c r="F27" s="84"/>
      <c r="G27" s="84">
        <f>生产日报8取值!G27</f>
        <v>27769</v>
      </c>
      <c r="H27" s="85">
        <f>生产日报8取值!H27</f>
        <v>98000</v>
      </c>
      <c r="I27" s="84">
        <f>H27-G27</f>
        <v>70231</v>
      </c>
      <c r="J27" s="96"/>
      <c r="K27" s="297"/>
      <c r="L27" s="297"/>
    </row>
    <row customHeight="1" ht="15.75">
      <c r="A28" s="67"/>
      <c r="B28" s="80"/>
      <c r="C28" s="84"/>
      <c r="D28" s="84"/>
      <c r="E28" s="84" t="s">
        <v>355</v>
      </c>
      <c r="F28" s="84"/>
      <c r="G28" s="84">
        <f>生产日报8取值!G28</f>
        <v>2354</v>
      </c>
      <c r="H28" s="85">
        <f>生产日报8取值!H28</f>
        <v>38000</v>
      </c>
      <c r="I28" s="84">
        <f>H28-G28</f>
        <v>35646</v>
      </c>
      <c r="J28" s="96"/>
      <c r="K28" s="297"/>
      <c r="L28" s="297"/>
    </row>
    <row customHeight="1" ht="15.75">
      <c r="A29" s="67"/>
      <c r="B29" s="86" t="s">
        <v>359</v>
      </c>
      <c r="C29" s="84" t="s">
        <v>345</v>
      </c>
      <c r="D29" s="84" t="s">
        <v>346</v>
      </c>
      <c r="E29" s="84" t="s">
        <v>357</v>
      </c>
      <c r="F29" s="84" t="s">
        <v>348</v>
      </c>
      <c r="G29" s="84">
        <f>生产日报8取值!G29</f>
        <v>89628</v>
      </c>
      <c r="H29" s="85">
        <f>生产日报8取值!H29</f>
        <v>105341</v>
      </c>
      <c r="I29" s="84">
        <f>H29-G29</f>
        <v>15713</v>
      </c>
      <c r="J29" s="96"/>
      <c r="K29" s="297"/>
      <c r="L29" s="297"/>
    </row>
    <row customHeight="1" ht="15.75">
      <c r="A30" s="67"/>
      <c r="B30" s="80"/>
      <c r="C30" s="84"/>
      <c r="D30" s="84"/>
      <c r="E30" s="84"/>
      <c r="F30" s="84" t="s">
        <v>349</v>
      </c>
      <c r="G30" s="84">
        <f>生产日报8取值!G30</f>
        <v>72237</v>
      </c>
      <c r="H30" s="85">
        <f>生产日报8取值!H30</f>
        <v>77341</v>
      </c>
      <c r="I30" s="84">
        <f>H30-G30</f>
        <v>5104</v>
      </c>
      <c r="J30" s="96"/>
      <c r="K30" s="297"/>
      <c r="L30" s="297"/>
    </row>
    <row customHeight="1" ht="15.75">
      <c r="A31" s="67"/>
      <c r="B31" s="80"/>
      <c r="C31" s="84">
        <f>生产日报8取值!C31:C32</f>
        <v>13001</v>
      </c>
      <c r="D31" s="84">
        <f>生产日报8取值!D31:D32</f>
        <v>4386</v>
      </c>
      <c r="E31" s="84"/>
      <c r="F31" s="84" t="s">
        <v>350</v>
      </c>
      <c r="G31" s="84">
        <f>生产日报8取值!G31</f>
        <v>17391</v>
      </c>
      <c r="H31" s="85">
        <f>生产日报8取值!H31</f>
        <v>28000</v>
      </c>
      <c r="I31" s="84">
        <f>H31-G31</f>
        <v>10609</v>
      </c>
      <c r="J31" s="96"/>
      <c r="K31" s="297"/>
      <c r="L31" s="297"/>
    </row>
    <row customHeight="1" ht="15.75">
      <c r="A32" s="67"/>
      <c r="B32" s="80"/>
      <c r="C32" s="84"/>
      <c r="D32" s="84"/>
      <c r="E32" s="84" t="s">
        <v>351</v>
      </c>
      <c r="F32" s="84" t="s">
        <v>348</v>
      </c>
      <c r="G32" s="84">
        <f>生产日报8取值!G32</f>
        <v>95068</v>
      </c>
      <c r="H32" s="85">
        <f>生产日报8取值!H32</f>
        <v>123559</v>
      </c>
      <c r="I32" s="84">
        <f>H32-G32</f>
        <v>28491</v>
      </c>
      <c r="J32" s="96"/>
      <c r="K32" s="297"/>
      <c r="L32" s="297"/>
    </row>
    <row customHeight="1" ht="15.75">
      <c r="A33" s="67"/>
      <c r="B33" s="80"/>
      <c r="C33" s="84" t="s">
        <v>352</v>
      </c>
      <c r="D33" s="84" t="s">
        <v>353</v>
      </c>
      <c r="E33" s="84"/>
      <c r="F33" s="84" t="s">
        <v>349</v>
      </c>
      <c r="G33" s="84">
        <f>生产日报8取值!G33</f>
        <v>81512</v>
      </c>
      <c r="H33" s="85">
        <f>生产日报8取值!H33</f>
        <v>100000</v>
      </c>
      <c r="I33" s="84">
        <f>H33-G33</f>
        <v>18488</v>
      </c>
      <c r="J33" s="96"/>
      <c r="K33" s="297"/>
      <c r="L33" s="297"/>
    </row>
    <row customHeight="1" ht="15.75">
      <c r="A34" s="67"/>
      <c r="B34" s="80"/>
      <c r="C34" s="84"/>
      <c r="D34" s="84"/>
      <c r="E34" s="84"/>
      <c r="F34" s="84" t="s">
        <v>350</v>
      </c>
      <c r="G34" s="84">
        <f>生产日报8取值!G34</f>
        <v>13556</v>
      </c>
      <c r="H34" s="85">
        <f>生产日报8取值!H34</f>
        <v>23559</v>
      </c>
      <c r="I34" s="84">
        <f>H34-G34</f>
        <v>10003</v>
      </c>
      <c r="J34" s="96"/>
      <c r="K34" s="297"/>
      <c r="L34" s="297"/>
    </row>
    <row customHeight="1" ht="15.75">
      <c r="A35" s="67"/>
      <c r="B35" s="80"/>
      <c r="C35" s="84">
        <f>生产日报8取值!C35:C36</f>
        <v>4647</v>
      </c>
      <c r="D35" s="84">
        <f>生产日报8取值!D35:D36</f>
        <v>3018</v>
      </c>
      <c r="E35" s="84" t="s">
        <v>354</v>
      </c>
      <c r="F35" s="84"/>
      <c r="G35" s="84">
        <f>生产日报8取值!G35</f>
        <v>253649</v>
      </c>
      <c r="H35" s="85">
        <f>生产日报8取值!H35</f>
        <v>253649</v>
      </c>
      <c r="I35" s="84">
        <f>H35-G35</f>
        <v>0</v>
      </c>
      <c r="J35" s="96"/>
      <c r="K35" s="297"/>
      <c r="L35" s="297"/>
    </row>
    <row customHeight="1" ht="15.75">
      <c r="A36" s="67"/>
      <c r="B36" s="80"/>
      <c r="C36" s="87"/>
      <c r="D36" s="84"/>
      <c r="E36" s="84" t="s">
        <v>355</v>
      </c>
      <c r="F36" s="84"/>
      <c r="G36" s="84">
        <f>生产日报8取值!G36</f>
        <v>28709</v>
      </c>
      <c r="H36" s="85">
        <f>生产日报8取值!H36</f>
        <v>51000</v>
      </c>
      <c r="I36" s="84">
        <f>H36-G36</f>
        <v>22291</v>
      </c>
      <c r="J36" s="82"/>
      <c r="K36" s="297"/>
      <c r="L36" s="297"/>
    </row>
    <row customHeight="1" ht="18">
      <c r="A37" s="67"/>
      <c r="B37" s="88" t="s">
        <v>171</v>
      </c>
      <c r="C37" s="89" t="s">
        <v>60</v>
      </c>
      <c r="D37" s="90"/>
      <c r="E37" s="88" t="s">
        <v>110</v>
      </c>
      <c r="F37" s="390" t="str">
        <f>IF(生产日报6!I33=0,"",生产日报6!I33)</f>
        <v>胡连鹏</v>
      </c>
      <c r="G37" s="67"/>
      <c r="H37" s="92" t="s">
        <v>121</v>
      </c>
      <c r="I37" s="668" t="str">
        <f>IF(生产日报6!N33=0,"",生产日报6!N33)</f>
        <v>李阿君</v>
      </c>
      <c r="J37" s="67"/>
      <c r="K37" s="297"/>
      <c r="L37" s="297"/>
    </row>
    <row customHeight="1" ht="14.25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297"/>
      <c r="L38" s="297"/>
    </row>
    <row customHeight="1" ht="14.25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297"/>
      <c r="L39" s="297"/>
    </row>
    <row customHeight="1" ht="14.25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297"/>
      <c r="L40" s="297"/>
    </row>
    <row customHeight="1" ht="14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297"/>
      <c r="L41" s="297"/>
    </row>
    <row customHeight="1" ht="14.25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297"/>
      <c r="L42" s="297"/>
    </row>
    <row customHeight="1" ht="14.25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297"/>
      <c r="L43" s="297"/>
    </row>
    <row customHeight="1" ht="14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297"/>
      <c r="L44" s="297"/>
    </row>
    <row customHeight="1" ht="14.2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297"/>
      <c r="L45" s="297"/>
    </row>
    <row customHeight="1" ht="14.2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297"/>
      <c r="L46" s="297"/>
    </row>
  </sheetData>
  <mergeCells count="62">
    <mergeCell ref="B1:J1"/>
    <mergeCell ref="B2:C2"/>
    <mergeCell ref="E2:F2"/>
    <mergeCell ref="H2:I2"/>
    <mergeCell ref="E3:I3"/>
    <mergeCell ref="E4:F4"/>
    <mergeCell ref="E11:F11"/>
    <mergeCell ref="E12:F12"/>
    <mergeCell ref="E19:F19"/>
    <mergeCell ref="E20:F20"/>
    <mergeCell ref="E27:F27"/>
    <mergeCell ref="E28:F28"/>
    <mergeCell ref="E35:F35"/>
    <mergeCell ref="E36:F36"/>
    <mergeCell ref="B3:B4"/>
    <mergeCell ref="B5:B12"/>
    <mergeCell ref="B13:B20"/>
    <mergeCell ref="B21:B28"/>
    <mergeCell ref="B29:B36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E5:E7"/>
    <mergeCell ref="E8:E10"/>
    <mergeCell ref="E13:E15"/>
    <mergeCell ref="E16:E18"/>
    <mergeCell ref="E21:E23"/>
    <mergeCell ref="E24:E26"/>
    <mergeCell ref="E29:E31"/>
    <mergeCell ref="E32:E34"/>
    <mergeCell ref="J3:J4"/>
    <mergeCell ref="J5:J36"/>
    <mergeCell ref="C3:D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1D8ECB8-6F98-5F12-349A-542B4EBAA652}" mc:Ignorable="x14ac xr xr2 xr3">
  <dimension ref="A1:U72"/>
  <sheetViews>
    <sheetView defaultGridColor="0" colorId="31" topLeftCell="A1" workbookViewId="0">
      <selection activeCell="H39" sqref="C38:H50"/>
    </sheetView>
  </sheetViews>
  <sheetFormatPr defaultColWidth="9.00390625" customHeight="1" defaultRowHeight="14.25"/>
  <cols>
    <col min="1" max="1" style="51" width="9.00390625"/>
    <col min="2" max="2" style="51" width="12.00390625" customWidth="1"/>
    <col min="3" max="3" style="51" width="11.00390625" customWidth="1"/>
    <col min="4" max="4" style="51" width="12.00390625" customWidth="1"/>
    <col min="5" max="6" style="51" width="11.00390625" customWidth="1"/>
    <col min="7" max="8" style="51" width="12.00390625" customWidth="1"/>
    <col min="9" max="9" style="51" width="11.00390625" customWidth="1"/>
    <col min="10" max="10" style="51" width="15.00390625" customWidth="1"/>
    <col min="11" max="12" style="51" width="11.00390625" customWidth="1"/>
    <col min="13" max="21" style="51" width="8.00390625" customWidth="1"/>
  </cols>
  <sheetData>
    <row customHeight="1" ht="24.75">
      <c r="A1" s="67"/>
      <c r="B1" s="52" t="s">
        <v>338</v>
      </c>
      <c r="C1" s="52"/>
      <c r="D1" s="52"/>
      <c r="E1" s="52"/>
      <c r="F1" s="52"/>
      <c r="G1" s="52"/>
      <c r="H1" s="52"/>
      <c r="I1" s="52"/>
      <c r="J1" s="52"/>
      <c r="K1" s="670"/>
      <c r="L1" s="670"/>
      <c r="M1" s="670"/>
      <c r="N1" s="670"/>
      <c r="O1" s="670"/>
      <c r="P1" s="670"/>
      <c r="Q1" s="670"/>
      <c r="R1" s="670"/>
      <c r="S1" s="670"/>
      <c r="T1" s="670"/>
      <c r="U1" s="670"/>
    </row>
    <row customHeight="1" ht="14.25">
      <c r="A2" s="67"/>
      <c r="B2" s="53" t="s">
        <v>360</v>
      </c>
      <c r="C2" s="53"/>
      <c r="D2" s="670"/>
      <c r="E2" s="55" t="s">
        <v>361</v>
      </c>
      <c r="F2" s="55"/>
      <c r="G2" s="670"/>
      <c r="H2" s="53"/>
      <c r="I2" s="670" t="s">
        <v>5</v>
      </c>
      <c r="J2" s="672" t="s">
        <v>112</v>
      </c>
      <c r="K2" s="670"/>
      <c r="L2" s="670"/>
      <c r="M2" s="670"/>
      <c r="N2" s="670"/>
      <c r="O2" s="670"/>
      <c r="P2" s="670"/>
      <c r="Q2" s="670"/>
      <c r="R2" s="670"/>
      <c r="S2" s="670"/>
      <c r="T2" s="670"/>
      <c r="U2" s="670"/>
    </row>
    <row customHeight="1" ht="14.25">
      <c r="A3" s="67"/>
      <c r="B3" s="56" t="s">
        <v>339</v>
      </c>
      <c r="C3" s="56" t="s">
        <v>340</v>
      </c>
      <c r="D3" s="56"/>
      <c r="E3" s="56" t="s">
        <v>341</v>
      </c>
      <c r="F3" s="56"/>
      <c r="G3" s="56"/>
      <c r="H3" s="56"/>
      <c r="I3" s="56"/>
      <c r="J3" s="56" t="s">
        <v>242</v>
      </c>
      <c r="K3" s="670"/>
      <c r="L3" s="670"/>
      <c r="M3" s="670"/>
      <c r="N3" s="670"/>
      <c r="O3" s="670"/>
      <c r="P3" s="670"/>
      <c r="Q3" s="670"/>
      <c r="R3" s="670"/>
      <c r="S3" s="670"/>
      <c r="T3" s="670"/>
      <c r="U3" s="670"/>
    </row>
    <row customHeight="1" ht="14.25">
      <c r="A4" s="67"/>
      <c r="B4" s="56"/>
      <c r="C4" s="56"/>
      <c r="D4" s="56"/>
      <c r="E4" s="56" t="s">
        <v>299</v>
      </c>
      <c r="F4" s="56"/>
      <c r="G4" s="56" t="s">
        <v>295</v>
      </c>
      <c r="H4" s="56" t="s">
        <v>342</v>
      </c>
      <c r="I4" s="56" t="s">
        <v>343</v>
      </c>
      <c r="J4" s="56"/>
      <c r="K4" s="670"/>
      <c r="L4" s="670"/>
      <c r="M4" s="670"/>
      <c r="N4" s="670"/>
      <c r="O4" s="670"/>
      <c r="P4" s="670"/>
      <c r="Q4" s="670"/>
      <c r="R4" s="670"/>
      <c r="S4" s="670"/>
      <c r="T4" s="670"/>
      <c r="U4" s="670"/>
    </row>
    <row customHeight="1" ht="14.25">
      <c r="A5" s="67"/>
      <c r="B5" s="56" t="s">
        <v>344</v>
      </c>
      <c r="C5" s="57" t="s">
        <v>345</v>
      </c>
      <c r="D5" s="57" t="s">
        <v>346</v>
      </c>
      <c r="E5" s="57" t="s">
        <v>347</v>
      </c>
      <c r="F5" s="57" t="s">
        <v>348</v>
      </c>
      <c r="G5" s="57">
        <f>SUM(G6:G7)</f>
        <v>143187</v>
      </c>
      <c r="H5" s="57">
        <f>SUM(H13,H21,H29)</f>
        <v>219341</v>
      </c>
      <c r="I5" s="57">
        <f>H5-G5</f>
        <v>76154</v>
      </c>
      <c r="J5" s="69"/>
      <c r="K5" s="670"/>
      <c r="L5" s="670"/>
      <c r="M5" s="670"/>
      <c r="N5" s="670"/>
      <c r="O5" s="670"/>
      <c r="P5" s="670"/>
      <c r="Q5" s="670"/>
      <c r="R5" s="670"/>
      <c r="S5" s="670"/>
      <c r="T5" s="670"/>
      <c r="U5" s="670"/>
    </row>
    <row customHeight="1" ht="14.25">
      <c r="A6" s="67"/>
      <c r="B6" s="56"/>
      <c r="C6" s="58"/>
      <c r="D6" s="58"/>
      <c r="E6" s="57"/>
      <c r="F6" s="57" t="s">
        <v>349</v>
      </c>
      <c r="G6" s="57">
        <f>SUM(G22,G14,G30)</f>
        <v>89600</v>
      </c>
      <c r="H6" s="57">
        <f>SUM(H14,H22,H30)</f>
        <v>144341</v>
      </c>
      <c r="I6" s="57">
        <f>H6-G6</f>
        <v>54741</v>
      </c>
      <c r="J6" s="70"/>
      <c r="K6" s="670"/>
      <c r="L6" s="670"/>
      <c r="M6" s="670"/>
      <c r="N6" s="670"/>
      <c r="O6" s="670"/>
      <c r="P6" s="670"/>
      <c r="Q6" s="670"/>
      <c r="R6" s="670"/>
      <c r="S6" s="670"/>
      <c r="T6" s="670"/>
      <c r="U6" s="670"/>
    </row>
    <row customHeight="1" ht="14.25">
      <c r="A7" s="67"/>
      <c r="B7" s="59"/>
      <c r="C7" s="57">
        <f>_xlfn.IFERROR(SUM(C23:C24,C15:C16,C31:C32),"")</f>
        <v>39021</v>
      </c>
      <c r="D7" s="57">
        <f>_xlfn.IFERROR(SUM(D23:D24,D15:D16,D31:D32),"")</f>
        <v>15472</v>
      </c>
      <c r="E7" s="60"/>
      <c r="F7" s="57" t="s">
        <v>350</v>
      </c>
      <c r="G7" s="57">
        <f>SUM(G23,G15,G31)</f>
        <v>53587</v>
      </c>
      <c r="H7" s="57">
        <f>SUM(H15,H23,H31)</f>
        <v>75000</v>
      </c>
      <c r="I7" s="57">
        <f>H7-G7</f>
        <v>21413</v>
      </c>
      <c r="J7" s="70"/>
      <c r="K7" s="670"/>
      <c r="L7" s="670"/>
      <c r="M7" s="670"/>
      <c r="N7" s="670"/>
      <c r="O7" s="670"/>
      <c r="P7" s="670"/>
      <c r="Q7" s="670"/>
      <c r="R7" s="670"/>
      <c r="S7" s="670"/>
      <c r="T7" s="670"/>
      <c r="U7" s="670"/>
    </row>
    <row customHeight="1" ht="14.25">
      <c r="A8" s="67"/>
      <c r="B8" s="59"/>
      <c r="C8" s="57"/>
      <c r="D8" s="57"/>
      <c r="E8" s="60" t="s">
        <v>351</v>
      </c>
      <c r="F8" s="57" t="s">
        <v>348</v>
      </c>
      <c r="G8" s="57">
        <f>SUM(G9:G10)</f>
        <v>136144</v>
      </c>
      <c r="H8" s="57">
        <f>SUM(H16,H24,H32)</f>
        <v>244309</v>
      </c>
      <c r="I8" s="57">
        <f>H8-G8</f>
        <v>108165</v>
      </c>
      <c r="J8" s="70"/>
      <c r="K8" s="670"/>
      <c r="L8" s="670"/>
      <c r="M8" s="670"/>
      <c r="N8" s="670"/>
      <c r="O8" s="670"/>
      <c r="P8" s="670"/>
      <c r="Q8" s="670"/>
      <c r="R8" s="670"/>
      <c r="S8" s="670"/>
      <c r="T8" s="670"/>
      <c r="U8" s="670"/>
    </row>
    <row customHeight="1" ht="14.25">
      <c r="A9" s="67"/>
      <c r="B9" s="59"/>
      <c r="C9" s="57" t="s">
        <v>352</v>
      </c>
      <c r="D9" s="57" t="s">
        <v>353</v>
      </c>
      <c r="E9" s="60"/>
      <c r="F9" s="57" t="s">
        <v>349</v>
      </c>
      <c r="G9" s="57">
        <f>SUM(G25,G17,G33)</f>
        <v>112742</v>
      </c>
      <c r="H9" s="57">
        <f>SUM(H17,H25,H33)</f>
        <v>179250</v>
      </c>
      <c r="I9" s="57">
        <f>H9-G9</f>
        <v>66508</v>
      </c>
      <c r="J9" s="70"/>
      <c r="K9" s="670"/>
      <c r="L9" s="670"/>
      <c r="M9" s="670"/>
      <c r="N9" s="670"/>
      <c r="O9" s="670"/>
      <c r="P9" s="670"/>
      <c r="Q9" s="670"/>
      <c r="R9" s="670"/>
      <c r="S9" s="670"/>
      <c r="T9" s="670"/>
      <c r="U9" s="670"/>
    </row>
    <row customHeight="1" ht="14.25">
      <c r="A10" s="67"/>
      <c r="B10" s="59"/>
      <c r="C10" s="57"/>
      <c r="D10" s="57"/>
      <c r="E10" s="60"/>
      <c r="F10" s="57" t="s">
        <v>350</v>
      </c>
      <c r="G10" s="57">
        <f>SUM(G26,G18,G34)</f>
        <v>23402</v>
      </c>
      <c r="H10" s="57">
        <f>SUM(H18,H26,H34)</f>
        <v>65059</v>
      </c>
      <c r="I10" s="57">
        <f>H10-G10</f>
        <v>41657</v>
      </c>
      <c r="J10" s="70"/>
      <c r="K10" s="670"/>
      <c r="L10" s="670"/>
      <c r="M10" s="670"/>
      <c r="N10" s="670"/>
      <c r="O10" s="670"/>
      <c r="P10" s="670"/>
      <c r="Q10" s="670"/>
      <c r="R10" s="670"/>
      <c r="S10" s="670"/>
      <c r="T10" s="670"/>
      <c r="U10" s="670"/>
    </row>
    <row customHeight="1" ht="14.25">
      <c r="A11" s="67"/>
      <c r="B11" s="59"/>
      <c r="C11" s="57">
        <f>_xlfn.IFERROR(SUM(C27:C28,C19:C20,C35:C36),"")</f>
        <v>16945</v>
      </c>
      <c r="D11" s="57">
        <f>_xlfn.IFERROR(SUM(D27:D28,D19:D20,D35:D36),"")</f>
        <v>11918</v>
      </c>
      <c r="E11" s="60" t="s">
        <v>354</v>
      </c>
      <c r="F11" s="57"/>
      <c r="G11" s="57">
        <f>SUM(G27,G19,G35)</f>
        <v>350194</v>
      </c>
      <c r="H11" s="57">
        <f>SUM(H19,H27,H35)</f>
        <v>441649</v>
      </c>
      <c r="I11" s="57">
        <f>H11-G11</f>
        <v>91455</v>
      </c>
      <c r="J11" s="70"/>
      <c r="K11" s="670"/>
      <c r="L11" s="670"/>
      <c r="M11" s="670"/>
      <c r="N11" s="670"/>
      <c r="O11" s="670"/>
      <c r="P11" s="670"/>
      <c r="Q11" s="670"/>
      <c r="R11" s="670"/>
      <c r="S11" s="670"/>
      <c r="T11" s="670"/>
      <c r="U11" s="670"/>
    </row>
    <row customHeight="1" ht="14.25">
      <c r="A12" s="67"/>
      <c r="B12" s="59"/>
      <c r="C12" s="57"/>
      <c r="D12" s="57"/>
      <c r="E12" s="60" t="s">
        <v>355</v>
      </c>
      <c r="F12" s="57"/>
      <c r="G12" s="57">
        <f>SUM(G28,G20,G36)</f>
        <v>75353</v>
      </c>
      <c r="H12" s="57">
        <f>SUM(H20,H28,H36)</f>
        <v>164000</v>
      </c>
      <c r="I12" s="57">
        <f>H12-G12</f>
        <v>88647</v>
      </c>
      <c r="J12" s="70"/>
      <c r="K12" s="670"/>
      <c r="L12" s="670"/>
      <c r="M12" s="670"/>
      <c r="N12" s="670"/>
      <c r="O12" s="670"/>
      <c r="P12" s="670"/>
      <c r="Q12" s="670"/>
      <c r="R12" s="670"/>
      <c r="S12" s="670"/>
      <c r="T12" s="670"/>
      <c r="U12" s="670"/>
    </row>
    <row customHeight="1" ht="14.25">
      <c r="A13" s="67"/>
      <c r="B13" s="61" t="s">
        <v>362</v>
      </c>
      <c r="C13" s="57" t="s">
        <v>345</v>
      </c>
      <c r="D13" s="57" t="s">
        <v>346</v>
      </c>
      <c r="E13" s="57" t="s">
        <v>357</v>
      </c>
      <c r="F13" s="57" t="s">
        <v>348</v>
      </c>
      <c r="G13" s="57">
        <f>SUM(G14:G15)</f>
        <v>40754</v>
      </c>
      <c r="H13" s="57">
        <f>SUM(H14:H15)</f>
        <v>90000</v>
      </c>
      <c r="I13" s="57">
        <f>H13-G13</f>
        <v>49246</v>
      </c>
      <c r="J13" s="70"/>
      <c r="K13" s="670"/>
      <c r="L13" s="670"/>
      <c r="M13" s="670"/>
      <c r="N13" s="670"/>
      <c r="O13" s="670"/>
      <c r="P13" s="670"/>
      <c r="Q13" s="670"/>
      <c r="R13" s="670"/>
      <c r="S13" s="670"/>
      <c r="T13" s="670"/>
      <c r="U13" s="670"/>
    </row>
    <row customHeight="1" ht="14.25">
      <c r="A14" s="67"/>
      <c r="B14" s="56"/>
      <c r="C14" s="57"/>
      <c r="D14" s="57"/>
      <c r="E14" s="57"/>
      <c r="F14" s="57" t="s">
        <v>349</v>
      </c>
      <c r="G14" s="57">
        <f>_xlfn.IFERROR(SUM(C67),"")</f>
        <v>10543</v>
      </c>
      <c r="H14" s="57">
        <f>H62</f>
        <v>55000</v>
      </c>
      <c r="I14" s="57">
        <f>H14-G14</f>
        <v>44457</v>
      </c>
      <c r="J14" s="70"/>
      <c r="K14" s="670"/>
      <c r="L14" s="670"/>
      <c r="M14" s="670"/>
      <c r="N14" s="670"/>
      <c r="O14" s="670"/>
      <c r="P14" s="670"/>
      <c r="Q14" s="670"/>
      <c r="R14" s="670"/>
      <c r="S14" s="670"/>
      <c r="T14" s="670"/>
      <c r="U14" s="670"/>
    </row>
    <row customHeight="1" ht="14.25">
      <c r="A15" s="67"/>
      <c r="B15" s="56"/>
      <c r="C15" s="62">
        <f>_xlfn.IFERROR(SUM(C63),"")</f>
        <v>16826</v>
      </c>
      <c r="D15" s="62">
        <f>_xlfn.IFERROR(SUM(C64),"")</f>
        <v>8490</v>
      </c>
      <c r="E15" s="57"/>
      <c r="F15" s="57" t="s">
        <v>350</v>
      </c>
      <c r="G15" s="57">
        <f>_xlfn.IFERROR(SUM(C68),"")</f>
        <v>30211</v>
      </c>
      <c r="H15" s="57">
        <f>H63</f>
        <v>35000</v>
      </c>
      <c r="I15" s="57">
        <f>H15-G15</f>
        <v>4789</v>
      </c>
      <c r="J15" s="70"/>
      <c r="K15" s="670"/>
      <c r="L15" s="670"/>
      <c r="M15" s="670"/>
      <c r="N15" s="670"/>
      <c r="O15" s="670"/>
      <c r="P15" s="670"/>
      <c r="Q15" s="670"/>
      <c r="R15" s="670"/>
      <c r="S15" s="670"/>
      <c r="T15" s="670"/>
      <c r="U15" s="670"/>
    </row>
    <row customHeight="1" ht="14.25">
      <c r="A16" s="67"/>
      <c r="B16" s="56"/>
      <c r="C16" s="62"/>
      <c r="D16" s="62"/>
      <c r="E16" s="57" t="s">
        <v>351</v>
      </c>
      <c r="F16" s="57" t="s">
        <v>348</v>
      </c>
      <c r="G16" s="57">
        <f>SUM(G17:G18)</f>
        <v>24242</v>
      </c>
      <c r="H16" s="57">
        <f>SUM(H17:H18)</f>
        <v>84000</v>
      </c>
      <c r="I16" s="57">
        <f>H16-G16</f>
        <v>59758</v>
      </c>
      <c r="J16" s="70"/>
      <c r="K16" s="670"/>
      <c r="L16" s="670"/>
      <c r="M16" s="670"/>
      <c r="N16" s="670"/>
      <c r="O16" s="670"/>
      <c r="P16" s="670"/>
      <c r="Q16" s="670"/>
      <c r="R16" s="670"/>
      <c r="S16" s="670"/>
      <c r="T16" s="670"/>
      <c r="U16" s="670"/>
    </row>
    <row customHeight="1" ht="14.25">
      <c r="A17" s="67"/>
      <c r="B17" s="56"/>
      <c r="C17" s="57" t="s">
        <v>352</v>
      </c>
      <c r="D17" s="57" t="s">
        <v>353</v>
      </c>
      <c r="E17" s="57"/>
      <c r="F17" s="57" t="s">
        <v>349</v>
      </c>
      <c r="G17" s="57">
        <f>_xlfn.IFERROR(SUM(C69),"")</f>
        <v>18139</v>
      </c>
      <c r="H17" s="57">
        <f>H64</f>
        <v>54000</v>
      </c>
      <c r="I17" s="57">
        <f>H17-G17</f>
        <v>35861</v>
      </c>
      <c r="J17" s="70"/>
      <c r="K17" s="670"/>
      <c r="L17" s="670"/>
      <c r="M17" s="670"/>
      <c r="N17" s="670"/>
      <c r="O17" s="670"/>
      <c r="P17" s="670"/>
      <c r="Q17" s="670"/>
      <c r="R17" s="670"/>
      <c r="S17" s="670"/>
      <c r="T17" s="670"/>
      <c r="U17" s="670"/>
    </row>
    <row customHeight="1" ht="14.25">
      <c r="A18" s="67"/>
      <c r="B18" s="56"/>
      <c r="C18" s="57"/>
      <c r="D18" s="57"/>
      <c r="E18" s="57"/>
      <c r="F18" s="57" t="s">
        <v>350</v>
      </c>
      <c r="G18" s="57">
        <f>_xlfn.IFERROR(SUM(C70),"")</f>
        <v>6103</v>
      </c>
      <c r="H18" s="57">
        <f>H65</f>
        <v>30000</v>
      </c>
      <c r="I18" s="57">
        <f>H18-G18</f>
        <v>23897</v>
      </c>
      <c r="J18" s="70"/>
      <c r="K18" s="670"/>
      <c r="L18" s="670"/>
      <c r="M18" s="670"/>
      <c r="N18" s="670"/>
      <c r="O18" s="670"/>
      <c r="P18" s="670"/>
      <c r="Q18" s="670"/>
      <c r="R18" s="670"/>
      <c r="S18" s="670"/>
      <c r="T18" s="670"/>
      <c r="U18" s="670"/>
    </row>
    <row customHeight="1" ht="14.25">
      <c r="A19" s="67"/>
      <c r="B19" s="56"/>
      <c r="C19" s="62">
        <f>_xlfn.IFERROR(SUM(C65),"")</f>
        <v>8867</v>
      </c>
      <c r="D19" s="62">
        <f>_xlfn.IFERROR(SUM(C66),"")</f>
        <v>6405</v>
      </c>
      <c r="E19" s="57" t="s">
        <v>354</v>
      </c>
      <c r="F19" s="57"/>
      <c r="G19" s="57">
        <f>_xlfn.IFERROR(SUM(C71),"")</f>
        <v>68776</v>
      </c>
      <c r="H19" s="57">
        <f>H66</f>
        <v>90000</v>
      </c>
      <c r="I19" s="57">
        <f>H19-G19</f>
        <v>21224</v>
      </c>
      <c r="J19" s="70"/>
      <c r="K19" s="670"/>
      <c r="L19" s="670"/>
      <c r="M19" s="670"/>
      <c r="N19" s="670"/>
      <c r="O19" s="670"/>
      <c r="P19" s="670"/>
      <c r="Q19" s="670"/>
      <c r="R19" s="670"/>
      <c r="S19" s="670"/>
      <c r="T19" s="670"/>
      <c r="U19" s="670"/>
    </row>
    <row customHeight="1" ht="14.25">
      <c r="A20" s="67"/>
      <c r="B20" s="56"/>
      <c r="C20" s="62"/>
      <c r="D20" s="62"/>
      <c r="E20" s="57" t="s">
        <v>355</v>
      </c>
      <c r="F20" s="57"/>
      <c r="G20" s="57">
        <f>_xlfn.IFERROR(SUM(C72),"")</f>
        <v>44290</v>
      </c>
      <c r="H20" s="57">
        <f>H67</f>
        <v>75000</v>
      </c>
      <c r="I20" s="57">
        <f>H20-G20</f>
        <v>30710</v>
      </c>
      <c r="J20" s="70"/>
      <c r="K20" s="670"/>
      <c r="L20" s="670"/>
      <c r="M20" s="670"/>
      <c r="N20" s="670"/>
      <c r="O20" s="670"/>
      <c r="P20" s="670"/>
      <c r="Q20" s="670"/>
      <c r="R20" s="670"/>
      <c r="S20" s="670"/>
      <c r="T20" s="670"/>
      <c r="U20" s="670"/>
    </row>
    <row customHeight="1" ht="14.25">
      <c r="A21" s="67"/>
      <c r="B21" s="61" t="s">
        <v>363</v>
      </c>
      <c r="C21" s="63" t="s">
        <v>345</v>
      </c>
      <c r="D21" s="63" t="s">
        <v>346</v>
      </c>
      <c r="E21" s="57" t="s">
        <v>357</v>
      </c>
      <c r="F21" s="57" t="s">
        <v>348</v>
      </c>
      <c r="G21" s="57">
        <f>_xlfn.IFERROR(SUM(G22:G23),"")</f>
        <v>12805</v>
      </c>
      <c r="H21" s="57">
        <f>SUM(H22:H23)</f>
        <v>24000</v>
      </c>
      <c r="I21" s="57">
        <f>H21-G21</f>
        <v>11195</v>
      </c>
      <c r="J21" s="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</row>
    <row customHeight="1" ht="14.25">
      <c r="A22" s="67"/>
      <c r="B22" s="56"/>
      <c r="C22" s="57"/>
      <c r="D22" s="57"/>
      <c r="E22" s="57"/>
      <c r="F22" s="57" t="s">
        <v>349</v>
      </c>
      <c r="G22" s="57">
        <f>_xlfn.IFERROR(SUM(C44),"")</f>
        <v>6820</v>
      </c>
      <c r="H22" s="57">
        <f>H39</f>
        <v>12000</v>
      </c>
      <c r="I22" s="57">
        <f>H22-G22</f>
        <v>5180</v>
      </c>
      <c r="J22" s="70"/>
      <c r="K22" s="670"/>
      <c r="L22" s="670"/>
      <c r="M22" s="670"/>
      <c r="N22" s="670"/>
      <c r="O22" s="670"/>
      <c r="P22" s="670"/>
      <c r="Q22" s="670"/>
      <c r="R22" s="670"/>
      <c r="S22" s="670"/>
      <c r="T22" s="670"/>
      <c r="U22" s="670"/>
    </row>
    <row customHeight="1" ht="14.25">
      <c r="A23" s="67"/>
      <c r="B23" s="56"/>
      <c r="C23" s="62">
        <f>_xlfn.IFERROR(SUM(C40),"")</f>
        <v>9194</v>
      </c>
      <c r="D23" s="57">
        <f>_xlfn.IFERROR(SUM(C41),"")</f>
        <v>2596</v>
      </c>
      <c r="E23" s="57"/>
      <c r="F23" s="57" t="s">
        <v>350</v>
      </c>
      <c r="G23" s="57">
        <f>_xlfn.IFERROR(C45,"")</f>
        <v>5985</v>
      </c>
      <c r="H23" s="57">
        <f>H40</f>
        <v>12000</v>
      </c>
      <c r="I23" s="57">
        <f>H23-G23</f>
        <v>6015</v>
      </c>
      <c r="J23" s="70"/>
      <c r="K23" s="617"/>
      <c r="L23" s="670"/>
      <c r="M23" s="670"/>
      <c r="N23" s="670"/>
      <c r="O23" s="670"/>
      <c r="P23" s="670"/>
      <c r="Q23" s="670"/>
      <c r="R23" s="670"/>
      <c r="S23" s="670"/>
      <c r="T23" s="670"/>
      <c r="U23" s="670"/>
    </row>
    <row customHeight="1" ht="14.25">
      <c r="A24" s="67"/>
      <c r="B24" s="56"/>
      <c r="C24" s="62"/>
      <c r="D24" s="57"/>
      <c r="E24" s="57" t="s">
        <v>351</v>
      </c>
      <c r="F24" s="57" t="s">
        <v>348</v>
      </c>
      <c r="G24" s="57">
        <f>_xlfn.IFERROR(SUM(G25:G26),"")</f>
        <v>16834</v>
      </c>
      <c r="H24" s="57">
        <f>SUM(H25:H26)</f>
        <v>36750</v>
      </c>
      <c r="I24" s="57">
        <f>H24-G24</f>
        <v>19916</v>
      </c>
      <c r="J24" s="70"/>
      <c r="K24" s="617"/>
      <c r="L24" s="670"/>
      <c r="M24" s="670"/>
      <c r="N24" s="670"/>
      <c r="O24" s="670"/>
      <c r="P24" s="670"/>
      <c r="Q24" s="670"/>
      <c r="R24" s="670"/>
      <c r="S24" s="670"/>
      <c r="T24" s="670"/>
      <c r="U24" s="670"/>
    </row>
    <row customHeight="1" ht="14.25">
      <c r="A25" s="67"/>
      <c r="B25" s="56"/>
      <c r="C25" s="57" t="s">
        <v>352</v>
      </c>
      <c r="D25" s="57" t="s">
        <v>353</v>
      </c>
      <c r="E25" s="57"/>
      <c r="F25" s="57" t="s">
        <v>349</v>
      </c>
      <c r="G25" s="57">
        <f>_xlfn.IFERROR(SUM(C46),"")</f>
        <v>13091</v>
      </c>
      <c r="H25" s="57">
        <f>H41</f>
        <v>25250</v>
      </c>
      <c r="I25" s="57">
        <f>H25-G25</f>
        <v>12159</v>
      </c>
      <c r="J25" s="70"/>
      <c r="K25" s="670"/>
      <c r="L25" s="670"/>
      <c r="M25" s="670"/>
      <c r="N25" s="670"/>
      <c r="O25" s="670"/>
      <c r="P25" s="670"/>
      <c r="Q25" s="670"/>
      <c r="R25" s="670"/>
      <c r="S25" s="670"/>
      <c r="T25" s="670"/>
      <c r="U25" s="670"/>
    </row>
    <row customHeight="1" ht="14.25">
      <c r="A26" s="67"/>
      <c r="B26" s="56"/>
      <c r="C26" s="57"/>
      <c r="D26" s="57"/>
      <c r="E26" s="57"/>
      <c r="F26" s="57" t="s">
        <v>350</v>
      </c>
      <c r="G26" s="57">
        <f>_xlfn.IFERROR(C47,"")</f>
        <v>3743</v>
      </c>
      <c r="H26" s="57">
        <f>H42</f>
        <v>11500</v>
      </c>
      <c r="I26" s="57">
        <f>H26-G26</f>
        <v>7757</v>
      </c>
      <c r="J26" s="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</row>
    <row customHeight="1" ht="14.25">
      <c r="A27" s="67"/>
      <c r="B27" s="56"/>
      <c r="C27" s="62">
        <f>_xlfn.IFERROR(SUM(C42),"")</f>
        <v>3431</v>
      </c>
      <c r="D27" s="57">
        <f>_xlfn.IFERROR(SUM(C43),"")</f>
        <v>2495</v>
      </c>
      <c r="E27" s="57" t="s">
        <v>354</v>
      </c>
      <c r="F27" s="57"/>
      <c r="G27" s="57">
        <f>_xlfn.IFERROR(C48,"")</f>
        <v>27769</v>
      </c>
      <c r="H27" s="57">
        <f>H43</f>
        <v>98000</v>
      </c>
      <c r="I27" s="57">
        <f>H27-G27</f>
        <v>70231</v>
      </c>
      <c r="J27" s="70"/>
      <c r="K27" s="670"/>
      <c r="L27" s="670"/>
      <c r="M27" s="670"/>
      <c r="N27" s="670"/>
      <c r="O27" s="670"/>
      <c r="P27" s="670"/>
      <c r="Q27" s="670"/>
      <c r="R27" s="670"/>
      <c r="S27" s="670"/>
      <c r="T27" s="670"/>
      <c r="U27" s="670"/>
    </row>
    <row customHeight="1" ht="14.25">
      <c r="A28" s="67"/>
      <c r="B28" s="56"/>
      <c r="C28" s="62"/>
      <c r="D28" s="57"/>
      <c r="E28" s="57" t="s">
        <v>355</v>
      </c>
      <c r="F28" s="57"/>
      <c r="G28" s="57">
        <f>_xlfn.IFERROR(SUM(C49),"")</f>
        <v>2354</v>
      </c>
      <c r="H28" s="57">
        <f>H44</f>
        <v>38000</v>
      </c>
      <c r="I28" s="57">
        <f>H28-G28</f>
        <v>35646</v>
      </c>
      <c r="J28" s="70"/>
      <c r="K28" s="670"/>
      <c r="L28" s="670"/>
      <c r="M28" s="670"/>
      <c r="N28" s="670"/>
      <c r="O28" s="670"/>
      <c r="P28" s="670"/>
      <c r="Q28" s="670"/>
      <c r="R28" s="670"/>
      <c r="S28" s="670"/>
      <c r="T28" s="670"/>
      <c r="U28" s="670"/>
    </row>
    <row customHeight="1" ht="14.25">
      <c r="A29" s="67"/>
      <c r="B29" s="61" t="s">
        <v>364</v>
      </c>
      <c r="C29" s="57" t="s">
        <v>345</v>
      </c>
      <c r="D29" s="57" t="s">
        <v>346</v>
      </c>
      <c r="E29" s="57" t="s">
        <v>357</v>
      </c>
      <c r="F29" s="57" t="s">
        <v>348</v>
      </c>
      <c r="G29" s="57">
        <f>SUM(G30:G31)</f>
        <v>89628</v>
      </c>
      <c r="H29" s="57">
        <f>SUM(H30:H31)</f>
        <v>105341</v>
      </c>
      <c r="I29" s="57">
        <f>H29-G29</f>
        <v>15713</v>
      </c>
      <c r="J29" s="70"/>
      <c r="K29" s="670"/>
      <c r="L29" s="670"/>
      <c r="M29" s="681"/>
      <c r="N29" s="670"/>
      <c r="O29" s="670"/>
      <c r="P29" s="670"/>
      <c r="Q29" s="670"/>
      <c r="R29" s="670"/>
      <c r="S29" s="670"/>
      <c r="T29" s="670"/>
      <c r="U29" s="670"/>
    </row>
    <row customHeight="1" ht="14.25">
      <c r="A30" s="67"/>
      <c r="B30" s="56"/>
      <c r="C30" s="58"/>
      <c r="D30" s="58"/>
      <c r="E30" s="57"/>
      <c r="F30" s="57" t="s">
        <v>349</v>
      </c>
      <c r="G30" s="57">
        <f>_xlfn.IFERROR(SUM(C54),"")</f>
        <v>72237</v>
      </c>
      <c r="H30" s="57">
        <f>H51</f>
        <v>77341</v>
      </c>
      <c r="I30" s="57">
        <f>H30-G30</f>
        <v>5104</v>
      </c>
      <c r="J30" s="70"/>
      <c r="K30" s="670"/>
      <c r="L30" s="670"/>
      <c r="M30" s="67"/>
      <c r="N30" s="670"/>
      <c r="O30" s="670"/>
      <c r="P30" s="670"/>
      <c r="Q30" s="670"/>
      <c r="R30" s="670"/>
      <c r="S30" s="670"/>
      <c r="T30" s="670"/>
      <c r="U30" s="670"/>
    </row>
    <row customHeight="1" ht="14.25">
      <c r="A31" s="67"/>
      <c r="B31" s="59"/>
      <c r="C31" s="57">
        <f>_xlfn.IFERROR(SUM(C52),"")</f>
        <v>13001</v>
      </c>
      <c r="D31" s="57">
        <f>_xlfn.IFERROR(SUM(C53),"")</f>
        <v>4386</v>
      </c>
      <c r="E31" s="60"/>
      <c r="F31" s="57" t="s">
        <v>350</v>
      </c>
      <c r="G31" s="57">
        <f>_xlfn.IFERROR(SUM(C57),"")</f>
        <v>17391</v>
      </c>
      <c r="H31" s="57">
        <f>H52</f>
        <v>28000</v>
      </c>
      <c r="I31" s="57">
        <f>H31-G31</f>
        <v>10609</v>
      </c>
      <c r="J31" s="70"/>
      <c r="K31" s="670"/>
      <c r="L31" s="670"/>
      <c r="M31" s="67"/>
      <c r="N31" s="670"/>
      <c r="O31" s="670"/>
      <c r="P31" s="670"/>
      <c r="Q31" s="670"/>
      <c r="R31" s="670"/>
      <c r="S31" s="670"/>
      <c r="T31" s="670"/>
      <c r="U31" s="670"/>
    </row>
    <row customHeight="1" ht="14.25">
      <c r="A32" s="67"/>
      <c r="B32" s="59"/>
      <c r="C32" s="57"/>
      <c r="D32" s="57"/>
      <c r="E32" s="60" t="s">
        <v>351</v>
      </c>
      <c r="F32" s="57" t="s">
        <v>348</v>
      </c>
      <c r="G32" s="57">
        <f>SUM(G33:G34)</f>
        <v>95068</v>
      </c>
      <c r="H32" s="57">
        <f>SUM(H33:H34)</f>
        <v>123559</v>
      </c>
      <c r="I32" s="57">
        <f>H32-G32</f>
        <v>28491</v>
      </c>
      <c r="J32" s="70"/>
      <c r="K32" s="670"/>
      <c r="L32" s="670"/>
      <c r="M32" s="67"/>
      <c r="N32" s="670"/>
      <c r="O32" s="670"/>
      <c r="P32" s="670"/>
      <c r="Q32" s="670"/>
      <c r="R32" s="670"/>
      <c r="S32" s="670"/>
      <c r="T32" s="670"/>
      <c r="U32" s="670"/>
    </row>
    <row customHeight="1" ht="14.25">
      <c r="A33" s="67"/>
      <c r="B33" s="59"/>
      <c r="C33" s="57" t="s">
        <v>352</v>
      </c>
      <c r="D33" s="57" t="s">
        <v>353</v>
      </c>
      <c r="E33" s="60"/>
      <c r="F33" s="57" t="s">
        <v>349</v>
      </c>
      <c r="G33" s="57">
        <f>_xlfn.IFERROR(SUM(C58),"")</f>
        <v>81512</v>
      </c>
      <c r="H33" s="57">
        <f>H53</f>
        <v>100000</v>
      </c>
      <c r="I33" s="57">
        <f>H33-G33</f>
        <v>18488</v>
      </c>
      <c r="J33" s="70"/>
      <c r="K33" s="670"/>
      <c r="L33" s="670"/>
      <c r="M33" s="67"/>
      <c r="N33" s="670"/>
      <c r="O33" s="670"/>
      <c r="P33" s="670"/>
      <c r="Q33" s="670"/>
      <c r="R33" s="670"/>
      <c r="S33" s="670"/>
      <c r="T33" s="670"/>
      <c r="U33" s="670"/>
    </row>
    <row customHeight="1" ht="14.25">
      <c r="A34" s="67"/>
      <c r="B34" s="59"/>
      <c r="C34" s="57"/>
      <c r="D34" s="57"/>
      <c r="E34" s="60"/>
      <c r="F34" s="57" t="s">
        <v>350</v>
      </c>
      <c r="G34" s="57">
        <f>_xlfn.IFERROR(SUM(C59),"")</f>
        <v>13556</v>
      </c>
      <c r="H34" s="57">
        <f>H54</f>
        <v>23559</v>
      </c>
      <c r="I34" s="57">
        <f>H34-G34</f>
        <v>10003</v>
      </c>
      <c r="J34" s="70"/>
      <c r="K34" s="670"/>
      <c r="L34" s="670"/>
      <c r="M34" s="670"/>
      <c r="N34" s="670"/>
      <c r="O34" s="670"/>
      <c r="P34" s="670"/>
      <c r="Q34" s="670"/>
      <c r="R34" s="670"/>
      <c r="S34" s="670"/>
      <c r="T34" s="670"/>
      <c r="U34" s="670"/>
    </row>
    <row customHeight="1" ht="14.25">
      <c r="A35" s="67"/>
      <c r="B35" s="59"/>
      <c r="C35" s="57">
        <f>_xlfn.IFERROR(SUM(C55),"")</f>
        <v>4647</v>
      </c>
      <c r="D35" s="57">
        <f>_xlfn.IFERROR(SUM(C56),"")</f>
        <v>3018</v>
      </c>
      <c r="E35" s="60" t="s">
        <v>354</v>
      </c>
      <c r="F35" s="57"/>
      <c r="G35" s="57">
        <f>_xlfn.IFERROR(SUM(C60),"")</f>
        <v>253649</v>
      </c>
      <c r="H35" s="57">
        <f>H55</f>
        <v>253649</v>
      </c>
      <c r="I35" s="57">
        <f>H35-G35</f>
        <v>0</v>
      </c>
      <c r="J35" s="70"/>
      <c r="K35" s="670"/>
      <c r="L35" s="670"/>
      <c r="M35" s="670"/>
      <c r="N35" s="670"/>
      <c r="O35" s="670"/>
      <c r="P35" s="670"/>
      <c r="Q35" s="670"/>
      <c r="R35" s="670"/>
      <c r="S35" s="670"/>
      <c r="T35" s="670"/>
      <c r="U35" s="670"/>
    </row>
    <row customHeight="1" ht="14.25">
      <c r="A36" s="67"/>
      <c r="B36" s="59"/>
      <c r="C36" s="57"/>
      <c r="D36" s="57"/>
      <c r="E36" s="60" t="s">
        <v>355</v>
      </c>
      <c r="F36" s="57"/>
      <c r="G36" s="57">
        <f>_xlfn.IFERROR(SUM(C61),"")</f>
        <v>28709</v>
      </c>
      <c r="H36" s="57">
        <f>H56</f>
        <v>51000</v>
      </c>
      <c r="I36" s="57">
        <f>H36-G36</f>
        <v>22291</v>
      </c>
      <c r="J36" s="73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</row>
    <row customHeight="1" ht="12">
      <c r="A37" s="67"/>
      <c r="B37" s="64"/>
      <c r="C37" s="53"/>
      <c r="D37" s="53"/>
      <c r="E37" s="64"/>
      <c r="F37" s="65"/>
      <c r="G37" s="64"/>
      <c r="H37" s="53"/>
      <c r="I37" s="55"/>
      <c r="J37" s="53"/>
      <c r="K37" s="670"/>
      <c r="L37" s="670"/>
      <c r="M37" s="670"/>
      <c r="N37" s="670"/>
      <c r="O37" s="670"/>
      <c r="P37" s="670"/>
      <c r="Q37" s="670"/>
      <c r="R37" s="670"/>
      <c r="S37" s="670"/>
      <c r="T37" s="670"/>
      <c r="U37" s="670"/>
    </row>
    <row customHeight="1" ht="2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</row>
    <row customHeight="1" ht="14.25">
      <c r="A39" s="67"/>
      <c r="B39" s="67"/>
      <c r="C39" s="67"/>
      <c r="D39" s="67"/>
      <c r="E39" s="67"/>
      <c r="F39" s="67"/>
      <c r="G39" s="67"/>
      <c r="H39" s="66">
        <v>12000</v>
      </c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</row>
    <row customHeight="1" ht="14.25">
      <c r="A40" s="67"/>
      <c r="B40" s="433" t="s">
        <v>365</v>
      </c>
      <c r="C40" s="66">
        <v>9194</v>
      </c>
      <c r="D40" s="67"/>
      <c r="E40" s="67"/>
      <c r="F40" s="67"/>
      <c r="G40" s="67"/>
      <c r="H40" s="66">
        <v>12000</v>
      </c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</row>
    <row customHeight="1" ht="14.25">
      <c r="A41" s="67"/>
      <c r="B41" s="67"/>
      <c r="C41" s="66">
        <v>2596</v>
      </c>
      <c r="D41" s="67"/>
      <c r="E41" s="67"/>
      <c r="F41" s="67"/>
      <c r="G41" s="67"/>
      <c r="H41" s="66">
        <v>25250</v>
      </c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</row>
    <row customHeight="1" ht="14.25">
      <c r="A42" s="67"/>
      <c r="B42" s="67"/>
      <c r="C42" s="66">
        <v>3431</v>
      </c>
      <c r="D42" s="67"/>
      <c r="E42" s="67"/>
      <c r="F42" s="67"/>
      <c r="G42" s="67"/>
      <c r="H42" s="66">
        <v>11500</v>
      </c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</row>
    <row customHeight="1" ht="14.25">
      <c r="A43" s="67"/>
      <c r="B43" s="67"/>
      <c r="C43" s="66">
        <v>2495</v>
      </c>
      <c r="D43" s="67"/>
      <c r="E43" s="67"/>
      <c r="F43" s="67"/>
      <c r="G43" s="67"/>
      <c r="H43" s="66">
        <v>98000</v>
      </c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</row>
    <row customHeight="1" ht="14.25">
      <c r="A44" s="67"/>
      <c r="B44" s="67"/>
      <c r="C44" s="66">
        <v>6820</v>
      </c>
      <c r="D44" s="67"/>
      <c r="E44" s="67"/>
      <c r="F44" s="67"/>
      <c r="G44" s="67"/>
      <c r="H44" s="66">
        <v>38000</v>
      </c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</row>
    <row customHeight="1" ht="14.25">
      <c r="A45" s="67"/>
      <c r="B45" s="67"/>
      <c r="C45" s="66">
        <v>5985</v>
      </c>
      <c r="D45" s="67"/>
      <c r="E45" s="67"/>
      <c r="F45" s="67"/>
      <c r="G45" s="67"/>
      <c r="H45" s="66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</row>
    <row customHeight="1" ht="14.25">
      <c r="A46" s="67"/>
      <c r="B46" s="67"/>
      <c r="C46" s="66">
        <v>13091</v>
      </c>
      <c r="D46" s="67"/>
      <c r="E46" s="67"/>
      <c r="F46" s="67"/>
      <c r="G46" s="67"/>
      <c r="H46" s="66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</row>
    <row customHeight="1" ht="14.25">
      <c r="A47" s="67"/>
      <c r="B47" s="67"/>
      <c r="C47" s="66">
        <v>3743</v>
      </c>
      <c r="D47" s="67"/>
      <c r="E47" s="67"/>
      <c r="F47" s="67"/>
      <c r="G47" s="67"/>
      <c r="H47" s="66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</row>
    <row customHeight="1" ht="14.25">
      <c r="A48" s="67"/>
      <c r="B48" s="67"/>
      <c r="C48" s="66">
        <v>27769</v>
      </c>
      <c r="D48" s="67"/>
      <c r="E48" s="67"/>
      <c r="F48" s="67"/>
      <c r="G48" s="67"/>
      <c r="H48" s="66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</row>
    <row customHeight="1" ht="14.25">
      <c r="A49" s="67"/>
      <c r="B49" s="67"/>
      <c r="C49" s="66">
        <v>2354</v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</row>
    <row customHeight="1" ht="14.25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</row>
    <row customHeight="1" ht="14.25">
      <c r="A51" s="67"/>
      <c r="B51" s="433" t="s">
        <v>359</v>
      </c>
      <c r="C51" s="67"/>
      <c r="D51" s="67"/>
      <c r="E51" s="67"/>
      <c r="F51" s="67"/>
      <c r="G51" s="67"/>
      <c r="H51" s="67">
        <v>77341</v>
      </c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</row>
    <row customHeight="1" ht="14.25">
      <c r="A52" s="67"/>
      <c r="B52" s="67"/>
      <c r="C52" s="67">
        <v>13001</v>
      </c>
      <c r="D52" s="67"/>
      <c r="E52" s="67"/>
      <c r="F52" s="67"/>
      <c r="G52" s="67"/>
      <c r="H52" s="67">
        <v>28000</v>
      </c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</row>
    <row customHeight="1" ht="14.25">
      <c r="A53" s="67"/>
      <c r="B53" s="67"/>
      <c r="C53" s="67">
        <v>4386</v>
      </c>
      <c r="D53" s="67"/>
      <c r="E53" s="67"/>
      <c r="F53" s="67"/>
      <c r="G53" s="67"/>
      <c r="H53" s="67">
        <v>100000</v>
      </c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</row>
    <row customHeight="1" ht="14.25">
      <c r="A54" s="67"/>
      <c r="B54" s="67"/>
      <c r="C54" s="67">
        <v>72237</v>
      </c>
      <c r="D54" s="67"/>
      <c r="E54" s="67"/>
      <c r="F54" s="67"/>
      <c r="G54" s="67"/>
      <c r="H54" s="67">
        <v>23559</v>
      </c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</row>
    <row customHeight="1" ht="14.25">
      <c r="A55" s="67"/>
      <c r="B55" s="67"/>
      <c r="C55" s="67">
        <v>4647</v>
      </c>
      <c r="D55" s="67"/>
      <c r="E55" s="67"/>
      <c r="F55" s="67"/>
      <c r="G55" s="67"/>
      <c r="H55" s="67">
        <v>253649</v>
      </c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</row>
    <row customHeight="1" ht="14.25">
      <c r="A56" s="67"/>
      <c r="B56" s="67"/>
      <c r="C56" s="67">
        <v>3018</v>
      </c>
      <c r="D56" s="67"/>
      <c r="E56" s="67"/>
      <c r="F56" s="67"/>
      <c r="G56" s="67"/>
      <c r="H56" s="67">
        <v>51000</v>
      </c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</row>
    <row customHeight="1" ht="14.25">
      <c r="A57" s="67"/>
      <c r="B57" s="67"/>
      <c r="C57" s="67">
        <v>17391</v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</row>
    <row customHeight="1" ht="14.25">
      <c r="A58" s="67"/>
      <c r="B58" s="67"/>
      <c r="C58" s="67">
        <v>81512</v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</row>
    <row customHeight="1" ht="14.25">
      <c r="A59" s="67"/>
      <c r="B59" s="67"/>
      <c r="C59" s="67">
        <v>13556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</row>
    <row customHeight="1" ht="14.25">
      <c r="A60" s="67"/>
      <c r="B60" s="67"/>
      <c r="C60" s="67">
        <v>253649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</row>
    <row customHeight="1" ht="14.25">
      <c r="A61" s="67"/>
      <c r="B61" s="67"/>
      <c r="C61" s="67">
        <v>28709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</row>
    <row customHeight="1" ht="14.25">
      <c r="A62" s="67"/>
      <c r="B62" s="433" t="s">
        <v>356</v>
      </c>
      <c r="C62" s="67"/>
      <c r="D62" s="67"/>
      <c r="E62" s="67"/>
      <c r="F62" s="67"/>
      <c r="G62" s="67"/>
      <c r="H62" s="67">
        <v>55000</v>
      </c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</row>
    <row customHeight="1" ht="14.25">
      <c r="A63" s="67"/>
      <c r="B63" s="67"/>
      <c r="C63" s="67">
        <v>16826</v>
      </c>
      <c r="D63" s="67"/>
      <c r="E63" s="67"/>
      <c r="F63" s="67"/>
      <c r="G63" s="67"/>
      <c r="H63" s="67">
        <v>35000</v>
      </c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</row>
    <row customHeight="1" ht="14.25">
      <c r="A64" s="67"/>
      <c r="B64" s="67"/>
      <c r="C64" s="67">
        <v>8490</v>
      </c>
      <c r="D64" s="67"/>
      <c r="E64" s="67"/>
      <c r="F64" s="67"/>
      <c r="G64" s="67"/>
      <c r="H64" s="67">
        <v>54000</v>
      </c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</row>
    <row customHeight="1" ht="14.25">
      <c r="A65" s="67"/>
      <c r="B65" s="67"/>
      <c r="C65" s="67">
        <v>8867</v>
      </c>
      <c r="D65" s="67"/>
      <c r="E65" s="67"/>
      <c r="F65" s="67"/>
      <c r="G65" s="67"/>
      <c r="H65" s="67">
        <v>30000</v>
      </c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</row>
    <row customHeight="1" ht="14.25">
      <c r="A66" s="67"/>
      <c r="B66" s="67"/>
      <c r="C66" s="67">
        <v>6405</v>
      </c>
      <c r="D66" s="67"/>
      <c r="E66" s="67"/>
      <c r="F66" s="67"/>
      <c r="G66" s="67"/>
      <c r="H66" s="67">
        <v>90000</v>
      </c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</row>
    <row customHeight="1" ht="14.25">
      <c r="A67" s="67"/>
      <c r="B67" s="67"/>
      <c r="C67" s="67">
        <v>10543</v>
      </c>
      <c r="D67" s="67"/>
      <c r="E67" s="67"/>
      <c r="F67" s="67"/>
      <c r="G67" s="67"/>
      <c r="H67" s="67">
        <v>75000</v>
      </c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</row>
    <row customHeight="1" ht="14.25">
      <c r="A68" s="67"/>
      <c r="B68" s="67"/>
      <c r="C68" s="67">
        <v>30211</v>
      </c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</row>
    <row customHeight="1" ht="14.25">
      <c r="A69" s="67"/>
      <c r="B69" s="67"/>
      <c r="C69" s="67">
        <v>18139</v>
      </c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</row>
    <row customHeight="1" ht="14.25">
      <c r="A70" s="67"/>
      <c r="B70" s="67"/>
      <c r="C70" s="67">
        <v>6103</v>
      </c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</row>
    <row customHeight="1" ht="14.25">
      <c r="A71" s="67"/>
      <c r="B71" s="67"/>
      <c r="C71" s="67">
        <v>68776</v>
      </c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</row>
    <row customHeight="1" ht="14.25">
      <c r="A72" s="67"/>
      <c r="B72" s="67"/>
      <c r="C72" s="67">
        <v>44290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</row>
  </sheetData>
  <mergeCells count="61">
    <mergeCell ref="B1:J1"/>
    <mergeCell ref="B2:C2"/>
    <mergeCell ref="E2:F2"/>
    <mergeCell ref="E3:I3"/>
    <mergeCell ref="E4:F4"/>
    <mergeCell ref="E11:F11"/>
    <mergeCell ref="E12:F12"/>
    <mergeCell ref="E19:F19"/>
    <mergeCell ref="E20:F20"/>
    <mergeCell ref="E27:F27"/>
    <mergeCell ref="E28:F28"/>
    <mergeCell ref="E35:F35"/>
    <mergeCell ref="E36:F36"/>
    <mergeCell ref="B3:B4"/>
    <mergeCell ref="B5:B12"/>
    <mergeCell ref="B13:B20"/>
    <mergeCell ref="B21:B28"/>
    <mergeCell ref="B29:B36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E5:E7"/>
    <mergeCell ref="E8:E10"/>
    <mergeCell ref="E13:E15"/>
    <mergeCell ref="E16:E18"/>
    <mergeCell ref="E21:E23"/>
    <mergeCell ref="E24:E26"/>
    <mergeCell ref="E29:E31"/>
    <mergeCell ref="E32:E34"/>
    <mergeCell ref="J3:J4"/>
    <mergeCell ref="J5:J36"/>
    <mergeCell ref="C3:D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生产日报1</vt:lpstr>
      <vt:lpstr>生产日报1取值</vt:lpstr>
      <vt:lpstr>生产日报2</vt:lpstr>
      <vt:lpstr>生产日报2取值</vt:lpstr>
      <vt:lpstr>生产日报3</vt:lpstr>
      <vt:lpstr>生产日报3取值</vt:lpstr>
      <vt:lpstr>生产日报4</vt:lpstr>
      <vt:lpstr>生产日报4取值</vt:lpstr>
      <vt:lpstr>生产日报5</vt:lpstr>
      <vt:lpstr>生产日报5取值</vt:lpstr>
      <vt:lpstr>生产日报6</vt:lpstr>
      <vt:lpstr>生产日报6取值</vt:lpstr>
      <vt:lpstr>生产日报8</vt:lpstr>
      <vt:lpstr>生产日报8取值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王文荣</dc:creator>
  <cp:lastModifiedBy>WPS_1176973267</cp:lastModifiedBy>
  <dcterms:created xsi:type="dcterms:W3CDTF">2021-11-05T01:46:00Z</dcterms:created>
  <dcterms:modified xsi:type="dcterms:W3CDTF">2023-12-26T07:43:41Z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D8E627370DAB4990BDB3EE2E01106EF2</vt:lpwstr>
  </property>
  <property fmtid="{D5CDD505-2E9C-101B-9397-08002B2CF9AE}" pid="3" name="KSOProductBuildVer">
    <vt:lpwstr>2052-12.1.0.16120</vt:lpwstr>
  </property>
  <property fmtid="{D5CDD505-2E9C-101B-9397-08002B2CF9AE}" pid="4" name="KSOReadingLayout">
    <vt:bool>true</vt:bool>
  </property>
  <property fmtid="{D5CDD505-2E9C-101B-9397-08002B2CF9AE}" pid="5" name="commondata">
    <vt:lpwstr>eyJoZGlkIjoiODU5NzcyYjljN2Q3ZDFiZDFiMWY0N2VjNGM2YmQ0YmUifQ==</vt:lpwstr>
  </property>
</Properties>
</file>