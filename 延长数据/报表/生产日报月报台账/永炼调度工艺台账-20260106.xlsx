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调度工艺台账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#Input("永炼_调度工艺台账_永炼_调度工艺台账_CY1.TIC1010.PV00",":key{{dw}}")</t>
        </r>
      </text>
    </comment>
    <comment ref="F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#Input("永炼_调度工艺台账_永炼_调度工艺台账_CY1.TIC1010.PV02",":key{{dw}}")</t>
        </r>
      </text>
    </comment>
    <comment ref="G5" authorId="0">
      <text>
        <r>
          <rPr>
            <sz val="9"/>
            <color indexed="81"/>
            <rFont val="Arial"/>
            <family val="2"/>
          </rPr>
          <t xml:space="preserve">#Input("永炼_调度工艺台账_永炼_调度工艺台账_CY1.TIC1010.PV04",":key{{dw}}")
</t>
        </r>
      </text>
    </comment>
    <comment ref="H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#Input("永炼_调度工艺台账_永炼_调度工艺台账_CY1.TIC1010.PV06",":key{{dw}}")</t>
        </r>
      </text>
    </comment>
    <comment ref="I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#Input("永炼_调度工艺台账_永炼_调度工艺台账_CY1.TIC1010.PV08",":key{{dw}}")</t>
        </r>
      </text>
    </comment>
    <comment ref="J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#Input("永炼_调度工艺台账_永炼_调度工艺台账_CY1.TIC1010.PV10",":key{{dw}}")</t>
        </r>
      </text>
    </comment>
    <comment ref="K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#Input("永炼_调度工艺台账_永炼_调度工艺台账_CY1.TIC1010.PV12",":key{{dw}}")</t>
        </r>
      </text>
    </comment>
    <comment ref="L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#Input("永炼_调度工艺台账_永炼_调度工艺台账_CY1.TIC1010.PV14",":key{{dw}}")</t>
        </r>
      </text>
    </comment>
    <comment ref="M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#Input("永炼_调度工艺台账_永炼_调度工艺台账_CY1.TIC1010.PV16",":key{{dw}}")</t>
        </r>
      </text>
    </comment>
    <comment ref="N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#Input("永炼_调度工艺台账_永炼_调度工艺台账_CY1.TIC1010.PV18",":key{{dw}}")</t>
        </r>
      </text>
    </comment>
    <comment ref="O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#Input("永炼_调度工艺台账_永炼_调度工艺台账_CY1.TIC1010.PV20",":key{{dw}}")</t>
        </r>
      </text>
    </comment>
    <comment ref="P5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#Input("永炼_调度工艺台账_永炼_调度工艺台账_CY1.TIC1010.PV22",":key{{dw}}")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#Input("永炼_调度工艺台账_永炼_调度工艺台账_CY1.FIQ1024.PV00",":key{{dw}}")</t>
        </r>
      </text>
    </comment>
    <comment ref="F6" authorId="0">
      <text>
        <r>
          <rPr>
            <sz val="9"/>
            <color indexed="81"/>
            <rFont val="宋体"/>
            <family val="2"/>
          </rPr>
          <t>#Input("永炼_调度工艺台账_永炼_调度工艺台账_CY1.FIQ1024.PV02",":key{{dw}}")</t>
        </r>
      </text>
    </comment>
    <comment ref="G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#Input("永炼_调度工艺台账_永炼_调度工艺台账_CY1.FIQ1024.PV04",":key{{dw}}")</t>
        </r>
      </text>
    </comment>
    <comment ref="H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#Input("永炼_调度工艺台账_永炼_调度工艺台账_CY1.FIQ1024.PV06",":key{{dw}}")</t>
        </r>
      </text>
    </comment>
    <comment ref="I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#Input("永炼_调度工艺台账_永炼_调度工艺台账_CY1.FIQ1024.PV08",":key{{dw}}")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#Input("永炼_调度工艺台账_永炼_调度工艺台账_CY1.FIQ1024.PV10",":key{{dw}}")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#Input("永炼_调度工艺台账_永炼_调度工艺台账_CY1.FIQ1024.PV12",":key{{dw}}")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#Input("永炼_调度工艺台账_永炼_调度工艺台账_CY1.FIQ1024.PV14",":key{{dw}}")</t>
        </r>
      </text>
    </comment>
    <comment ref="M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#Input("永炼_调度工艺台账_永炼_调度工艺台账_CY1.FIQ1024.PV16",":key{{dw}}")</t>
        </r>
      </text>
    </comment>
    <comment ref="N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#Input("永炼_调度工艺台账_永炼_调度工艺台账_CY1.FIQ1024.PV18",":key{{dw}}")</t>
        </r>
      </text>
    </comment>
    <comment ref="O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#Input("永炼_调度工艺台账_永炼_调度工艺台账_CY1.FIQ1024.PV20",":key{{dw}}")</t>
        </r>
      </text>
    </comment>
    <comment ref="P6" authorId="0">
      <text>
        <r>
          <rPr>
            <b/>
            <sz val="9"/>
            <color indexed="81"/>
            <rFont val="宋体"/>
            <family val="2"/>
          </rPr>
          <t>#Input("永炼_调度工艺台账_永炼_调度工艺台账_CY1.FIQ1024.PV22",":key{{dw}}")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#Input("永炼_调度工艺台账_CY2.TRCA21123.PV00",":key{{dw}}")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#Input("永炼_调度工艺台账_CY2.TRCA21123.PV02",":key{{dw}}")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#Input("永炼_调度工艺台账_CY2.TRCA21123.PV04",":key{{dw}}")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#Input("永炼_调度工艺台账_CY2.TRCA21123.PV06",":key{{dw}}")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#Input("永炼_调度工艺台账_CY2.TRCA21123.PV08",":key{{dw}}")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#Input("永炼_调度工艺台账_CY2.TRCA21123.PV10",":key{{dw}}")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#Input("永炼_调度工艺台账_CY2.TRCA21123.PV12",":key{{dw}}")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#Input("永炼_调度工艺台账_CY2.TRCA21123.PV14",":key{{dw}}")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#Input("永炼_调度工艺台账_CY2.TRCA21123.PV16",":key{{dw}}")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#Input("永炼_调度工艺台账_CY2.TRCA21123.PV18",":key{{dw}}")</t>
        </r>
      </text>
    </comment>
    <comment ref="O7" authorId="0">
      <text>
        <r>
          <rPr>
            <b/>
            <sz val="9"/>
            <color indexed="81"/>
            <rFont val="宋体"/>
            <family val="2"/>
          </rPr>
          <t>#Input("永炼_调度工艺台账_CY2.TRCA21123.PV20",":key{{dw}}")</t>
        </r>
      </text>
    </comment>
    <comment ref="P7" authorId="0">
      <text>
        <r>
          <rPr>
            <b/>
            <sz val="9"/>
            <color indexed="81"/>
            <rFont val="宋体"/>
            <family val="2"/>
          </rPr>
          <t>#Input("永炼_调度工艺台账_CY2.TRCA21123.PV22",":key{{dw}}")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#Input("永炼_调度工艺台账_CY2.FRQ21101.PV00",":key{{dw}}")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#Input("永炼_调度工艺台账_CY2.FRQ21101.PV02",":key{{dw}}")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#Input("永炼_调度工艺台账_CY2.FRQ21101.PV04",":key{{dw}}")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#Input("永炼_调度工艺台账_CY2.FRQ21101.PV06",":key{{dw}}")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#Input("永炼_调度工艺台账_CY2.FRQ21101.PV08",":key{{dw}}")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#Input("永炼_调度工艺台账_CY2.FRQ21101.PV10",":key{{dw}}")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#Input("永炼_调度工艺台账_CY2.FRQ21101.PV12",":key{{dw}}")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#Input("永炼_调度工艺台账_CY2.FRQ21101.PV14",":key{{dw}}")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#Input("永炼_调度工艺台账_CY2.FRQ21101.PV16",":key{{dw}}")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>#Input("永炼_调度工艺台账_CY2.FRQ21101.PV18",":key{{dw}}")</t>
        </r>
      </text>
    </comment>
    <comment ref="O8" authorId="0">
      <text>
        <r>
          <rPr>
            <b/>
            <sz val="9"/>
            <color indexed="81"/>
            <rFont val="宋体"/>
            <family val="2"/>
          </rPr>
          <t>#Input("永炼_调度工艺台账_CY2.FRQ21101.PV20",":key{{dw}}")</t>
        </r>
      </text>
    </comment>
    <comment ref="P8" authorId="0">
      <text>
        <r>
          <rPr>
            <b/>
            <sz val="9"/>
            <color indexed="81"/>
            <rFont val="宋体"/>
            <family val="2"/>
          </rPr>
          <t>#Input("永炼_调度工艺台账_CY2.FRQ21101.PV22",":key{{dw}}")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#Input("永炼_调度工艺台账_CH2.FRC11201A.PV00",":key{{dw}}")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#Input("永炼_调度工艺台账_CH2.FRC11201A.PV02",":key{{dw}}")</t>
        </r>
      </text>
    </comment>
    <comment ref="G9" authorId="0">
      <text>
        <r>
          <rPr>
            <b/>
            <sz val="9"/>
            <color indexed="81"/>
            <rFont val="宋体"/>
            <family val="2"/>
          </rPr>
          <t>#Input("永炼_调度工艺台账_CH2.FRC11201A.PV04",":key{{dw}}")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#Input("永炼_调度工艺台账_CH2.FRC11201A.PV06",":key{{dw}}")</t>
        </r>
      </text>
    </comment>
    <comment ref="I9" authorId="0">
      <text>
        <r>
          <rPr>
            <b/>
            <sz val="9"/>
            <color indexed="81"/>
            <rFont val="宋体"/>
            <family val="2"/>
          </rPr>
          <t>#Input("永炼_调度工艺台账_CH2.FRC11201A.PV08",":key{{dw}}")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#Input("永炼_调度工艺台账_CH2.FRC11201A.PV10",":key{{dw}}")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#Input("永炼_调度工艺台账_CH2.FRC11201A.PV12",":key{{dw}}")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#Input("永炼_调度工艺台账_CH2.FRC11201A.PV14",":key{{dw}}")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>#Input("永炼_调度工艺台账_CH2.FRC11201A.PV16",":key{{dw}}")</t>
        </r>
      </text>
    </comment>
    <comment ref="N9" authorId="0">
      <text>
        <r>
          <rPr>
            <b/>
            <sz val="9"/>
            <color indexed="81"/>
            <rFont val="宋体"/>
            <family val="2"/>
          </rPr>
          <t>#Input("永炼_调度工艺台账_CH2.FRC11201A.PV18",":key{{dw}}")</t>
        </r>
      </text>
    </comment>
    <comment ref="O9" authorId="0">
      <text>
        <r>
          <rPr>
            <b/>
            <sz val="9"/>
            <color indexed="81"/>
            <rFont val="宋体"/>
            <family val="2"/>
          </rPr>
          <t>#Input("永炼_调度工艺台账_CH2.FRC11201A.PV20",":key{{dw}}")</t>
        </r>
      </text>
    </comment>
    <comment ref="P9" authorId="0">
      <text>
        <r>
          <rPr>
            <b/>
            <sz val="9"/>
            <color indexed="81"/>
            <rFont val="宋体"/>
            <family val="2"/>
          </rPr>
          <t>#Input("永炼_调度工艺台账_CH2.FRC11201A.PV22",":key{{dw}}")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#Input("永炼_调度工艺台账_CH2.FRC11201B.PV00",":key{{dw}}")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#Input("永炼_调度工艺台账_CH2.FRC11201B.PV02",":key{{dw}}")</t>
        </r>
      </text>
    </comment>
    <comment ref="G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#Input("永炼_调度工艺台账_CH2.FRC11201B.PV04",":key{{dw}}")</t>
        </r>
      </text>
    </comment>
    <comment ref="H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#Input("永炼_调度工艺台账_CH2.FRC11201B.PV06",":key{{dw}}")</t>
        </r>
      </text>
    </comment>
    <comment ref="I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#Input("永炼_调度工艺台账_CH2.FRC11201B.PV08",":key{{dw}}")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#Input("永炼_调度工艺台账_CH2.FRC11201B.PV10",":key{{dw}}")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#Input("永炼_调度工艺台账_CH2.FRC11201B.PV12",":key{{dw}}")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#Input("永炼_调度工艺台账_CH2.FRC11201B.PV14",":key{{dw}}")</t>
        </r>
      </text>
    </comment>
    <comment ref="M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#Input("永炼_调度工艺台账_CH2.FRC11201B.PV16",":key{{dw}}")</t>
        </r>
      </text>
    </comment>
    <comment ref="N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#Input("永炼_调度工艺台账_CH2.FRC11201B.PV18",":key{{dw}}")</t>
        </r>
      </text>
    </comment>
    <comment ref="O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#Input("永炼_调度工艺台账_CH2.FRC11201B.PV20",":key{{dw}}")</t>
        </r>
      </text>
    </comment>
    <comment ref="P10" authorId="0">
      <text>
        <r>
          <rPr>
            <b/>
            <sz val="9"/>
            <color indexed="81"/>
            <rFont val="宋体"/>
            <family val="2"/>
          </rPr>
          <t>#Input("永炼_调度工艺台账_CH2.FRC11201B.PV22",":key{{dw}}")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#Input("永炼_调度工艺台账_CH2.TRCA11101.PV00",":key{{dw}}")</t>
        </r>
      </text>
    </comment>
    <comment ref="F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#Input("永炼_调度工艺台账_CH2.TRCA11101.PV02",":key{{dw}}")</t>
        </r>
      </text>
    </comment>
    <comment ref="G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#Input("永炼_调度工艺台账_CH2.TRCA11101.PV04",":key{{dw}}")</t>
        </r>
      </text>
    </comment>
    <comment ref="H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#Input("永炼_调度工艺台账_CH2.TRCA11101.PV06",":key{{dw}}")</t>
        </r>
      </text>
    </comment>
    <comment ref="I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#Input("永炼_调度工艺台账_CH2.TRCA11101.PV08",":key{{dw}}")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#Input("永炼_调度工艺台账_CH2.TRCA11101.PV10",":key{{dw}}")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#Input("永炼_调度工艺台账_CH2.TRCA11101.PV12",":key{{dw}}")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#Input("永炼_调度工艺台账_CH2.TRCA11101.PV14",":key{{dw}}")</t>
        </r>
      </text>
    </comment>
    <comment ref="M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#Input("永炼_调度工艺台账_CH2.TRCA11101.PV16",":key{{dw}}")</t>
        </r>
      </text>
    </comment>
    <comment ref="N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#Input("永炼_调度工艺台账_CH2.TRCA11101.PV18",":key{{dw}}")</t>
        </r>
      </text>
    </comment>
    <comment ref="O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#Input("永炼_调度工艺台账_CH2.TRCA11101.PV20",":key{{dw}}")</t>
        </r>
      </text>
    </comment>
    <comment ref="P11" authorId="0">
      <text>
        <r>
          <rPr>
            <b/>
            <sz val="9"/>
            <color indexed="81"/>
            <rFont val="宋体"/>
            <family val="2"/>
          </rPr>
          <t>#Input("永炼_调度工艺台账_CH2.TRCA11101.PV22",":key{{dw}}")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#Input("永炼_调度工艺台账_CH2.TRCA11102.PV00",":key{{dw}}")</t>
        </r>
      </text>
    </comment>
    <comment ref="F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#Input("永炼_调度工艺台账_CH2.TRCA11102.PV02",":key{{dw}}")</t>
        </r>
      </text>
    </comment>
    <comment ref="G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#Input("永炼_调度工艺台账_CH2.TRCA11102.PV04",":key{{dw}}")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#Input("永炼_调度工艺台账_CH2.TRCA11102.PV06",":key{{dw}}")</t>
        </r>
      </text>
    </comment>
    <comment ref="I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#Input("永炼_调度工艺台账_CH2.TRCA11102.PV08",":key{{dw}}")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#Input("永炼_调度工艺台账_CH2.TRCA11102.PV10",":key{{dw}}")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#Input("永炼_调度工艺台账_CH2.TRCA11102.PV12",":key{{dw}}")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#Input("永炼_调度工艺台账_CH2.TRCA11102.PV14",":key{{dw}}")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#Input("永炼_调度工艺台账_CH2.TRCA11102.PV16",":key{{dw}}")</t>
        </r>
      </text>
    </comment>
    <comment ref="N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#Input("永炼_调度工艺台账_CH2.TRCA11102.PV18",":key{{dw}}")</t>
        </r>
      </text>
    </comment>
    <comment ref="O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#Input("永炼_调度工艺台账_CH2.TRCA11102.PV20",":key{{dw}}")</t>
        </r>
      </text>
    </comment>
    <comment ref="P12" authorId="0">
      <text>
        <r>
          <rPr>
            <b/>
            <sz val="9"/>
            <color indexed="81"/>
            <rFont val="宋体"/>
            <family val="2"/>
          </rPr>
          <t>#Input("永炼_调度工艺台账_CH2.TRCA11102.PV22",":key{{dw}}")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#Input("永炼_调度工艺台账_CH2.FR11802.PV00",":key{{dw}}")</t>
        </r>
      </text>
    </comment>
    <comment ref="F13" authorId="0">
      <text>
        <r>
          <rPr>
            <b/>
            <sz val="9"/>
            <color indexed="81"/>
            <rFont val="宋体"/>
            <family val="2"/>
          </rPr>
          <t>#Input("永炼_调度工艺台账_CH2.FR11802.PV02",":key{{dw}}")</t>
        </r>
      </text>
    </comment>
    <comment ref="G13" authorId="0">
      <text>
        <r>
          <rPr>
            <b/>
            <sz val="9"/>
            <color indexed="81"/>
            <rFont val="宋体"/>
            <family val="2"/>
          </rPr>
          <t>#Input("永炼_调度工艺台账_CH2.FR11802.PV04",":key{{dw}}")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#Input("永炼_调度工艺台账_CH2.FR11802.PV06",":key{{dw}}")</t>
        </r>
      </text>
    </comment>
    <comment ref="I13" authorId="0">
      <text>
        <r>
          <rPr>
            <b/>
            <sz val="9"/>
            <color indexed="81"/>
            <rFont val="宋体"/>
            <family val="2"/>
          </rPr>
          <t>#Input("永炼_调度工艺台账_CH2.FR11802.PV08",":key{{dw}}")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#Input("永炼_调度工艺台账_CH2.FR11802.PV10",":key{{dw}}")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#Input("永炼_调度工艺台账_CH2.FR11802.PV12",":key{{dw}}")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#Input("永炼_调度工艺台账_CH2.FR11802.PV14",":key{{dw}}")</t>
        </r>
      </text>
    </comment>
    <comment ref="M13" authorId="0">
      <text>
        <r>
          <rPr>
            <b/>
            <sz val="9"/>
            <color indexed="81"/>
            <rFont val="宋体"/>
            <family val="2"/>
          </rPr>
          <t>#Input("永炼_调度工艺台账_CH2.FR11802.PV16",":key{{dw}}")</t>
        </r>
      </text>
    </comment>
    <comment ref="N13" authorId="0">
      <text>
        <r>
          <rPr>
            <b/>
            <sz val="9"/>
            <color indexed="81"/>
            <rFont val="宋体"/>
            <family val="2"/>
          </rPr>
          <t>#Input("永炼_调度工艺台账_CH2.FR11802.PV18",":key{{dw}}")</t>
        </r>
      </text>
    </comment>
    <comment ref="O13" authorId="0">
      <text>
        <r>
          <rPr>
            <b/>
            <sz val="9"/>
            <color indexed="81"/>
            <rFont val="宋体"/>
            <family val="2"/>
          </rPr>
          <t>#Input("永炼_调度工艺台账_CH2.FR11802.PV20",":key{{dw}}")</t>
        </r>
      </text>
    </comment>
    <comment ref="P13" authorId="0">
      <text>
        <r>
          <rPr>
            <b/>
            <sz val="9"/>
            <color indexed="81"/>
            <rFont val="宋体"/>
            <family val="2"/>
          </rPr>
          <t>#Input("永炼_调度工艺台账_CH2.FR11802.PV22",":key{{dw}}")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#Input("永炼_调度工艺台账_CH2.PIC11804A.PV00",":key{{dw}}")</t>
        </r>
      </text>
    </comment>
    <comment ref="F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#Input("永炼_调度工艺台账_CH2.PIC11804A.PV02",":key{{dw}}")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#Input("永炼_调度工艺台账_CH2.PIC11804A.PV04",":key{{dw}}")</t>
        </r>
      </text>
    </comment>
    <comment ref="H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#Input("永炼_调度工艺台账_CH2.PIC11804A.PV06",":key{{dw}}")</t>
        </r>
      </text>
    </comment>
    <comment ref="I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#Input("永炼_调度工艺台账_CH2.PIC11804A.PV08",":key{{dw}}")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#Input("永炼_调度工艺台账_CH2.PIC11804A.PV10",":key{{dw}}")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#Input("永炼_调度工艺台账_CH2.PIC11804A.PV12",":key{{dw}}")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#Input("永炼_调度工艺台账_CH2.PIC11804A.PV14",":key{{dw}}")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#Input("永炼_调度工艺台账_CH2.PIC11804A.PV16",":key{{dw}}")</t>
        </r>
      </text>
    </comment>
    <comment ref="N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#Input("永炼_调度工艺台账_CH2.PIC11804A.PV18",":key{{dw}}")</t>
        </r>
      </text>
    </comment>
    <comment ref="O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#Input("永炼_调度工艺台账_CH2.PIC11804A.PV20",":key{{dw}}")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#Input("永炼_调度工艺台账_CH2.PIC11804A.PV22",":key{{dw}}")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#Input("永炼_调度工艺台账_CH2.PI11804B.PV00",":key{{dw}}")</t>
        </r>
      </text>
    </comment>
    <comment ref="F15" authorId="0">
      <text>
        <r>
          <rPr>
            <b/>
            <sz val="9"/>
            <color indexed="81"/>
            <rFont val="宋体"/>
            <family val="2"/>
          </rPr>
          <t>#Input("永炼_调度工艺台账_CH2.PI11804B.PV02",":key{{dw}}")</t>
        </r>
      </text>
    </comment>
    <comment ref="G15" authorId="0">
      <text>
        <r>
          <rPr>
            <b/>
            <sz val="9"/>
            <color indexed="81"/>
            <rFont val="宋体"/>
            <family val="2"/>
          </rPr>
          <t>#Input("永炼_调度工艺台账_CH2.PI11804B.PV04",":key{{dw}}")</t>
        </r>
      </text>
    </comment>
    <comment ref="H15" authorId="0">
      <text>
        <r>
          <rPr>
            <b/>
            <sz val="9"/>
            <color indexed="81"/>
            <rFont val="宋体"/>
            <family val="2"/>
          </rPr>
          <t>#Input("永炼_调度工艺台账_CH2.PI11804B.PV06",":key{{dw}}")</t>
        </r>
      </text>
    </comment>
    <comment ref="I15" authorId="0">
      <text>
        <r>
          <rPr>
            <b/>
            <sz val="9"/>
            <color indexed="81"/>
            <rFont val="宋体"/>
            <family val="2"/>
          </rPr>
          <t>#Input("永炼_调度工艺台账_CH2.PI11804B.PV08",":key{{dw}}")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#Input("永炼_调度工艺台账_CH2.PI11804B.PV10",":key{{dw}}")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#Input("永炼_调度工艺台账_CH2.PI11804B.PV12",":key{{dw}}")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#Input("永炼_调度工艺台账_CH2.PI11804B.PV14",":key{{dw}}")</t>
        </r>
      </text>
    </comment>
    <comment ref="M15" authorId="0">
      <text>
        <r>
          <rPr>
            <b/>
            <sz val="9"/>
            <color indexed="81"/>
            <rFont val="宋体"/>
            <family val="2"/>
          </rPr>
          <t>#Input("永炼_调度工艺台账_CH2.PI11804B.PV16",":key{{dw}}")</t>
        </r>
      </text>
    </comment>
    <comment ref="N15" authorId="0">
      <text>
        <r>
          <rPr>
            <b/>
            <sz val="9"/>
            <color indexed="81"/>
            <rFont val="宋体"/>
            <family val="2"/>
          </rPr>
          <t>#Input("永炼_调度工艺台账_CH2.PI11804B.PV18",":key{{dw}}")</t>
        </r>
      </text>
    </comment>
    <comment ref="O15" authorId="0">
      <text>
        <r>
          <rPr>
            <b/>
            <sz val="9"/>
            <color indexed="81"/>
            <rFont val="宋体"/>
            <family val="2"/>
          </rPr>
          <t>#Input("永炼_调度工艺台账_CH2.PI11804B.PV20",":key{{dw}}")</t>
        </r>
      </text>
    </comment>
    <comment ref="P15" authorId="0">
      <text>
        <r>
          <rPr>
            <b/>
            <sz val="9"/>
            <color indexed="81"/>
            <rFont val="宋体"/>
            <family val="2"/>
          </rPr>
          <t>#Input("永炼_调度工艺台账_CH2.PI11804B.PV22",":key{{dw}}")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#Input("永炼_调度工艺台账_CH2.PIC11909.MV00",":key{{dw}}")</t>
        </r>
      </text>
    </comment>
    <comment ref="F16" authorId="0">
      <text>
        <r>
          <rPr>
            <b/>
            <sz val="9"/>
            <color indexed="81"/>
            <rFont val="宋体"/>
            <family val="2"/>
          </rPr>
          <t>#Input("永炼_调度工艺台账_CH2.PIC11909.MV02",":key{{dw}}")</t>
        </r>
      </text>
    </comment>
    <comment ref="G16" authorId="0">
      <text>
        <r>
          <rPr>
            <b/>
            <sz val="9"/>
            <color indexed="81"/>
            <rFont val="宋体"/>
            <family val="2"/>
          </rPr>
          <t>#Input("永炼_调度工艺台账_CH2.PIC11909.MV04",":key{{dw}}")</t>
        </r>
      </text>
    </comment>
    <comment ref="H16" authorId="0">
      <text>
        <r>
          <rPr>
            <b/>
            <sz val="9"/>
            <color indexed="81"/>
            <rFont val="宋体"/>
            <family val="2"/>
          </rPr>
          <t>#Input("永炼_调度工艺台账_CH2.PIC11909.MV06",":key{{dw}}")</t>
        </r>
      </text>
    </comment>
    <comment ref="I16" authorId="0">
      <text>
        <r>
          <rPr>
            <b/>
            <sz val="9"/>
            <color indexed="81"/>
            <rFont val="宋体"/>
            <family val="2"/>
          </rPr>
          <t>#Input("永炼_调度工艺台账_CH2.PIC11909.MV08",":key{{dw}}")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#Input("永炼_调度工艺台账_CH2.PIC11909.MV10",":key{{dw}}")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#Input("永炼_调度工艺台账_CH2.PIC11909.MV12",":key{{dw}}")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#Input("永炼_调度工艺台账_CH2.PIC11909.MV14",":key{{dw}}")</t>
        </r>
      </text>
    </comment>
    <comment ref="M16" authorId="0">
      <text>
        <r>
          <rPr>
            <b/>
            <sz val="9"/>
            <color indexed="81"/>
            <rFont val="宋体"/>
            <family val="2"/>
          </rPr>
          <t>#Input("永炼_调度工艺台账_CH2.PIC11909.MV16",":key{{dw}}")</t>
        </r>
      </text>
    </comment>
    <comment ref="N16" authorId="0">
      <text>
        <r>
          <rPr>
            <b/>
            <sz val="9"/>
            <color indexed="81"/>
            <rFont val="宋体"/>
            <family val="2"/>
          </rPr>
          <t>#Input("永炼_调度工艺台账_CH2.PIC11909.MV18",":key{{dw}}")</t>
        </r>
      </text>
    </comment>
    <comment ref="O16" authorId="0">
      <text>
        <r>
          <rPr>
            <b/>
            <sz val="9"/>
            <color indexed="81"/>
            <rFont val="宋体"/>
            <family val="2"/>
          </rPr>
          <t>#Input("永炼_调度工艺台账_CH2.PIC11909.MV20",":key{{dw}}")</t>
        </r>
      </text>
    </comment>
    <comment ref="P16" authorId="0">
      <text>
        <r>
          <rPr>
            <b/>
            <sz val="9"/>
            <color indexed="81"/>
            <rFont val="宋体"/>
            <family val="2"/>
          </rPr>
          <t>#Input("永炼_调度工艺台账_CH2.PIC11909.MV22",":key{{dw}}")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#Input("永炼_调度工艺台账_CH2.VH3101ABCD.PV00",":key{{dw}}")</t>
        </r>
      </text>
    </comment>
    <comment ref="F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#Input("永炼_调度工艺台账_CH2.VH3101ABCD.PV02",":key{{dw}}")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#Input("永炼_调度工艺台账_CH2.VH3101ABCD.PV04",":key{{dw}}")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#Input("永炼_调度工艺台账_CH2.VH3101ABCD.PV06",":key{{dw}}")</t>
        </r>
      </text>
    </comment>
    <comment ref="I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#Input("永炼_调度工艺台账_CH2.VH3101ABCD.PV08",":key{{dw}}")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#Input("永炼_调度工艺台账_CH2.VH3101ABCD.PV10",":key{{dw}}")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#Input("永炼_调度工艺台账_CH2.VH3101ABCD.PV12",":key{{dw}}")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#Input("永炼_调度工艺台账_CH2.VH3101ABCD.PV14",":key{{dw}}")</t>
        </r>
      </text>
    </comment>
    <comment ref="M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#Input("永炼_调度工艺台账_CH2.VH3101ABCD.PV16",":key{{dw}}")</t>
        </r>
      </text>
    </comment>
    <comment ref="N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#Input("永炼_调度工艺台账_CH2.VH3101ABCD.PV18",":key{{dw}}")</t>
        </r>
      </text>
    </comment>
    <comment ref="O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#Input("永炼_调度工艺台账_CH2.VH3101ABCD.PV20",":key{{dw}}")</t>
        </r>
      </text>
    </comment>
    <comment ref="P17" authorId="0">
      <text>
        <r>
          <rPr>
            <b/>
            <sz val="9"/>
            <color indexed="81"/>
            <rFont val="宋体"/>
            <family val="2"/>
          </rPr>
          <t>#Input("永炼_调度工艺台账_CH2.VH3101ABCD.PV22",":key{{dw}}")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#Input("永炼_调度工艺台账_CH2.FRCQ11641.PV00",":key{{dw}}")</t>
        </r>
      </text>
    </comment>
    <comment ref="F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#Input("永炼_调度工艺台账_CH2.FRCQ11641.PV02",":key{{dw}}")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#Input("永炼_调度工艺台账_CH2.FRCQ11641.PV04",":key{{dw}}")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#Input("永炼_调度工艺台账_CH2.FRCQ11641.PV06",":key{{dw}}")</t>
        </r>
      </text>
    </comment>
    <comment ref="I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#Input("永炼_调度工艺台账_CH2.FRCQ11641.PV08",":key{{dw}}")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#Input("永炼_调度工艺台账_CH2.FRCQ11641.PV10",":key{{dw}}")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#Input("永炼_调度工艺台账_CH2.FRCQ11641.PV12",":key{{dw}}")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#Input("永炼_调度工艺台账_CH2.FRCQ11641.PV14",":key{{dw}}")</t>
        </r>
      </text>
    </comment>
    <comment ref="M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#Input("永炼_调度工艺台账_CH2.FRCQ11641.PV16",":key{{dw}}")</t>
        </r>
      </text>
    </comment>
    <comment ref="N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#Input("永炼_调度工艺台账_CH2.FRCQ11641.PV18",":key{{dw}}")</t>
        </r>
      </text>
    </comment>
    <comment ref="O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#Input("永炼_调度工艺台账_CH2.FRCQ11641.PV20",":key{{dw}}")</t>
        </r>
      </text>
    </comment>
    <comment ref="P18" authorId="0">
      <text>
        <r>
          <rPr>
            <b/>
            <sz val="9"/>
            <color indexed="81"/>
            <rFont val="宋体"/>
            <family val="2"/>
          </rPr>
          <t>#Input("永炼_调度工艺台账_CH2.FRCQ11641.PV22",":key{{dw}}")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#Input("永炼_调度工艺台账_CZ.FIQ7509B.PV00",":key{{dw}}")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#Input("永炼_调度工艺台账_CZ.FIQ7509B.PV02",":key{{dw}}")</t>
        </r>
      </text>
    </comment>
    <comment ref="G19" authorId="0">
      <text>
        <r>
          <rPr>
            <sz val="9"/>
            <color indexed="81"/>
            <rFont val="Arial"/>
            <family val="2"/>
          </rPr>
          <t xml:space="preserve">#Input("永炼_调度工艺台账_CZ.FIQ7509B.PV04",":key{{dw}}")
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#Input("永炼_调度工艺台账_CZ.FIQ7509B.PV06",":key{{dw}}")</t>
        </r>
      </text>
    </comment>
    <comment ref="I19" authorId="0">
      <text>
        <r>
          <rPr>
            <b/>
            <sz val="9"/>
            <color indexed="81"/>
            <rFont val="宋体"/>
            <family val="2"/>
          </rPr>
          <t>#Input("永炼_调度工艺台账_CZ.FIQ7509B.PV08",":key{{dw}}")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#Input("永炼_调度工艺台账_CZ.FIQ7509B.PV10",":key{{dw}}")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#Input("永炼_调度工艺台账_CZ.FIQ7509B.PV12",":key{{dw}}")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#Input("永炼_调度工艺台账_CZ.FIQ7509B.PV14",":key{{dw}}")</t>
        </r>
      </text>
    </comment>
    <comment ref="M19" authorId="0">
      <text>
        <r>
          <rPr>
            <b/>
            <sz val="9"/>
            <color indexed="81"/>
            <rFont val="宋体"/>
            <family val="2"/>
          </rPr>
          <t>#Input("永炼_调度工艺台账_CZ.FIQ7509B.PV16",":key{{dw}}")</t>
        </r>
      </text>
    </comment>
    <comment ref="N19" authorId="0">
      <text>
        <r>
          <rPr>
            <b/>
            <sz val="9"/>
            <color indexed="81"/>
            <rFont val="宋体"/>
            <family val="2"/>
          </rPr>
          <t>#Input("永炼_调度工艺台账_CZ.FIQ7509B.PV18",":key{{dw}}")</t>
        </r>
      </text>
    </comment>
    <comment ref="O19" authorId="0">
      <text>
        <r>
          <rPr>
            <b/>
            <sz val="9"/>
            <color indexed="81"/>
            <rFont val="宋体"/>
            <family val="2"/>
          </rPr>
          <t>#Input("永炼_调度工艺台账_CZ.FIQ7509B.PV20",":key{{dw}}")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#Input("永炼_调度工艺台账_CZ.FIQ7509B.PV22",":key{{dw}}")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#Input("永炼_调度工艺台账_YPCZ.FRCQ7601.PV00",":key{{dw}}")</t>
        </r>
      </text>
    </comment>
    <comment ref="F20" authorId="0">
      <text>
        <r>
          <rPr>
            <sz val="9"/>
            <color indexed="81"/>
            <rFont val="宋体"/>
            <family val="2"/>
          </rPr>
          <t>#Input("永炼_调度工艺台账_YPCZ.FRCQ7601.PV02",":key{{dw}}")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#Input("永炼_调度工艺台账_YPCZ.FRCQ7601.PV04",":key{{dw}}")</t>
        </r>
      </text>
    </comment>
    <comment ref="H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#Input("永炼_调度工艺台账_YPCZ.FRCQ7601.PV06",":key{{dw}}")</t>
        </r>
      </text>
    </comment>
    <comment ref="I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#Input("永炼_调度工艺台账_YPCZ.FRCQ7601.PV08",":key{{dw}}")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#Input("永炼_调度工艺台账_YPCZ.FRCQ7601.PV10",":key{{dw}}")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#Input("永炼_调度工艺台账_YPCZ.FRCQ7601.PV12",":key{{dw}}")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#Input("永炼_调度工艺台账_YPCZ.FRCQ7601.PV14",":key{{dw}}")</t>
        </r>
      </text>
    </comment>
    <comment ref="M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#Input("永炼_调度工艺台账_YPCZ.FRCQ7601.PV16",":key{{dw}}")</t>
        </r>
      </text>
    </comment>
    <comment ref="N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#Input("永炼_调度工艺台账_YPCZ.FRCQ7601.PV18",":key{{dw}}")</t>
        </r>
      </text>
    </comment>
    <comment ref="O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#Input("永炼_调度工艺台账_YPCZ.FRCQ7601.PV20",":key{{dw}}")</t>
        </r>
      </text>
    </comment>
    <comment ref="P20" authorId="0">
      <text>
        <r>
          <rPr>
            <b/>
            <sz val="9"/>
            <color indexed="81"/>
            <rFont val="宋体"/>
            <family val="2"/>
          </rPr>
          <t>#Input("永炼_调度工艺台账_YPCZ.FRCQ7601.PV22",":key{{dw}}")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>#Input("永炼_调度工艺台账_YPCZ.TI7524.PV00",":key{{dw}}")</t>
        </r>
      </text>
    </comment>
    <comment ref="F21" authorId="0">
      <text>
        <r>
          <rPr>
            <b/>
            <sz val="9"/>
            <color indexed="81"/>
            <rFont val="宋体"/>
            <family val="2"/>
          </rPr>
          <t>#Input("永炼_调度工艺台账_YPCZ.TI7524.PV02",":key{{dw}}")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#Input("永炼_调度工艺台账_YPCZ.TI7524.PV04",":key{{dw}}")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>#Input("永炼_调度工艺台账_YPCZ.TI7524.PV06",":key{{dw}}")</t>
        </r>
      </text>
    </comment>
    <comment ref="I21" authorId="0">
      <text>
        <r>
          <rPr>
            <b/>
            <sz val="9"/>
            <color indexed="81"/>
            <rFont val="宋体"/>
            <family val="2"/>
          </rPr>
          <t>#Input("永炼_调度工艺台账_YPCZ.TI7524.PV08",":key{{dw}}")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#Input("永炼_调度工艺台账_YPCZ.TI7524.PV10",":key{{dw}}")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#Input("永炼_调度工艺台账_YPCZ.TI7524.PV12",":key{{dw}}")</t>
        </r>
      </text>
    </comment>
    <comment ref="L21" authorId="0">
      <text>
        <r>
          <rPr>
            <b/>
            <sz val="9"/>
            <color indexed="81"/>
            <rFont val="宋体"/>
            <family val="2"/>
          </rPr>
          <t>#Input("永炼_调度工艺台账_YPCZ.TI7524.PV14",":key{{dw}}")</t>
        </r>
      </text>
    </comment>
    <comment ref="M21" authorId="0">
      <text>
        <r>
          <rPr>
            <b/>
            <sz val="9"/>
            <color indexed="81"/>
            <rFont val="宋体"/>
            <family val="2"/>
          </rPr>
          <t>#Input("永炼_调度工艺台账_YPCZ.TI7524.PV16",":key{{dw}}")</t>
        </r>
      </text>
    </comment>
    <comment ref="N21" authorId="0">
      <text>
        <r>
          <rPr>
            <b/>
            <sz val="9"/>
            <color indexed="81"/>
            <rFont val="宋体"/>
            <family val="2"/>
          </rPr>
          <t>#Input("永炼_调度工艺台账_YPCZ.TI7524.PV18",":key{{dw}}")</t>
        </r>
      </text>
    </comment>
    <comment ref="O21" authorId="0">
      <text>
        <r>
          <rPr>
            <b/>
            <sz val="9"/>
            <color indexed="81"/>
            <rFont val="宋体"/>
            <family val="2"/>
          </rPr>
          <t>#Input("永炼_调度工艺台账_YPCZ.TI7524.PV20",":key{{dw}}")</t>
        </r>
      </text>
    </comment>
    <comment ref="P21" authorId="0">
      <text>
        <r>
          <rPr>
            <b/>
            <sz val="9"/>
            <color indexed="81"/>
            <rFont val="宋体"/>
            <family val="2"/>
          </rPr>
          <t>#Input("永炼_调度工艺台账_YPCZ.TI7524.PV22",":key{{dw}}")</t>
        </r>
      </text>
    </comment>
    <comment ref="E22" authorId="0">
      <text>
        <r>
          <rPr>
            <b/>
            <sz val="9"/>
            <color indexed="81"/>
            <rFont val="宋体"/>
            <family val="2"/>
          </rPr>
          <t>#Input("永炼_调度工艺台账_YPCZ.PDR7509.PV00",":key{{dw}}")</t>
        </r>
      </text>
    </comment>
    <comment ref="F22" authorId="0">
      <text>
        <r>
          <rPr>
            <b/>
            <sz val="9"/>
            <color indexed="81"/>
            <rFont val="宋体"/>
            <family val="2"/>
          </rPr>
          <t>#Input("永炼_调度工艺台账_YPCZ.PDR7509.PV02",":key{{dw}}")</t>
        </r>
      </text>
    </comment>
    <comment ref="G22" authorId="0">
      <text>
        <r>
          <rPr>
            <b/>
            <sz val="9"/>
            <color indexed="81"/>
            <rFont val="宋体"/>
            <family val="2"/>
          </rPr>
          <t>#Input("永炼_调度工艺台账_YPCZ.PDR7509.PV04",":key{{dw}}")</t>
        </r>
      </text>
    </comment>
    <comment ref="H22" authorId="0">
      <text>
        <r>
          <rPr>
            <b/>
            <sz val="9"/>
            <color indexed="81"/>
            <rFont val="宋体"/>
            <family val="2"/>
          </rPr>
          <t>#Input("永炼_调度工艺台账_YPCZ.PDR7509.PV06",":key{{dw}}")</t>
        </r>
      </text>
    </comment>
    <comment ref="I22" authorId="0">
      <text>
        <r>
          <rPr>
            <b/>
            <sz val="9"/>
            <color indexed="81"/>
            <rFont val="宋体"/>
            <family val="2"/>
          </rPr>
          <t>#Input("永炼_调度工艺台账_YPCZ.PDR7509.PV08",":key{{dw}}")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#Input("永炼_调度工艺台账_YPCZ.PDR7509.PV10",":key{{dw}}")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#Input("永炼_调度工艺台账_YPCZ.PDR7509.PV12",":key{{dw}}")</t>
        </r>
      </text>
    </comment>
    <comment ref="L22" authorId="0">
      <text>
        <r>
          <rPr>
            <b/>
            <sz val="9"/>
            <color indexed="81"/>
            <rFont val="宋体"/>
            <family val="2"/>
          </rPr>
          <t>#Input("永炼_调度工艺台账_YPCZ.PDR7509.PV14",":key{{dw}}")</t>
        </r>
      </text>
    </comment>
    <comment ref="M22" authorId="0">
      <text>
        <r>
          <rPr>
            <b/>
            <sz val="9"/>
            <color indexed="81"/>
            <rFont val="宋体"/>
            <family val="2"/>
          </rPr>
          <t>#Input("永炼_调度工艺台账_YPCZ.PDR7509.PV16",":key{{dw}}")</t>
        </r>
      </text>
    </comment>
    <comment ref="N22" authorId="0">
      <text>
        <r>
          <rPr>
            <b/>
            <sz val="9"/>
            <color indexed="81"/>
            <rFont val="宋体"/>
            <family val="2"/>
          </rPr>
          <t>#Input("永炼_调度工艺台账_YPCZ.PDR7509.PV18",":key{{dw}}")</t>
        </r>
      </text>
    </comment>
    <comment ref="O22" authorId="0">
      <text>
        <r>
          <rPr>
            <b/>
            <sz val="9"/>
            <color indexed="81"/>
            <rFont val="宋体"/>
            <family val="2"/>
          </rPr>
          <t>#Input("永炼_调度工艺台账_YPCZ.PDR7509.PV20",":key{{dw}}")</t>
        </r>
      </text>
    </comment>
    <comment ref="P22" authorId="0">
      <text>
        <r>
          <rPr>
            <b/>
            <sz val="9"/>
            <color indexed="81"/>
            <rFont val="宋体"/>
            <family val="2"/>
          </rPr>
          <t>#Input("永炼_调度工艺台账_YPCZ.PDR7509.PV22",":key{{dw}}")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#Input("永炼_调度工艺台账_YPCZ.TRC7601.PV00",":key{{dw}}")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#Input("永炼_调度工艺台账_YPCZ.TRC7601.PV02",":key{{dw}}")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#Input("永炼_调度工艺台账_YPCZ.TRC7601.PV04",":key{{dw}}")</t>
        </r>
      </text>
    </comment>
    <comment ref="H23" authorId="0">
      <text>
        <r>
          <rPr>
            <b/>
            <sz val="9"/>
            <color indexed="81"/>
            <rFont val="宋体"/>
            <family val="2"/>
          </rPr>
          <t>#Input("永炼_调度工艺台账_YPCZ.TRC7601.PV06",":key{{dw}}")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#Input("永炼_调度工艺台账_YPCZ.TRC7601.PV08",":key{{dw}}")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#Input("永炼_调度工艺台账_YPCZ.TRC7601.PV10",":key{{dw}}")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#Input("永炼_调度工艺台账_YPCZ.TRC7601.PV12",":key{{dw}}")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#Input("永炼_调度工艺台账_YPCZ.TRC7601.PV14",":key{{dw}}")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#Input("永炼_调度工艺台账_YPCZ.TRC7601.PV16",":key{{dw}}")</t>
        </r>
      </text>
    </comment>
    <comment ref="N23" authorId="0">
      <text>
        <r>
          <rPr>
            <b/>
            <sz val="9"/>
            <color indexed="81"/>
            <rFont val="宋体"/>
            <family val="2"/>
          </rPr>
          <t>#Input("永炼_调度工艺台账_YPCZ.TRC7601.PV18",":key{{dw}}")</t>
        </r>
      </text>
    </comment>
    <comment ref="O23" authorId="0">
      <text>
        <r>
          <rPr>
            <b/>
            <sz val="9"/>
            <color indexed="81"/>
            <rFont val="宋体"/>
            <family val="2"/>
          </rPr>
          <t>#Input("永炼_调度工艺台账_YPCZ.TRC7601.PV20",":key{{dw}}")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#Input("永炼_调度工艺台账_YPCZ.TRC7601.PV22",":key{{dw}}")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#Input("永炼_调度工艺台账_YPCZ.TRC7603.PV00",":key{{dw}}")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#Input("永炼_调度工艺台账_YPCZ.TRC7603.PV02",":key{{dw}}")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#Input("永炼_调度工艺台账_YPCZ.TRC7603.PV04",":key{{dw}}")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>#Input("永炼_调度工艺台账_YPCZ.TRC7603.PV06",":key{{dw}}")</t>
        </r>
      </text>
    </comment>
    <comment ref="I24" authorId="0">
      <text>
        <r>
          <rPr>
            <b/>
            <sz val="9"/>
            <color indexed="81"/>
            <rFont val="宋体"/>
            <family val="2"/>
          </rPr>
          <t>#Input("永炼_调度工艺台账_YPCZ.TRC7603.PV08",":key{{dw}}")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#Input("永炼_调度工艺台账_YPCZ.TRC7603.PV10",":key{{dw}}")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#Input("永炼_调度工艺台账_YPCZ.TRC7603.PV12",":key{{dw}}")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>#Input("永炼_调度工艺台账_YPCZ.TRC7603.PV14",":key{{dw}}")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#Input("永炼_调度工艺台账_YPCZ.TRC7603.PV16",":key{{dw}}")</t>
        </r>
      </text>
    </comment>
    <comment ref="N24" authorId="0">
      <text>
        <r>
          <rPr>
            <b/>
            <sz val="9"/>
            <color indexed="81"/>
            <rFont val="宋体"/>
            <family val="2"/>
          </rPr>
          <t>#Input("永炼_调度工艺台账_YPCZ.TRC7603.PV18",":key{{dw}}")</t>
        </r>
      </text>
    </comment>
    <comment ref="O24" authorId="0">
      <text>
        <r>
          <rPr>
            <b/>
            <sz val="9"/>
            <color indexed="81"/>
            <rFont val="宋体"/>
            <family val="2"/>
          </rPr>
          <t>#Input("永炼_调度工艺台账_YPCZ.TRC7603.PV20",":key{{dw}}")</t>
        </r>
      </text>
    </comment>
    <comment ref="P24" authorId="0">
      <text>
        <r>
          <rPr>
            <b/>
            <sz val="9"/>
            <color indexed="81"/>
            <rFont val="宋体"/>
            <family val="2"/>
          </rPr>
          <t>#Input("永炼_调度工艺台账_YPCZ.TRC7603.PV22",":key{{dw}}")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#Input("永炼_调度工艺台账_YPCZ.FRA7610.PV00",":key{{dw}}")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#Input("永炼_调度工艺台账_YPCZ.FRA7610.PV02",":key{{dw}}")</t>
        </r>
      </text>
    </comment>
    <comment ref="G25" authorId="0">
      <text>
        <r>
          <rPr>
            <sz val="9"/>
            <color indexed="81"/>
            <rFont val="Arial"/>
            <family val="2"/>
          </rPr>
          <t xml:space="preserve">#Input("永炼_调度工艺台账_YPCZ.FRA7610.PV04",":key{{dw}}")
</t>
        </r>
      </text>
    </comment>
    <comment ref="H25" authorId="0">
      <text>
        <r>
          <rPr>
            <b/>
            <sz val="9"/>
            <color indexed="81"/>
            <rFont val="宋体"/>
            <family val="2"/>
          </rPr>
          <t>#Input("永炼_调度工艺台账_YPCZ.FRA7610.PV06",":key{{dw}}")</t>
        </r>
      </text>
    </comment>
    <comment ref="I25" authorId="0">
      <text>
        <r>
          <rPr>
            <b/>
            <sz val="9"/>
            <color indexed="81"/>
            <rFont val="宋体"/>
            <family val="2"/>
          </rPr>
          <t>#Input("永炼_调度工艺台账_YPCZ.FRA7610.PV08",":key{{dw}}")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#Input("永炼_调度工艺台账_YPCZ.FRA7610.PV10",":key{{dw}}")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#Input("永炼_调度工艺台账_YPCZ.FRA7610.PV12",":key{{dw}}")</t>
        </r>
      </text>
    </comment>
    <comment ref="L25" authorId="0">
      <text>
        <r>
          <rPr>
            <b/>
            <sz val="9"/>
            <color indexed="81"/>
            <rFont val="宋体"/>
            <family val="2"/>
          </rPr>
          <t>#Input("永炼_调度工艺台账_YPCZ.FRA7610.PV14",":key{{dw}}")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#Input("永炼_调度工艺台账_YPCZ.FRA7610.PV16",":key{{dw}}")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#Input("永炼_调度工艺台账_YPCZ.FRA7610.PV18",":key{{dw}}")</t>
        </r>
      </text>
    </comment>
    <comment ref="O25" authorId="0">
      <text>
        <r>
          <rPr>
            <b/>
            <sz val="9"/>
            <color indexed="81"/>
            <rFont val="宋体"/>
            <family val="2"/>
          </rPr>
          <t>#Input("永炼_调度工艺台账_YPCZ.FRA7610.PV20",":key{{dw}}")</t>
        </r>
      </text>
    </comment>
    <comment ref="P25" authorId="0">
      <text>
        <r>
          <rPr>
            <b/>
            <sz val="9"/>
            <color indexed="81"/>
            <rFont val="宋体"/>
            <family val="2"/>
          </rPr>
          <t>#Input("永炼_调度工艺台账_YPCZ.FRA7610.PV22",":key{{dw}}")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#Input("永炼_调度工艺台账_YPCZ.FRA7616.PV00",":key{{dw}}")</t>
        </r>
      </text>
    </comment>
    <comment ref="F26" authorId="0">
      <text>
        <r>
          <rPr>
            <sz val="9"/>
            <color indexed="81"/>
            <rFont val="宋体"/>
            <family val="2"/>
          </rPr>
          <t>#Input("永炼_调度工艺台账_YPCZ.FRA7616.PV02",":key{{dw}}")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#Input("永炼_调度工艺台账_YPCZ.FRA7616.PV04",":key{{dw}}")</t>
        </r>
      </text>
    </comment>
    <comment ref="H26" authorId="0">
      <text>
        <r>
          <rPr>
            <b/>
            <sz val="9"/>
            <color indexed="81"/>
            <rFont val="宋体"/>
            <family val="2"/>
          </rPr>
          <t>#Input("永炼_调度工艺台账_YPCZ.FRA7616.PV06",":key{{dw}}")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#Input("永炼_调度工艺台账_YPCZ.FRA7616.PV08",":key{{dw}}")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#Input("永炼_调度工艺台账_YPCZ.FRA7616.PV10",":key{{dw}}")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#Input("永炼_调度工艺台账_YPCZ.FRA7616.PV12",":key{{dw}}")</t>
        </r>
      </text>
    </comment>
    <comment ref="L26" authorId="0">
      <text>
        <r>
          <rPr>
            <b/>
            <sz val="9"/>
            <color indexed="81"/>
            <rFont val="宋体"/>
            <family val="2"/>
          </rPr>
          <t>#Input("永炼_调度工艺台账_YPCZ.FRA7616.PV14",":key{{dw}}")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#Input("永炼_调度工艺台账_YPCZ.FRA7616.PV16",":key{{dw}}")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#Input("永炼_调度工艺台账_YPCZ.FRA7616.PV18",":key{{dw}}")</t>
        </r>
      </text>
    </comment>
    <comment ref="O26" authorId="0">
      <text>
        <r>
          <rPr>
            <b/>
            <sz val="9"/>
            <color indexed="81"/>
            <rFont val="宋体"/>
            <family val="2"/>
          </rPr>
          <t>#Input("永炼_调度工艺台账_YPCZ.FRA7616.PV20",":key{{dw}}")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#Input("永炼_调度工艺台账_YPCZ.FRA7616.PV22",":key{{dw}}")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#Input("永炼_调度工艺台账_CZ.FIQ7615B.PV00",":key{{dw}}")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#Input("永炼_调度工艺台账_CZ.FIQ7615B.PV02",":key{{dw}}")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#Input("永炼_调度工艺台账_CZ.FIQ7615B.PV04",":key{{dw}}")</t>
        </r>
      </text>
    </comment>
    <comment ref="H27" authorId="0">
      <text>
        <r>
          <rPr>
            <b/>
            <sz val="9"/>
            <color indexed="81"/>
            <rFont val="宋体"/>
            <family val="2"/>
          </rPr>
          <t>#Input("永炼_调度工艺台账_CZ.FIQ7615B.PV06",":key{{dw}}")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#Input("永炼_调度工艺台账_CZ.FIQ7615B.PV08",":key{{dw}}")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#Input("永炼_调度工艺台账_CZ.FIQ7615B.PV10",":key{{dw}}")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#Input("永炼_调度工艺台账_CZ.FIQ7615B.PV12",":key{{dw}}")</t>
        </r>
      </text>
    </comment>
    <comment ref="L27" authorId="0">
      <text>
        <r>
          <rPr>
            <b/>
            <sz val="9"/>
            <color indexed="81"/>
            <rFont val="宋体"/>
            <family val="2"/>
          </rPr>
          <t>#Input("永炼_调度工艺台账_CZ.FIQ7615B.PV14",":key{{dw}}")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#Input("永炼_调度工艺台账_CZ.FIQ7615B.PV16",":key{{dw}}")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#Input("永炼_调度工艺台账_CZ.FIQ7615B.PV18",":key{{dw}}")</t>
        </r>
      </text>
    </comment>
    <comment ref="O27" authorId="0">
      <text>
        <r>
          <rPr>
            <b/>
            <sz val="9"/>
            <color indexed="81"/>
            <rFont val="宋体"/>
            <family val="2"/>
          </rPr>
          <t>#Input("永炼_调度工艺台账_CZ.FIQ7615B.PV20",":key{{dw}}")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#Input("永炼_调度工艺台账_CZ.FIQ7615B.PV22",":key{{dw}}")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#Input("永炼_调度工艺台账_YPCZ.FRC7101A.PV00",":key{{dw}}")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#Input("永炼_调度工艺台账_YPCZ.FRC7101A.PV02",":key{{dw}}")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#Input("永炼_调度工艺台账_YPCZ.FRC7101A.PV04",":key{{dw}}")</t>
        </r>
      </text>
    </comment>
    <comment ref="H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#Input("永炼_调度工艺台账_YPCZ.FRC7101A.PV06",":key{{dw}}")</t>
        </r>
      </text>
    </comment>
    <comment ref="I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#Input("永炼_调度工艺台账_YPCZ.FRC7101A.PV08",":key{{dw}}")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#Input("永炼_调度工艺台账_YPCZ.FRC7101A.PV10",":key{{dw}}")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#Input("永炼_调度工艺台账_YPCZ.FRC7101A.PV12",":key{{dw}}")</t>
        </r>
      </text>
    </comment>
    <comment ref="L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#Input("永炼_调度工艺台账_YPCZ.FRC7101A.PV14",":key{{dw}}")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#Input("永炼_调度工艺台账_YPCZ.FRC7101A.PV16",":key{{dw}}")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#Input("永炼_调度工艺台账_YPCZ.FRC7101A.PV18",":key{{dw}}")</t>
        </r>
      </text>
    </comment>
    <comment ref="O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#Input("永炼_调度工艺台账_YPCZ.FRC7101A.PV20",":key{{dw}}")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#Input("永炼_调度工艺台账_YPCZ.FRC7101A.PV22",":key{{dw}}")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#Input("永炼_调度工艺台账_YPCZ.TIC7101.PV00",":key{{dw}}")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#Input("永炼_调度工艺台账_YPCZ.TIC7101.PV02",":key{{dw}}")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#Input("永炼_调度工艺台账_YPCZ.TIC7101.PV04",":key{{dw}}")</t>
        </r>
      </text>
    </comment>
    <comment ref="H29" authorId="0">
      <text>
        <r>
          <rPr>
            <b/>
            <sz val="9"/>
            <color indexed="81"/>
            <rFont val="宋体"/>
            <family val="2"/>
          </rPr>
          <t>#Input("永炼_调度工艺台账_YPCZ.TIC7101.PV06",":key{{dw}}")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#Input("永炼_调度工艺台账_YPCZ.TIC7101.PV08",":key{{dw}}")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#Input("永炼_调度工艺台账_YPCZ.TIC7101.PV10",":key{{dw}}")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#Input("永炼_调度工艺台账_YPCZ.TIC7101.PV12",":key{{dw}}")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#Input("永炼_调度工艺台账_YPCZ.TIC7101.PV14",":key{{dw}}")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#Input("永炼_调度工艺台账_YPCZ.TIC7101.PV16",":key{{dw}}")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#Input("永炼_调度工艺台账_YPCZ.TIC7101.PV18",":key{{dw}}")</t>
        </r>
      </text>
    </comment>
    <comment ref="O29" authorId="0">
      <text>
        <r>
          <rPr>
            <b/>
            <sz val="9"/>
            <color indexed="81"/>
            <rFont val="宋体"/>
            <family val="2"/>
          </rPr>
          <t>#Input("永炼_调度工艺台账_YPCZ.TIC7101.PV20",":key{{dw}}")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#Input("永炼_调度工艺台账_YPCZ.TIC7101.PV22",":key{{dw}}")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#Input("永炼_调度工艺台账_YPCZ.PRC7103.PV00",":key{{dw}}")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#Input("永炼_调度工艺台账_YPCZ.PRC7103.PV02",":key{{dw}}")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#Input("永炼_调度工艺台账_YPCZ.PRC7103.PV04",":key{{dw}}")</t>
        </r>
      </text>
    </comment>
    <comment ref="H30" authorId="0">
      <text>
        <r>
          <rPr>
            <b/>
            <sz val="9"/>
            <color indexed="81"/>
            <rFont val="宋体"/>
            <family val="2"/>
          </rPr>
          <t>#Input("永炼_调度工艺台账_YPCZ.PRC7103.PV06",":key{{dw}}")</t>
        </r>
      </text>
    </comment>
    <comment ref="I30" authorId="0">
      <text>
        <r>
          <rPr>
            <b/>
            <sz val="9"/>
            <color indexed="81"/>
            <rFont val="宋体"/>
            <family val="2"/>
          </rPr>
          <t>#Input("永炼_调度工艺台账_YPCZ.PRC7103.PV08",":key{{dw}}")</t>
        </r>
      </text>
    </comment>
    <comment ref="J30" authorId="0">
      <text>
        <r>
          <rPr>
            <b/>
            <sz val="9"/>
            <color indexed="81"/>
            <rFont val="宋体"/>
            <family val="2"/>
          </rPr>
          <t>#Input("永炼_调度工艺台账_YPCZ.PRC7103.PV10",":key{{dw}}")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#Input("永炼_调度工艺台账_YPCZ.PRC7103.PV12",":key{{dw}}")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#Input("永炼_调度工艺台账_YPCZ.PRC7103.PV14",":key{{dw}}")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#Input("永炼_调度工艺台账_YPCZ.PRC7103.PV16",":key{{dw}}")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#Input("永炼_调度工艺台账_YPCZ.PRC7103.PV18",":key{{dw}}")</t>
        </r>
      </text>
    </comment>
    <comment ref="O30" authorId="0">
      <text>
        <r>
          <rPr>
            <b/>
            <sz val="9"/>
            <color indexed="81"/>
            <rFont val="宋体"/>
            <family val="2"/>
          </rPr>
          <t>#Input("永炼_调度工艺台账_YPCZ.PRC7103.PV20",":key{{dw}}")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#Input("永炼_调度工艺台账_YPCZ.PRC7103.PV22",":key{{dw}}")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#Input("永炼_调度工艺台账_YPCZ.TIC7201.PV00",":key{{dw}}")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#Input("永炼_调度工艺台账_YPCZ.TIC7201.PV02",":key{{dw}}")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#Input("永炼_调度工艺台账_YPCZ.TIC7201.PV04",":key{{dw}}")</t>
        </r>
      </text>
    </comment>
    <comment ref="H31" authorId="0">
      <text>
        <r>
          <rPr>
            <b/>
            <sz val="9"/>
            <color indexed="81"/>
            <rFont val="宋体"/>
            <family val="2"/>
          </rPr>
          <t>#Input("永炼_调度工艺台账_YPCZ.TIC7201.PV06",":key{{dw}}")</t>
        </r>
      </text>
    </comment>
    <comment ref="I31" authorId="0">
      <text>
        <r>
          <rPr>
            <b/>
            <sz val="9"/>
            <color indexed="81"/>
            <rFont val="宋体"/>
            <family val="2"/>
          </rPr>
          <t>#Input("永炼_调度工艺台账_YPCZ.TIC7201.PV08",":key{{dw}}")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#Input("永炼_调度工艺台账_YPCZ.TIC7201.PV10",":key{{dw}}")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#Input("永炼_调度工艺台账_YPCZ.TIC7201.PV12",":key{{dw}}")</t>
        </r>
      </text>
    </comment>
    <comment ref="L31" authorId="0">
      <text>
        <r>
          <rPr>
            <b/>
            <sz val="9"/>
            <color indexed="81"/>
            <rFont val="宋体"/>
            <family val="2"/>
          </rPr>
          <t>#Input("永炼_调度工艺台账_YPCZ.TIC7201.PV14",":key{{dw}}")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#Input("永炼_调度工艺台账_YPCZ.TIC7201.PV16",":key{{dw}}")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#Input("永炼_调度工艺台账_YPCZ.TIC7201.PV18",":key{{dw}}")</t>
        </r>
      </text>
    </comment>
    <comment ref="O31" authorId="0">
      <text>
        <r>
          <rPr>
            <b/>
            <sz val="9"/>
            <color indexed="81"/>
            <rFont val="宋体"/>
            <family val="2"/>
          </rPr>
          <t>#Input("永炼_调度工艺台账_YPCZ.TIC7201.PV20",":key{{dw}}")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#Input("永炼_调度工艺台账_YPCZ.TIC7201.PV22",":key{{dw}}")</t>
        </r>
      </text>
    </comment>
    <comment ref="E32" authorId="0">
      <text>
        <r>
          <rPr>
            <b/>
            <sz val="9"/>
            <color indexed="81"/>
            <rFont val="宋体"/>
            <family val="2"/>
          </rPr>
          <t>#Input("永炼_调度工艺台账_YPCZ.TR7205.PV00",":key{{dw}}")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#Input("永炼_调度工艺台账_YPCZ.TR7205.PV02",":key{{dw}}")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#Input("永炼_调度工艺台账_YPCZ.TR7205.PV04",":key{{dw}}")</t>
        </r>
      </text>
    </comment>
    <comment ref="H32" authorId="0">
      <text>
        <r>
          <rPr>
            <b/>
            <sz val="9"/>
            <color indexed="81"/>
            <rFont val="宋体"/>
            <family val="2"/>
          </rPr>
          <t>#Input("永炼_调度工艺台账_YPCZ.TR7205.PV06",":key{{dw}}")</t>
        </r>
      </text>
    </comment>
    <comment ref="I32" authorId="0">
      <text>
        <r>
          <rPr>
            <b/>
            <sz val="9"/>
            <color indexed="81"/>
            <rFont val="宋体"/>
            <family val="2"/>
          </rPr>
          <t>#Input("永炼_调度工艺台账_YPCZ.TR7205.PV08",":key{{dw}}")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#Input("永炼_调度工艺台账_YPCZ.TR7205.PV10",":key{{dw}}")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#Input("永炼_调度工艺台账_YPCZ.TR7205.PV12",":key{{dw}}")</t>
        </r>
      </text>
    </comment>
    <comment ref="L32" authorId="0">
      <text>
        <r>
          <rPr>
            <b/>
            <sz val="9"/>
            <color indexed="81"/>
            <rFont val="宋体"/>
            <family val="2"/>
          </rPr>
          <t>#Input("永炼_调度工艺台账_YPCZ.TR7205.PV14",":key{{dw}}")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#Input("永炼_调度工艺台账_YPCZ.TR7205.PV16",":key{{dw}}")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#Input("永炼_调度工艺台账_YPCZ.TR7205.PV18",":key{{dw}}")</t>
        </r>
      </text>
    </comment>
    <comment ref="O32" authorId="0">
      <text>
        <r>
          <rPr>
            <b/>
            <sz val="9"/>
            <color indexed="81"/>
            <rFont val="宋体"/>
            <family val="2"/>
          </rPr>
          <t>#Input("永炼_调度工艺台账_YPCZ.TR7205.PV20",":key{{dw}}")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#Input("永炼_调度工艺台账_YPCZ.TR7205.PV22",":key{{dw}}")</t>
        </r>
      </text>
    </comment>
    <comment ref="E33" authorId="0">
      <text>
        <r>
          <rPr>
            <b/>
            <sz val="9"/>
            <color indexed="81"/>
            <rFont val="宋体"/>
            <family val="2"/>
          </rPr>
          <t>#Input("永炼_调度工艺台账_CZ.FIQ7204B.PV00",":key{{dw}}")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#Input("永炼_调度工艺台账_CZ.FIQ7204B.PV02",":key{{dw}}")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#Input("永炼_调度工艺台账_CZ.FIQ7204B.PV04",":key{{dw}}")</t>
        </r>
      </text>
    </comment>
    <comment ref="H33" authorId="0">
      <text>
        <r>
          <rPr>
            <b/>
            <sz val="9"/>
            <color indexed="81"/>
            <rFont val="宋体"/>
            <family val="2"/>
          </rPr>
          <t>#Input("永炼_调度工艺台账_CZ.FIQ7204B.PV06",":key{{dw}}")</t>
        </r>
      </text>
    </comment>
    <comment ref="I33" authorId="0">
      <text>
        <r>
          <rPr>
            <b/>
            <sz val="9"/>
            <color indexed="81"/>
            <rFont val="宋体"/>
            <family val="2"/>
          </rPr>
          <t>#Input("永炼_调度工艺台账_CZ.FIQ7204B.PV08",":key{{dw}}")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#Input("永炼_调度工艺台账_CZ.FIQ7204B.PV10",":key{{dw}}")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#Input("永炼_调度工艺台账_CZ.FIQ7204B.PV12",":key{{dw}}")</t>
        </r>
      </text>
    </comment>
    <comment ref="L33" authorId="0">
      <text>
        <r>
          <rPr>
            <b/>
            <sz val="9"/>
            <color indexed="81"/>
            <rFont val="宋体"/>
            <family val="2"/>
          </rPr>
          <t>#Input("永炼_调度工艺台账_CZ.FIQ7204B.PV14",":key{{dw}}")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#Input("永炼_调度工艺台账_CZ.FIQ7204B.PV16",":key{{dw}}")</t>
        </r>
      </text>
    </comment>
    <comment ref="N33" authorId="0">
      <text>
        <r>
          <rPr>
            <b/>
            <sz val="9"/>
            <color indexed="81"/>
            <rFont val="宋体"/>
            <family val="2"/>
          </rPr>
          <t>#Input("永炼_调度工艺台账_CZ.FIQ7204B.PV18",":key{{dw}}")</t>
        </r>
      </text>
    </comment>
    <comment ref="O33" authorId="0">
      <text>
        <r>
          <rPr>
            <b/>
            <sz val="9"/>
            <color indexed="81"/>
            <rFont val="宋体"/>
            <family val="2"/>
          </rPr>
          <t>#Input("永炼_调度工艺台账_CZ.FIQ7204B.PV20",":key{{dw}}")</t>
        </r>
      </text>
    </comment>
    <comment ref="P33" authorId="0">
      <text>
        <r>
          <rPr>
            <b/>
            <sz val="9"/>
            <color indexed="81"/>
            <rFont val="宋体"/>
            <family val="2"/>
          </rPr>
          <t>#Input("永炼_调度工艺台账_CZ.FIQ7204B.PV22",":key{{dw}}")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#Input("永炼_调度工艺台账_2FIQ10101.PV00",":key{{dw}}")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#Input("永炼_调度工艺台账_2FIQ10101.PV02",":key{{dw}}")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#Input("永炼_调度工艺台账_2FIQ10101.PV04",":key{{dw}}")</t>
        </r>
      </text>
    </comment>
    <comment ref="H34" authorId="0">
      <text>
        <r>
          <rPr>
            <b/>
            <sz val="9"/>
            <color indexed="81"/>
            <rFont val="宋体"/>
            <family val="2"/>
          </rPr>
          <t>#Input("永炼_调度工艺台账_2FIQ10101.PV06",":key{{dw}}")</t>
        </r>
      </text>
    </comment>
    <comment ref="I34" authorId="0">
      <text>
        <r>
          <rPr>
            <b/>
            <sz val="9"/>
            <color indexed="81"/>
            <rFont val="宋体"/>
            <family val="2"/>
          </rPr>
          <t>#Input("永炼_调度工艺台账_2FIQ10101.PV08",":key{{dw}}")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#Input("永炼_调度工艺台账_2FIQ10101.PV10",":key{{dw}}")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#Input("永炼_调度工艺台账_2FIQ10101.PV12",":key{{dw}}")</t>
        </r>
      </text>
    </comment>
    <comment ref="L34" authorId="0">
      <text>
        <r>
          <rPr>
            <b/>
            <sz val="9"/>
            <color indexed="81"/>
            <rFont val="宋体"/>
            <family val="2"/>
          </rPr>
          <t>#Input("永炼_调度工艺台账_2FIQ10101.PV14",":key{{dw}}")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#Input("永炼_调度工艺台账_2FIQ10101.PV16",":key{{dw}}")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#Input("永炼_调度工艺台账_2FIQ10101.PV18",":key{{dw}}")</t>
        </r>
      </text>
    </comment>
    <comment ref="O34" authorId="0">
      <text>
        <r>
          <rPr>
            <b/>
            <sz val="9"/>
            <color indexed="81"/>
            <rFont val="宋体"/>
            <family val="2"/>
          </rPr>
          <t>#Input("永炼_调度工艺台账_2FIQ10101.PV20",":key{{dw}}")</t>
        </r>
      </text>
    </comment>
    <comment ref="P34" authorId="0">
      <text>
        <r>
          <rPr>
            <b/>
            <sz val="9"/>
            <color indexed="81"/>
            <rFont val="宋体"/>
            <family val="2"/>
          </rPr>
          <t>#Input("永炼_调度工艺台账_2FIQ10101.PV22",":key{{dw}}")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#Input("永炼_调度工艺台账_2FIQ21002.PV00",":key{{dw}}")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#Input("永炼_调度工艺台账_2FIQ21002.PV02",":key{{dw}}")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#Input("永炼_调度工艺台账_2FIQ21002.PV04",":key{{dw}}")</t>
        </r>
      </text>
    </comment>
    <comment ref="H35" authorId="0">
      <text>
        <r>
          <rPr>
            <b/>
            <sz val="9"/>
            <color indexed="81"/>
            <rFont val="宋体"/>
            <family val="2"/>
          </rPr>
          <t>#Input("永炼_调度工艺台账_2FIQ21002.PV06",":key{{dw}}")</t>
        </r>
      </text>
    </comment>
    <comment ref="I35" authorId="0">
      <text>
        <r>
          <rPr>
            <b/>
            <sz val="9"/>
            <color indexed="81"/>
            <rFont val="宋体"/>
            <family val="2"/>
          </rPr>
          <t>#Input("永炼_调度工艺台账_2FIQ21002.PV08",":key{{dw}}")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#Input("永炼_调度工艺台账_2FIQ21002.PV10",":key{{dw}}")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#Input("永炼_调度工艺台账_2FIQ21002.PV12",":key{{dw}}")</t>
        </r>
      </text>
    </comment>
    <comment ref="L35" authorId="0">
      <text>
        <r>
          <rPr>
            <b/>
            <sz val="9"/>
            <color indexed="81"/>
            <rFont val="宋体"/>
            <family val="2"/>
          </rPr>
          <t>#Input("永炼_调度工艺台账_2FIQ21002.PV14",":key{{dw}}")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#Input("永炼_调度工艺台账_2FIQ21002.PV16",":key{{dw}}")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#Input("永炼_调度工艺台账_2FIQ21002.PV18",":key{{dw}}")</t>
        </r>
      </text>
    </comment>
    <comment ref="O35" authorId="0">
      <text>
        <r>
          <rPr>
            <b/>
            <sz val="9"/>
            <color indexed="81"/>
            <rFont val="宋体"/>
            <family val="2"/>
          </rPr>
          <t>#Input("永炼_调度工艺台账_2FIQ21002.PV20",":key{{dw}}")</t>
        </r>
      </text>
    </comment>
    <comment ref="P35" authorId="0">
      <text>
        <r>
          <rPr>
            <b/>
            <sz val="9"/>
            <color indexed="81"/>
            <rFont val="宋体"/>
            <family val="2"/>
          </rPr>
          <t>#Input("永炼_调度工艺台账_2FIQ21002.PV22",":key{{dw}}")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#Input("永炼_调度工艺台账_2TIA10401D.PV00",":key{{dw}}")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#Input("永炼_调度工艺台账_2TIA10401D.PV02",":key{{dw}}")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#Input("永炼_调度工艺台账_2TIA10401D.PV04",":key{{dw}}")</t>
        </r>
      </text>
    </comment>
    <comment ref="H36" authorId="0">
      <text>
        <r>
          <rPr>
            <b/>
            <sz val="9"/>
            <color indexed="81"/>
            <rFont val="宋体"/>
            <family val="2"/>
          </rPr>
          <t>#Input("永炼_调度工艺台账_2TIA10401D.PV06",":key{{dw}}")</t>
        </r>
      </text>
    </comment>
    <comment ref="I36" authorId="0">
      <text>
        <r>
          <rPr>
            <b/>
            <sz val="9"/>
            <color indexed="81"/>
            <rFont val="宋体"/>
            <family val="2"/>
          </rPr>
          <t>#Input("永炼_调度工艺台账_2TIA10401D.PV08",":key{{dw}}")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#Input("永炼_调度工艺台账_2TIA10401D.PV10",":key{{dw}}")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#Input("永炼_调度工艺台账_2TIA10401D.PV12",":key{{dw}}")</t>
        </r>
      </text>
    </comment>
    <comment ref="L36" authorId="0">
      <text>
        <r>
          <rPr>
            <b/>
            <sz val="9"/>
            <color indexed="81"/>
            <rFont val="宋体"/>
            <family val="2"/>
          </rPr>
          <t>#Input("永炼_调度工艺台账_2TIA10401D.PV14",":key{{dw}}")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#Input("永炼_调度工艺台账_2TIA10401D.PV16",":key{{dw}}")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#Input("永炼_调度工艺台账_2TIA10401D.PV18",":key{{dw}}")</t>
        </r>
      </text>
    </comment>
    <comment ref="O36" authorId="0">
      <text>
        <r>
          <rPr>
            <b/>
            <sz val="9"/>
            <color indexed="81"/>
            <rFont val="宋体"/>
            <family val="2"/>
          </rPr>
          <t>#Input("永炼_调度工艺台账_2TIA10401D.PV20",":key{{dw}}")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#Input("永炼_调度工艺台账_2TIA10401D.PV22",":key{{dw}}")</t>
        </r>
      </text>
    </comment>
    <comment ref="E37" authorId="0">
      <text>
        <r>
          <rPr>
            <b/>
            <sz val="9"/>
            <color indexed="81"/>
            <rFont val="宋体"/>
            <family val="2"/>
          </rPr>
          <t>#Input("永炼_调度工艺台账_2FICQ10501.PV00",":key{{dw}}")</t>
        </r>
      </text>
    </comment>
    <comment ref="F37" authorId="0">
      <text>
        <r>
          <rPr>
            <b/>
            <sz val="9"/>
            <color indexed="81"/>
            <rFont val="宋体"/>
            <family val="2"/>
          </rPr>
          <t>#Input("永炼_调度工艺台账_2FICQ10501.PV02",":key{{dw}}")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#Input("永炼_调度工艺台账_2FICQ10501.PV04",":key{{dw}}")</t>
        </r>
      </text>
    </comment>
    <comment ref="H37" authorId="0">
      <text>
        <r>
          <rPr>
            <b/>
            <sz val="9"/>
            <color indexed="81"/>
            <rFont val="宋体"/>
            <family val="2"/>
          </rPr>
          <t>#Input("永炼_调度工艺台账_2FICQ10501.PV06",":key{{dw}}")</t>
        </r>
      </text>
    </comment>
    <comment ref="I37" authorId="0">
      <text>
        <r>
          <rPr>
            <b/>
            <sz val="9"/>
            <color indexed="81"/>
            <rFont val="宋体"/>
            <family val="2"/>
          </rPr>
          <t>#Input("永炼_调度工艺台账_2FICQ10501.PV08",":key{{dw}}")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#Input("永炼_调度工艺台账_2FICQ10501.PV10",":key{{dw}}")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#Input("永炼_调度工艺台账_2FICQ10501.PV12",":key{{dw}}")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#Input("永炼_调度工艺台账_2FICQ10501.PV14",":key{{dw}}")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#Input("永炼_调度工艺台账_2FICQ10501.PV16",":key{{dw}}")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#Input("永炼_调度工艺台账_2FICQ10501.PV18",":key{{dw}}")</t>
        </r>
      </text>
    </comment>
    <comment ref="O37" authorId="0">
      <text>
        <r>
          <rPr>
            <b/>
            <sz val="9"/>
            <color indexed="81"/>
            <rFont val="宋体"/>
            <family val="2"/>
          </rPr>
          <t>#Input("永炼_调度工艺台账_2FICQ10501.PV20",":key{{dw}}")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#Input("永炼_调度工艺台账_2FICQ10501.PV22",":key{{dw}}")</t>
        </r>
      </text>
    </comment>
    <comment ref="E38" authorId="0">
      <text>
        <r>
          <rPr>
            <b/>
            <sz val="9"/>
            <color indexed="81"/>
            <rFont val="宋体"/>
            <family val="2"/>
          </rPr>
          <t>#Input("永炼_调度工艺台账_2FICQ10502.PV00",":key{{dw}}")</t>
        </r>
      </text>
    </comment>
    <comment ref="F38" authorId="0">
      <text>
        <r>
          <rPr>
            <b/>
            <sz val="9"/>
            <color indexed="81"/>
            <rFont val="宋体"/>
            <family val="2"/>
          </rPr>
          <t>#Input("永炼_调度工艺台账_2FICQ10502.PV02",":key{{dw}}")</t>
        </r>
      </text>
    </comment>
    <comment ref="G38" authorId="0">
      <text>
        <r>
          <rPr>
            <b/>
            <sz val="9"/>
            <color indexed="81"/>
            <rFont val="宋体"/>
            <family val="2"/>
          </rPr>
          <t>#Input("永炼_调度工艺台账_2FICQ10502.PV04",":key{{dw}}")</t>
        </r>
      </text>
    </comment>
    <comment ref="H38" authorId="0">
      <text>
        <r>
          <rPr>
            <b/>
            <sz val="9"/>
            <color indexed="81"/>
            <rFont val="宋体"/>
            <family val="2"/>
          </rPr>
          <t>#Input("永炼_调度工艺台账_2FICQ10502.PV06",":key{{dw}}")</t>
        </r>
      </text>
    </comment>
    <comment ref="I38" authorId="0">
      <text>
        <r>
          <rPr>
            <b/>
            <sz val="9"/>
            <color indexed="81"/>
            <rFont val="宋体"/>
            <family val="2"/>
          </rPr>
          <t>#Input("永炼_调度工艺台账_2FICQ10502.PV08",":key{{dw}}")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#Input("永炼_调度工艺台账_2FICQ10502.PV10",":key{{dw}}")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#Input("永炼_调度工艺台账_2FICQ10502.PV12",":key{{dw}}")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#Input("永炼_调度工艺台账_2FICQ10502.PV14",":key{{dw}}")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#Input("永炼_调度工艺台账_2FICQ10502.PV16",":key{{dw}}")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#Input("永炼_调度工艺台账_2FICQ10502.PV18",":key{{dw}}")</t>
        </r>
      </text>
    </comment>
    <comment ref="O38" authorId="0">
      <text>
        <r>
          <rPr>
            <b/>
            <sz val="9"/>
            <color indexed="81"/>
            <rFont val="宋体"/>
            <family val="2"/>
          </rPr>
          <t>#Input("永炼_调度工艺台账_2FICQ10502.PV20",":key{{dw}}")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#Input("永炼_调度工艺台账_2FICQ10502.PV22",":key{{dw}}")</t>
        </r>
      </text>
    </comment>
    <comment ref="E39" authorId="0">
      <text>
        <r>
          <rPr>
            <b/>
            <sz val="9"/>
            <color indexed="81"/>
            <rFont val="宋体"/>
            <family val="2"/>
          </rPr>
          <t>#Input("永炼_调度工艺台账_2TI10602.PV00",":key{{dw}}")</t>
        </r>
      </text>
    </comment>
    <comment ref="F39" authorId="0">
      <text>
        <r>
          <rPr>
            <b/>
            <sz val="9"/>
            <color indexed="81"/>
            <rFont val="宋体"/>
            <family val="2"/>
          </rPr>
          <t>#Input("永炼_调度工艺台账_2TI10602.PV02",":key{{dw}}")</t>
        </r>
      </text>
    </comment>
    <comment ref="G39" authorId="0">
      <text>
        <r>
          <rPr>
            <sz val="9"/>
            <color indexed="81"/>
            <rFont val="Arial"/>
            <family val="2"/>
          </rPr>
          <t xml:space="preserve">#Input("永炼_调度工艺台账_2TI10602.PV04",":key{{dw}}")
</t>
        </r>
      </text>
    </comment>
    <comment ref="H39" authorId="0">
      <text>
        <r>
          <rPr>
            <b/>
            <sz val="9"/>
            <color indexed="81"/>
            <rFont val="宋体"/>
            <family val="2"/>
          </rPr>
          <t>#Input("永炼_调度工艺台账_2TI10602.PV06",":key{{dw}}")</t>
        </r>
      </text>
    </comment>
    <comment ref="I39" authorId="0">
      <text>
        <r>
          <rPr>
            <b/>
            <sz val="9"/>
            <color indexed="81"/>
            <rFont val="宋体"/>
            <family val="2"/>
          </rPr>
          <t>#Input("永炼_调度工艺台账_2TI10602.PV08",":key{{dw}}")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#Input("永炼_调度工艺台账_2TI10602.PV10",":key{{dw}}")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#Input("永炼_调度工艺台账_2TI10602.PV12",":key{{dw}}")</t>
        </r>
      </text>
    </comment>
    <comment ref="L39" authorId="0">
      <text>
        <r>
          <rPr>
            <b/>
            <sz val="9"/>
            <color indexed="81"/>
            <rFont val="宋体"/>
            <family val="2"/>
          </rPr>
          <t>#Input("永炼_调度工艺台账_2TI10602.PV14",":key{{dw}}")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#Input("永炼_调度工艺台账_2TI10602.PV16",":key{{dw}}")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#Input("永炼_调度工艺台账_2TI10602.PV18",":key{{dw}}")</t>
        </r>
      </text>
    </comment>
    <comment ref="O39" authorId="0">
      <text>
        <r>
          <rPr>
            <b/>
            <sz val="9"/>
            <color indexed="81"/>
            <rFont val="宋体"/>
            <family val="2"/>
          </rPr>
          <t>#Input("永炼_调度工艺台账_2TI10602.PV20",":key{{dw}}")</t>
        </r>
      </text>
    </comment>
    <comment ref="P39" authorId="0">
      <text>
        <r>
          <rPr>
            <b/>
            <sz val="9"/>
            <color indexed="81"/>
            <rFont val="宋体"/>
            <family val="2"/>
          </rPr>
          <t>#Input("永炼_调度工艺台账_2TI10602.PV22",":key{{dw}}")</t>
        </r>
      </text>
    </comment>
    <comment ref="E40" authorId="0">
      <text>
        <r>
          <rPr>
            <b/>
            <sz val="9"/>
            <color indexed="81"/>
            <rFont val="宋体"/>
            <family val="2"/>
          </rPr>
          <t>#Input("永炼_调度工艺台账_2TICA10604.PV00",":key{{dw}}")</t>
        </r>
      </text>
    </comment>
    <comment ref="F40" authorId="0">
      <text>
        <r>
          <rPr>
            <sz val="9"/>
            <color indexed="81"/>
            <rFont val="宋体"/>
            <family val="2"/>
          </rPr>
          <t>#Input("永炼_调度工艺台账_2TICA10604.PV02",":key{{dw}}")</t>
        </r>
      </text>
    </comment>
    <comment ref="G40" authorId="0">
      <text>
        <r>
          <rPr>
            <b/>
            <sz val="9"/>
            <color indexed="81"/>
            <rFont val="宋体"/>
            <family val="2"/>
          </rPr>
          <t>#Input("永炼_调度工艺台账_2TICA10604.PV04",":key{{dw}}")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#Input("永炼_调度工艺台账_2TICA10604.PV06",":key{{dw}}")</t>
        </r>
      </text>
    </comment>
    <comment ref="I40" authorId="0">
      <text>
        <r>
          <rPr>
            <b/>
            <sz val="9"/>
            <color indexed="81"/>
            <rFont val="宋体"/>
            <family val="2"/>
          </rPr>
          <t>#Input("永炼_调度工艺台账_2TICA10604.PV08",":key{{dw}}")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#Input("永炼_调度工艺台账_2TICA10604.PV10",":key{{dw}}")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#Input("永炼_调度工艺台账_2TICA10604.PV12",":key{{dw}}")</t>
        </r>
      </text>
    </comment>
    <comment ref="L40" authorId="0">
      <text>
        <r>
          <rPr>
            <b/>
            <sz val="9"/>
            <color indexed="81"/>
            <rFont val="宋体"/>
            <family val="2"/>
          </rPr>
          <t>#Input("永炼_调度工艺台账_2TICA10604.PV14",":key{{dw}}")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#Input("永炼_调度工艺台账_2TICA10604.PV16",":key{{dw}}")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#Input("永炼_调度工艺台账_2TICA10604.PV18",":key{{dw}}")</t>
        </r>
      </text>
    </comment>
    <comment ref="O40" authorId="0">
      <text>
        <r>
          <rPr>
            <b/>
            <sz val="9"/>
            <color indexed="81"/>
            <rFont val="宋体"/>
            <family val="2"/>
          </rPr>
          <t>#Input("永炼_调度工艺台账_2TICA10604.PV20",":key{{dw}}")</t>
        </r>
      </text>
    </comment>
    <comment ref="P40" authorId="0">
      <text>
        <r>
          <rPr>
            <b/>
            <sz val="9"/>
            <color indexed="81"/>
            <rFont val="宋体"/>
            <family val="2"/>
          </rPr>
          <t>#Input("永炼_调度工艺台账_2TICA10604.PV22",":key{{dw}}")</t>
        </r>
      </text>
    </comment>
    <comment ref="E41" authorId="0">
      <text>
        <r>
          <rPr>
            <b/>
            <sz val="9"/>
            <color indexed="81"/>
            <rFont val="宋体"/>
            <family val="2"/>
          </rPr>
          <t>#Input("永炼_调度工艺台账_2PDI10607.PV00",":key{{dw}}")</t>
        </r>
      </text>
    </comment>
    <comment ref="F41" authorId="0">
      <text>
        <r>
          <rPr>
            <b/>
            <sz val="9"/>
            <color indexed="81"/>
            <rFont val="宋体"/>
            <family val="2"/>
          </rPr>
          <t>#Input("永炼_调度工艺台账_2PDI10607.PV02",":key{{dw}}")</t>
        </r>
      </text>
    </comment>
    <comment ref="G41" authorId="0">
      <text>
        <r>
          <rPr>
            <b/>
            <sz val="9"/>
            <color indexed="81"/>
            <rFont val="宋体"/>
            <family val="2"/>
          </rPr>
          <t>#Input("永炼_调度工艺台账_2PDI10607.PV04",":key{{dw}}")</t>
        </r>
      </text>
    </comment>
    <comment ref="H41" authorId="0">
      <text>
        <r>
          <rPr>
            <b/>
            <sz val="9"/>
            <color indexed="81"/>
            <rFont val="宋体"/>
            <family val="2"/>
          </rPr>
          <t>#Input("永炼_调度工艺台账_2PDI10607.PV06",":key{{dw}}")</t>
        </r>
      </text>
    </comment>
    <comment ref="I41" authorId="0">
      <text>
        <r>
          <rPr>
            <b/>
            <sz val="9"/>
            <color indexed="81"/>
            <rFont val="宋体"/>
            <family val="2"/>
          </rPr>
          <t>#Input("永炼_调度工艺台账_2PDI10607.PV08",":key{{dw}}")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#Input("永炼_调度工艺台账_2PDI10607.PV10",":key{{dw}}")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#Input("永炼_调度工艺台账_2PDI10607.PV12",":key{{dw}}")</t>
        </r>
      </text>
    </comment>
    <comment ref="L41" authorId="0">
      <text>
        <r>
          <rPr>
            <b/>
            <sz val="9"/>
            <color indexed="81"/>
            <rFont val="宋体"/>
            <family val="2"/>
          </rPr>
          <t>#Input("永炼_调度工艺台账_2PDI10607.PV14",":key{{dw}}")</t>
        </r>
      </text>
    </comment>
    <comment ref="M41" authorId="0">
      <text>
        <r>
          <rPr>
            <b/>
            <sz val="9"/>
            <color indexed="81"/>
            <rFont val="宋体"/>
            <family val="2"/>
          </rPr>
          <t>#Input("永炼_调度工艺台账_2PDI10607.PV16",":key{{dw}}")</t>
        </r>
      </text>
    </comment>
    <comment ref="N41" authorId="0">
      <text>
        <r>
          <rPr>
            <b/>
            <sz val="9"/>
            <color indexed="81"/>
            <rFont val="宋体"/>
            <family val="2"/>
          </rPr>
          <t>#Input("永炼_调度工艺台账_2PDI10607.PV18",":key{{dw}}")</t>
        </r>
      </text>
    </comment>
    <comment ref="O41" authorId="0">
      <text>
        <r>
          <rPr>
            <b/>
            <sz val="9"/>
            <color indexed="81"/>
            <rFont val="宋体"/>
            <family val="2"/>
          </rPr>
          <t>#Input("永炼_调度工艺台账_2PDI10607.PV20",":key{{dw}}")</t>
        </r>
      </text>
    </comment>
    <comment ref="P41" authorId="0">
      <text>
        <r>
          <rPr>
            <b/>
            <sz val="9"/>
            <color indexed="81"/>
            <rFont val="宋体"/>
            <family val="2"/>
          </rPr>
          <t>#Input("永炼_调度工艺台账_2PDI10607.PV22",":key{{dw}}")</t>
        </r>
      </text>
    </comment>
    <comment ref="E42" authorId="0">
      <text>
        <r>
          <rPr>
            <b/>
            <sz val="9"/>
            <color indexed="81"/>
            <rFont val="宋体"/>
            <family val="2"/>
          </rPr>
          <t>#Input("永炼_调度工艺台账_2TIA10802C.PV00",":key{{dw}}")</t>
        </r>
      </text>
    </comment>
    <comment ref="F42" authorId="0">
      <text>
        <r>
          <rPr>
            <b/>
            <sz val="9"/>
            <color indexed="81"/>
            <rFont val="宋体"/>
            <family val="2"/>
          </rPr>
          <t>#Input("永炼_调度工艺台账_2TIA10802C.PV02",":key{{dw}}")</t>
        </r>
      </text>
    </comment>
    <comment ref="G42" authorId="0">
      <text>
        <r>
          <rPr>
            <b/>
            <sz val="9"/>
            <color indexed="81"/>
            <rFont val="宋体"/>
            <family val="2"/>
          </rPr>
          <t>#Input("永炼_调度工艺台账_2TIA10802C.PV04",":key{{dw}}")</t>
        </r>
      </text>
    </comment>
    <comment ref="H42" authorId="0">
      <text>
        <r>
          <rPr>
            <b/>
            <sz val="9"/>
            <color indexed="81"/>
            <rFont val="宋体"/>
            <family val="2"/>
          </rPr>
          <t>#Input("永炼_调度工艺台账_2TIA10802C.PV06",":key{{dw}}")</t>
        </r>
      </text>
    </comment>
    <comment ref="I42" authorId="0">
      <text>
        <r>
          <rPr>
            <b/>
            <sz val="9"/>
            <color indexed="81"/>
            <rFont val="宋体"/>
            <family val="2"/>
          </rPr>
          <t>#Input("永炼_调度工艺台账_2TIA10802C.PV08",":key{{dw}}")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#Input("永炼_调度工艺台账_2TIA10802C.PV10",":key{{dw}}")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#Input("永炼_调度工艺台账_2TIA10802C.PV12",":key{{dw}}")</t>
        </r>
      </text>
    </comment>
    <comment ref="L42" authorId="0">
      <text>
        <r>
          <rPr>
            <b/>
            <sz val="9"/>
            <color indexed="81"/>
            <rFont val="宋体"/>
            <family val="2"/>
          </rPr>
          <t>#Input("永炼_调度工艺台账_2TIA10802C.PV14",":key{{dw}}")</t>
        </r>
      </text>
    </comment>
    <comment ref="M42" authorId="0">
      <text>
        <r>
          <rPr>
            <b/>
            <sz val="9"/>
            <color indexed="81"/>
            <rFont val="宋体"/>
            <family val="2"/>
          </rPr>
          <t>#Input("永炼_调度工艺台账_2TIA10802C.PV16",":key{{dw}}")</t>
        </r>
      </text>
    </comment>
    <comment ref="N42" authorId="0">
      <text>
        <r>
          <rPr>
            <b/>
            <sz val="9"/>
            <color indexed="81"/>
            <rFont val="宋体"/>
            <family val="2"/>
          </rPr>
          <t>#Input("永炼_调度工艺台账_2TIA10802C.PV18",":key{{dw}}")</t>
        </r>
      </text>
    </comment>
    <comment ref="O42" authorId="0">
      <text>
        <r>
          <rPr>
            <b/>
            <sz val="9"/>
            <color indexed="81"/>
            <rFont val="宋体"/>
            <family val="2"/>
          </rPr>
          <t>#Input("永炼_调度工艺台账_2TIA10802C.PV20",":key{{dw}}")</t>
        </r>
      </text>
    </comment>
    <comment ref="P42" authorId="0">
      <text>
        <r>
          <rPr>
            <b/>
            <sz val="9"/>
            <color indexed="81"/>
            <rFont val="宋体"/>
            <family val="2"/>
          </rPr>
          <t>#Input("永炼_调度工艺台账_2TIA10802C.PV22",":key{{dw}}")</t>
        </r>
      </text>
    </comment>
    <comment ref="E43" authorId="0">
      <text>
        <r>
          <rPr>
            <b/>
            <sz val="9"/>
            <color indexed="81"/>
            <rFont val="宋体"/>
            <family val="2"/>
          </rPr>
          <t>#Input("永炼_调度工艺台账_2FIQ20102.PV00",":key{{dw}}")</t>
        </r>
      </text>
    </comment>
    <comment ref="F43" authorId="0">
      <text>
        <r>
          <rPr>
            <b/>
            <sz val="9"/>
            <color indexed="81"/>
            <rFont val="宋体"/>
            <family val="2"/>
          </rPr>
          <t>#Input("永炼_调度工艺台账_2FIQ20102.PV02",":key{{dw}}")</t>
        </r>
      </text>
    </comment>
    <comment ref="G43" authorId="0">
      <text>
        <r>
          <rPr>
            <b/>
            <sz val="9"/>
            <color indexed="81"/>
            <rFont val="宋体"/>
            <family val="2"/>
          </rPr>
          <t>#Input("永炼_调度工艺台账_2FIQ20102.PV04",":key{{dw}}")</t>
        </r>
      </text>
    </comment>
    <comment ref="H43" authorId="0">
      <text>
        <r>
          <rPr>
            <b/>
            <sz val="9"/>
            <color indexed="81"/>
            <rFont val="宋体"/>
            <family val="2"/>
          </rPr>
          <t>#Input("永炼_调度工艺台账_2FIQ20102.PV06",":key{{dw}}")</t>
        </r>
      </text>
    </comment>
    <comment ref="I43" authorId="0">
      <text>
        <r>
          <rPr>
            <b/>
            <sz val="9"/>
            <color indexed="81"/>
            <rFont val="宋体"/>
            <family val="2"/>
          </rPr>
          <t>#Input("永炼_调度工艺台账_2FIQ20102.PV08",":key{{dw}}")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#Input("永炼_调度工艺台账_2FIQ20102.PV10",":key{{dw}}")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#Input("永炼_调度工艺台账_2FIQ20102.PV12",":key{{dw}}")</t>
        </r>
      </text>
    </comment>
    <comment ref="L43" authorId="0">
      <text>
        <r>
          <rPr>
            <b/>
            <sz val="9"/>
            <color indexed="81"/>
            <rFont val="宋体"/>
            <family val="2"/>
          </rPr>
          <t>#Input("永炼_调度工艺台账_2FIQ20102.PV14",":key{{dw}}")</t>
        </r>
      </text>
    </comment>
    <comment ref="M43" authorId="0">
      <text>
        <r>
          <rPr>
            <b/>
            <sz val="9"/>
            <color indexed="81"/>
            <rFont val="宋体"/>
            <family val="2"/>
          </rPr>
          <t>#Input("永炼_调度工艺台账_2FIQ20102.PV16",":key{{dw}}")</t>
        </r>
      </text>
    </comment>
    <comment ref="N43" authorId="0">
      <text>
        <r>
          <rPr>
            <b/>
            <sz val="9"/>
            <color indexed="81"/>
            <rFont val="宋体"/>
            <family val="2"/>
          </rPr>
          <t>#Input("永炼_调度工艺台账_2FIQ20102.PV18",":key{{dw}}")</t>
        </r>
      </text>
    </comment>
    <comment ref="O43" authorId="0">
      <text>
        <r>
          <rPr>
            <b/>
            <sz val="9"/>
            <color indexed="81"/>
            <rFont val="宋体"/>
            <family val="2"/>
          </rPr>
          <t>#Input("永炼_调度工艺台账_2FIQ20102.PV20",":key{{dw}}")</t>
        </r>
      </text>
    </comment>
    <comment ref="P43" authorId="0">
      <text>
        <r>
          <rPr>
            <b/>
            <sz val="9"/>
            <color indexed="81"/>
            <rFont val="宋体"/>
            <family val="2"/>
          </rPr>
          <t>#Input("永炼_调度工艺台账_2FIQ20102.PV22",":key{{dw}}")</t>
        </r>
      </text>
    </comment>
    <comment ref="E44" authorId="0">
      <text>
        <r>
          <rPr>
            <b/>
            <sz val="9"/>
            <color indexed="81"/>
            <rFont val="宋体"/>
            <family val="2"/>
          </rPr>
          <t>#Input("永炼_调度工艺台账_1FIQ10104.PV00",":key{{dw}}")</t>
        </r>
      </text>
    </comment>
    <comment ref="F44" authorId="0">
      <text>
        <r>
          <rPr>
            <b/>
            <sz val="9"/>
            <color indexed="81"/>
            <rFont val="宋体"/>
            <family val="2"/>
          </rPr>
          <t>#Input("永炼_调度工艺台账_1FIQ10104.PV02",":key{{dw}}")</t>
        </r>
      </text>
    </comment>
    <comment ref="G44" authorId="0">
      <text>
        <r>
          <rPr>
            <b/>
            <sz val="9"/>
            <color indexed="81"/>
            <rFont val="宋体"/>
            <family val="2"/>
          </rPr>
          <t>#Input("永炼_调度工艺台账_1FIQ10104.PV04",":key{{dw}}")</t>
        </r>
      </text>
    </comment>
    <comment ref="H44" authorId="0">
      <text>
        <r>
          <rPr>
            <b/>
            <sz val="9"/>
            <color indexed="81"/>
            <rFont val="宋体"/>
            <family val="2"/>
          </rPr>
          <t>#Input("永炼_调度工艺台账_1FIQ10104.PV06",":key{{dw}}")</t>
        </r>
      </text>
    </comment>
    <comment ref="I44" authorId="0">
      <text>
        <r>
          <rPr>
            <b/>
            <sz val="9"/>
            <color indexed="81"/>
            <rFont val="宋体"/>
            <family val="2"/>
          </rPr>
          <t>#Input("永炼_调度工艺台账_1FIQ10104.PV08",":key{{dw}}")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#Input("永炼_调度工艺台账_1FIQ10104.PV10",":key{{dw}}")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#Input("永炼_调度工艺台账_1FIQ10104.PV12",":key{{dw}}")</t>
        </r>
      </text>
    </comment>
    <comment ref="L44" authorId="0">
      <text>
        <r>
          <rPr>
            <b/>
            <sz val="9"/>
            <color indexed="81"/>
            <rFont val="宋体"/>
            <family val="2"/>
          </rPr>
          <t>#Input("永炼_调度工艺台账_1FIQ10104.PV14",":key{{dw}}")</t>
        </r>
      </text>
    </comment>
    <comment ref="M44" authorId="0">
      <text>
        <r>
          <rPr>
            <b/>
            <sz val="9"/>
            <color indexed="81"/>
            <rFont val="宋体"/>
            <family val="2"/>
          </rPr>
          <t>#Input("永炼_调度工艺台账_1FIQ10104.PV16",":key{{dw}}")</t>
        </r>
      </text>
    </comment>
    <comment ref="N44" authorId="0">
      <text>
        <r>
          <rPr>
            <b/>
            <sz val="9"/>
            <color indexed="81"/>
            <rFont val="宋体"/>
            <family val="2"/>
          </rPr>
          <t>#Input("永炼_调度工艺台账_1FIQ10104.PV18",":key{{dw}}")</t>
        </r>
      </text>
    </comment>
    <comment ref="O44" authorId="0">
      <text>
        <r>
          <rPr>
            <b/>
            <sz val="9"/>
            <color indexed="81"/>
            <rFont val="宋体"/>
            <family val="2"/>
          </rPr>
          <t>#Input("永炼_调度工艺台账_1FIQ10104.PV20",":key{{dw}}")</t>
        </r>
      </text>
    </comment>
    <comment ref="P44" authorId="0">
      <text>
        <r>
          <rPr>
            <b/>
            <sz val="9"/>
            <color indexed="81"/>
            <rFont val="宋体"/>
            <family val="2"/>
          </rPr>
          <t>#Input("永炼_调度工艺台账_1FIQ10104.PV22",":key{{dw}}")</t>
        </r>
      </text>
    </comment>
    <comment ref="E45" authorId="0">
      <text>
        <r>
          <rPr>
            <b/>
            <sz val="9"/>
            <color indexed="81"/>
            <rFont val="宋体"/>
            <family val="2"/>
          </rPr>
          <t>#Input("永炼_调度工艺台账_1FICS10302.PV00",":key{{dw}}")</t>
        </r>
      </text>
    </comment>
    <comment ref="F45" authorId="0">
      <text>
        <r>
          <rPr>
            <b/>
            <sz val="9"/>
            <color indexed="81"/>
            <rFont val="宋体"/>
            <family val="2"/>
          </rPr>
          <t>#Input("永炼_调度工艺台账_1FICS10302.PV02",":key{{dw}}")</t>
        </r>
      </text>
    </comment>
    <comment ref="G45" authorId="0">
      <text>
        <r>
          <rPr>
            <sz val="9"/>
            <color indexed="81"/>
            <rFont val="Arial"/>
            <family val="2"/>
          </rPr>
          <t xml:space="preserve">#Input("永炼_调度工艺台账_1FICS10302.PV04",":key{{dw}}")
</t>
        </r>
      </text>
    </comment>
    <comment ref="H45" authorId="0">
      <text>
        <r>
          <rPr>
            <b/>
            <sz val="9"/>
            <color indexed="81"/>
            <rFont val="宋体"/>
            <family val="2"/>
          </rPr>
          <t>#Input("永炼_调度工艺台账_1FICS10302.PV06",":key{{dw}}")</t>
        </r>
      </text>
    </comment>
    <comment ref="I45" authorId="0">
      <text>
        <r>
          <rPr>
            <b/>
            <sz val="9"/>
            <color indexed="81"/>
            <rFont val="宋体"/>
            <family val="2"/>
          </rPr>
          <t>#Input("永炼_调度工艺台账_1FICS10302.PV08",":key{{dw}}")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#Input("永炼_调度工艺台账_1FICS10302.PV10",":key{{dw}}")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#Input("永炼_调度工艺台账_1FICS10302.PV12",":key{{dw}}")</t>
        </r>
      </text>
    </comment>
    <comment ref="L45" authorId="0">
      <text>
        <r>
          <rPr>
            <b/>
            <sz val="9"/>
            <color indexed="81"/>
            <rFont val="宋体"/>
            <family val="2"/>
          </rPr>
          <t>#Input("永炼_调度工艺台账_1FICS10302.PV14",":key{{dw}}")</t>
        </r>
      </text>
    </comment>
    <comment ref="M45" authorId="0">
      <text>
        <r>
          <rPr>
            <b/>
            <sz val="9"/>
            <color indexed="81"/>
            <rFont val="宋体"/>
            <family val="2"/>
          </rPr>
          <t>#Input("永炼_调度工艺台账_1FICS10302.PV16",":key{{dw}}")</t>
        </r>
      </text>
    </comment>
    <comment ref="N45" authorId="0">
      <text>
        <r>
          <rPr>
            <b/>
            <sz val="9"/>
            <color indexed="81"/>
            <rFont val="宋体"/>
            <family val="2"/>
          </rPr>
          <t>#Input("永炼_调度工艺台账_1FICS10302.PV18",":key{{dw}}")</t>
        </r>
      </text>
    </comment>
    <comment ref="O45" authorId="0">
      <text>
        <r>
          <rPr>
            <b/>
            <sz val="9"/>
            <color indexed="81"/>
            <rFont val="宋体"/>
            <family val="2"/>
          </rPr>
          <t>#Input("永炼_调度工艺台账_1FICS10302.PV20",":key{{dw}}")</t>
        </r>
      </text>
    </comment>
    <comment ref="P45" authorId="0">
      <text>
        <r>
          <rPr>
            <b/>
            <sz val="9"/>
            <color indexed="81"/>
            <rFont val="宋体"/>
            <family val="2"/>
          </rPr>
          <t>#Input("永炼_调度工艺台账_1FICS10302.PV22",":key{{dw}}")</t>
        </r>
      </text>
    </comment>
    <comment ref="E46" authorId="0">
      <text>
        <r>
          <rPr>
            <b/>
            <sz val="9"/>
            <color indexed="81"/>
            <rFont val="宋体"/>
            <family val="2"/>
          </rPr>
          <t>#Input("永炼_调度工艺台账_1TIA10501.PV00",":key{{dw}}")</t>
        </r>
      </text>
    </comment>
    <comment ref="F46" authorId="0">
      <text>
        <r>
          <rPr>
            <sz val="9"/>
            <color indexed="81"/>
            <rFont val="宋体"/>
            <family val="2"/>
          </rPr>
          <t>#Input("永炼_调度工艺台账_1TIA10501.PV02",":key{{dw}}")</t>
        </r>
      </text>
    </comment>
    <comment ref="G46" authorId="0">
      <text>
        <r>
          <rPr>
            <b/>
            <sz val="9"/>
            <color indexed="81"/>
            <rFont val="宋体"/>
            <family val="2"/>
          </rPr>
          <t>#Input("永炼_调度工艺台账_1TIA10501.PV04",":key{{dw}}")</t>
        </r>
      </text>
    </comment>
    <comment ref="H46" authorId="0">
      <text>
        <r>
          <rPr>
            <b/>
            <sz val="9"/>
            <color indexed="81"/>
            <rFont val="宋体"/>
            <family val="2"/>
          </rPr>
          <t>#Input("永炼_调度工艺台账_1TIA10501.PV06",":key{{dw}}")</t>
        </r>
      </text>
    </comment>
    <comment ref="I46" authorId="0">
      <text>
        <r>
          <rPr>
            <b/>
            <sz val="9"/>
            <color indexed="81"/>
            <rFont val="宋体"/>
            <family val="2"/>
          </rPr>
          <t>#Input("永炼_调度工艺台账_1TIA10501.PV08",":key{{dw}}")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#Input("永炼_调度工艺台账_1TIA10501.PV10",":key{{dw}}")</t>
        </r>
      </text>
    </comment>
    <comment ref="K46" authorId="0">
      <text>
        <r>
          <rPr>
            <b/>
            <sz val="9"/>
            <color indexed="81"/>
            <rFont val="宋体"/>
            <family val="2"/>
          </rPr>
          <t>#Input("永炼_调度工艺台账_1TIA10501.PV12",":key{{dw}}")</t>
        </r>
      </text>
    </comment>
    <comment ref="L46" authorId="0">
      <text>
        <r>
          <rPr>
            <b/>
            <sz val="9"/>
            <color indexed="81"/>
            <rFont val="宋体"/>
            <family val="2"/>
          </rPr>
          <t>#Input("永炼_调度工艺台账_1TIA10501.PV14",":key{{dw}}")</t>
        </r>
      </text>
    </comment>
    <comment ref="M46" authorId="0">
      <text>
        <r>
          <rPr>
            <b/>
            <sz val="9"/>
            <color indexed="81"/>
            <rFont val="宋体"/>
            <family val="2"/>
          </rPr>
          <t>#Input("永炼_调度工艺台账_1TIA10501.PV16",":key{{dw}}")</t>
        </r>
      </text>
    </comment>
    <comment ref="N46" authorId="0">
      <text>
        <r>
          <rPr>
            <b/>
            <sz val="9"/>
            <color indexed="81"/>
            <rFont val="宋体"/>
            <family val="2"/>
          </rPr>
          <t>#Input("永炼_调度工艺台账_1TIA10501.PV18",":key{{dw}}")</t>
        </r>
      </text>
    </comment>
    <comment ref="O46" authorId="0">
      <text>
        <r>
          <rPr>
            <b/>
            <sz val="9"/>
            <color indexed="81"/>
            <rFont val="宋体"/>
            <family val="2"/>
          </rPr>
          <t>#Input("永炼_调度工艺台账_1TIA10501.PV20",":key{{dw}}")</t>
        </r>
      </text>
    </comment>
    <comment ref="P46" authorId="0">
      <text>
        <r>
          <rPr>
            <b/>
            <sz val="9"/>
            <color indexed="81"/>
            <rFont val="宋体"/>
            <family val="2"/>
          </rPr>
          <t>#Input("永炼_调度工艺台账_1TIA10501.PV22",":key{{dw}}")</t>
        </r>
      </text>
    </comment>
    <comment ref="E47" authorId="0">
      <text>
        <r>
          <rPr>
            <b/>
            <sz val="9"/>
            <color indexed="81"/>
            <rFont val="宋体"/>
            <family val="2"/>
          </rPr>
          <t>#Input("永炼_调度工艺台账_1TI10521.PV00",":key{{dw}}")</t>
        </r>
      </text>
    </comment>
    <comment ref="F47" authorId="0">
      <text>
        <r>
          <rPr>
            <b/>
            <sz val="9"/>
            <color indexed="81"/>
            <rFont val="宋体"/>
            <family val="2"/>
          </rPr>
          <t>#Input("永炼_调度工艺台账_1TI10521.PV02",":key{{dw}}")</t>
        </r>
      </text>
    </comment>
    <comment ref="G47" authorId="0">
      <text>
        <r>
          <rPr>
            <b/>
            <sz val="9"/>
            <color indexed="81"/>
            <rFont val="宋体"/>
            <family val="2"/>
          </rPr>
          <t>#Input("永炼_调度工艺台账_1TI10521.PV04",":key{{dw}}")</t>
        </r>
      </text>
    </comment>
    <comment ref="H47" authorId="0">
      <text>
        <r>
          <rPr>
            <b/>
            <sz val="9"/>
            <color indexed="81"/>
            <rFont val="宋体"/>
            <family val="2"/>
          </rPr>
          <t>#Input("永炼_调度工艺台账_1TI10521.PV06",":key{{dw}}")</t>
        </r>
      </text>
    </comment>
    <comment ref="I47" authorId="0">
      <text>
        <r>
          <rPr>
            <b/>
            <sz val="9"/>
            <color indexed="81"/>
            <rFont val="宋体"/>
            <family val="2"/>
          </rPr>
          <t>#Input("永炼_调度工艺台账_1TI10521.PV08",":key{{dw}}")</t>
        </r>
      </text>
    </comment>
    <comment ref="J47" authorId="0">
      <text>
        <r>
          <rPr>
            <b/>
            <sz val="9"/>
            <color indexed="81"/>
            <rFont val="宋体"/>
            <family val="2"/>
          </rPr>
          <t>#Input("永炼_调度工艺台账_1TI10521.PV10",":key{{dw}}")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#Input("永炼_调度工艺台账_1TI10521.PV12",":key{{dw}}")</t>
        </r>
      </text>
    </comment>
    <comment ref="L47" authorId="0">
      <text>
        <r>
          <rPr>
            <b/>
            <sz val="9"/>
            <color indexed="81"/>
            <rFont val="宋体"/>
            <family val="2"/>
          </rPr>
          <t>#Input("永炼_调度工艺台账_1TI10521.PV14",":key{{dw}}")</t>
        </r>
      </text>
    </comment>
    <comment ref="M47" authorId="0">
      <text>
        <r>
          <rPr>
            <b/>
            <sz val="9"/>
            <color indexed="81"/>
            <rFont val="宋体"/>
            <family val="2"/>
          </rPr>
          <t>#Input("永炼_调度工艺台账_1TI10521.PV16",":key{{dw}}")</t>
        </r>
      </text>
    </comment>
    <comment ref="N47" authorId="0">
      <text>
        <r>
          <rPr>
            <b/>
            <sz val="9"/>
            <color indexed="81"/>
            <rFont val="宋体"/>
            <family val="2"/>
          </rPr>
          <t>#Input("永炼_调度工艺台账_1TI10521.PV18",":key{{dw}}")</t>
        </r>
      </text>
    </comment>
    <comment ref="O47" authorId="0">
      <text>
        <r>
          <rPr>
            <b/>
            <sz val="9"/>
            <color indexed="81"/>
            <rFont val="宋体"/>
            <family val="2"/>
          </rPr>
          <t>#Input("永炼_调度工艺台账_1TI10521.PV20",":key{{dw}}")</t>
        </r>
      </text>
    </comment>
    <comment ref="P47" authorId="0">
      <text>
        <r>
          <rPr>
            <b/>
            <sz val="9"/>
            <color indexed="81"/>
            <rFont val="宋体"/>
            <family val="2"/>
          </rPr>
          <t>#Input("永炼_调度工艺台账_1TI10521.PV22",":key{{dw}}")</t>
        </r>
      </text>
    </comment>
    <comment ref="E48" authorId="0">
      <text>
        <r>
          <rPr>
            <b/>
            <sz val="9"/>
            <color indexed="81"/>
            <rFont val="宋体"/>
            <family val="2"/>
          </rPr>
          <t>#Input("永炼_调度工艺台账_1PIC11001A.PV00",":key{{dw}}")</t>
        </r>
      </text>
    </comment>
    <comment ref="F48" authorId="0">
      <text>
        <r>
          <rPr>
            <b/>
            <sz val="9"/>
            <color indexed="81"/>
            <rFont val="宋体"/>
            <family val="2"/>
          </rPr>
          <t>#Input("永炼_调度工艺台账_1PIC11001A.PV02",":key{{dw}}")</t>
        </r>
      </text>
    </comment>
    <comment ref="G48" authorId="0">
      <text>
        <r>
          <rPr>
            <b/>
            <sz val="9"/>
            <color indexed="81"/>
            <rFont val="宋体"/>
            <family val="2"/>
          </rPr>
          <t>#Input("永炼_调度工艺台账_1PIC11001A.PV04",":key{{dw}}")</t>
        </r>
      </text>
    </comment>
    <comment ref="H48" authorId="0">
      <text>
        <r>
          <rPr>
            <b/>
            <sz val="9"/>
            <color indexed="81"/>
            <rFont val="宋体"/>
            <family val="2"/>
          </rPr>
          <t>#Input("永炼_调度工艺台账_1PIC11001A.PV06",":key{{dw}}")</t>
        </r>
      </text>
    </comment>
    <comment ref="I48" authorId="0">
      <text>
        <r>
          <rPr>
            <b/>
            <sz val="9"/>
            <color indexed="81"/>
            <rFont val="宋体"/>
            <family val="2"/>
          </rPr>
          <t>#Input("永炼_调度工艺台账_1PIC11001A.PV08",":key{{dw}}")</t>
        </r>
      </text>
    </comment>
    <comment ref="J48" authorId="0">
      <text>
        <r>
          <rPr>
            <b/>
            <sz val="9"/>
            <color indexed="81"/>
            <rFont val="宋体"/>
            <family val="2"/>
          </rPr>
          <t>#Input("永炼_调度工艺台账_1PIC11001A.PV10",":key{{dw}}")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#Input("永炼_调度工艺台账_1PIC11001A.PV12",":key{{dw}}")</t>
        </r>
      </text>
    </comment>
    <comment ref="L48" authorId="0">
      <text>
        <r>
          <rPr>
            <b/>
            <sz val="9"/>
            <color indexed="81"/>
            <rFont val="宋体"/>
            <family val="2"/>
          </rPr>
          <t>#Input("永炼_调度工艺台账_1PIC11001A.PV14",":key{{dw}}")</t>
        </r>
      </text>
    </comment>
    <comment ref="M48" authorId="0">
      <text>
        <r>
          <rPr>
            <b/>
            <sz val="9"/>
            <color indexed="81"/>
            <rFont val="宋体"/>
            <family val="2"/>
          </rPr>
          <t>#Input("永炼_调度工艺台账_1PIC11001A.PV16",":key{{dw}}")</t>
        </r>
      </text>
    </comment>
    <comment ref="N48" authorId="0">
      <text>
        <r>
          <rPr>
            <b/>
            <sz val="9"/>
            <color indexed="81"/>
            <rFont val="宋体"/>
            <family val="2"/>
          </rPr>
          <t>#Input("永炼_调度工艺台账_1PIC11001A.PV18",":key{{dw}}")</t>
        </r>
      </text>
    </comment>
    <comment ref="O48" authorId="0">
      <text>
        <r>
          <rPr>
            <b/>
            <sz val="9"/>
            <color indexed="81"/>
            <rFont val="宋体"/>
            <family val="2"/>
          </rPr>
          <t>#Input("永炼_调度工艺台账_1PIC11001A.PV20",":key{{dw}}")</t>
        </r>
      </text>
    </comment>
    <comment ref="P48" authorId="0">
      <text>
        <r>
          <rPr>
            <b/>
            <sz val="9"/>
            <color indexed="81"/>
            <rFont val="宋体"/>
            <family val="2"/>
          </rPr>
          <t>#Input("永炼_调度工艺台账_1PIC11001A.PV22",":key{{dw}}")</t>
        </r>
      </text>
    </comment>
    <comment ref="E49" authorId="0">
      <text>
        <r>
          <rPr>
            <b/>
            <sz val="9"/>
            <color indexed="81"/>
            <rFont val="宋体"/>
            <family val="2"/>
          </rPr>
          <t>#Input("永炼_调度工艺台账_1PI11501.PV00",":key{{dw}}")</t>
        </r>
      </text>
    </comment>
    <comment ref="F49" authorId="0">
      <text>
        <r>
          <rPr>
            <b/>
            <sz val="9"/>
            <color indexed="81"/>
            <rFont val="宋体"/>
            <family val="2"/>
          </rPr>
          <t>#Input("永炼_调度工艺台账_1PI11501.PV02",":key{{dw}}")</t>
        </r>
      </text>
    </comment>
    <comment ref="G49" authorId="0">
      <text>
        <r>
          <rPr>
            <b/>
            <sz val="9"/>
            <color indexed="81"/>
            <rFont val="宋体"/>
            <family val="2"/>
          </rPr>
          <t>#Input("永炼_调度工艺台账_1PI11501.PV04",":key{{dw}}")</t>
        </r>
      </text>
    </comment>
    <comment ref="H49" authorId="0">
      <text>
        <r>
          <rPr>
            <b/>
            <sz val="9"/>
            <color indexed="81"/>
            <rFont val="宋体"/>
            <family val="2"/>
          </rPr>
          <t>#Input("永炼_调度工艺台账_1PI11501.PV06",":key{{dw}}")</t>
        </r>
      </text>
    </comment>
    <comment ref="I49" authorId="0">
      <text>
        <r>
          <rPr>
            <b/>
            <sz val="9"/>
            <color indexed="81"/>
            <rFont val="宋体"/>
            <family val="2"/>
          </rPr>
          <t>#Input("永炼_调度工艺台账_1PI11501.PV08",":key{{dw}}")</t>
        </r>
      </text>
    </comment>
    <comment ref="J49" authorId="0">
      <text>
        <r>
          <rPr>
            <b/>
            <sz val="9"/>
            <color indexed="81"/>
            <rFont val="宋体"/>
            <family val="2"/>
          </rPr>
          <t>#Input("永炼_调度工艺台账_1PI11501.PV10",":key{{dw}}")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#Input("永炼_调度工艺台账_1PI11501.PV12",":key{{dw}}")</t>
        </r>
      </text>
    </comment>
    <comment ref="L49" authorId="0">
      <text>
        <r>
          <rPr>
            <b/>
            <sz val="9"/>
            <color indexed="81"/>
            <rFont val="宋体"/>
            <family val="2"/>
          </rPr>
          <t>#Input("永炼_调度工艺台账_1PI11501.PV14",":key{{dw}}")</t>
        </r>
      </text>
    </comment>
    <comment ref="M49" authorId="0">
      <text>
        <r>
          <rPr>
            <b/>
            <sz val="9"/>
            <color indexed="81"/>
            <rFont val="宋体"/>
            <family val="2"/>
          </rPr>
          <t>#Input("永炼_调度工艺台账_1PI11501.PV16",":key{{dw}}")</t>
        </r>
      </text>
    </comment>
    <comment ref="N49" authorId="0">
      <text>
        <r>
          <rPr>
            <b/>
            <sz val="9"/>
            <color indexed="81"/>
            <rFont val="宋体"/>
            <family val="2"/>
          </rPr>
          <t>#Input("永炼_调度工艺台账_1PI11501.PV18",":key{{dw}}")</t>
        </r>
      </text>
    </comment>
    <comment ref="O49" authorId="0">
      <text>
        <r>
          <rPr>
            <b/>
            <sz val="9"/>
            <color indexed="81"/>
            <rFont val="宋体"/>
            <family val="2"/>
          </rPr>
          <t>#Input("永炼_调度工艺台账_1PI11501.PV20",":key{{dw}}")</t>
        </r>
      </text>
    </comment>
    <comment ref="P49" authorId="0">
      <text>
        <r>
          <rPr>
            <b/>
            <sz val="9"/>
            <color indexed="81"/>
            <rFont val="宋体"/>
            <family val="2"/>
          </rPr>
          <t>#Input("永炼_调度工艺台账_1PI11501.PV22",":key{{dw}}")</t>
        </r>
      </text>
    </comment>
    <comment ref="E50" authorId="0">
      <text>
        <r>
          <rPr>
            <b/>
            <sz val="9"/>
            <color indexed="81"/>
            <rFont val="宋体"/>
            <family val="2"/>
          </rPr>
          <t>#Input("永炼_调度工艺台账_FIQ11501.PV00",":key{{dw}}")</t>
        </r>
      </text>
    </comment>
    <comment ref="F50" authorId="0">
      <text>
        <r>
          <rPr>
            <b/>
            <sz val="9"/>
            <color indexed="81"/>
            <rFont val="宋体"/>
            <family val="2"/>
          </rPr>
          <t>#Input("永炼_调度工艺台账_FIQ11501.PV02",":key{{dw}}")</t>
        </r>
      </text>
    </comment>
    <comment ref="G50" authorId="0">
      <text>
        <r>
          <rPr>
            <b/>
            <sz val="9"/>
            <color indexed="81"/>
            <rFont val="宋体"/>
            <family val="2"/>
          </rPr>
          <t>#Input("永炼_调度工艺台账_FIQ11501.PV04",":key{{dw}}")</t>
        </r>
      </text>
    </comment>
    <comment ref="H50" authorId="0">
      <text>
        <r>
          <rPr>
            <b/>
            <sz val="9"/>
            <color indexed="81"/>
            <rFont val="宋体"/>
            <family val="2"/>
          </rPr>
          <t>#Input("永炼_调度工艺台账_FIQ11501.PV06",":key{{dw}}")</t>
        </r>
      </text>
    </comment>
    <comment ref="I50" authorId="0">
      <text>
        <r>
          <rPr>
            <b/>
            <sz val="9"/>
            <color indexed="81"/>
            <rFont val="宋体"/>
            <family val="2"/>
          </rPr>
          <t>#Input("永炼_调度工艺台账_FIQ11501.PV08",":key{{dw}}")</t>
        </r>
      </text>
    </comment>
    <comment ref="J50" authorId="0">
      <text>
        <r>
          <rPr>
            <b/>
            <sz val="9"/>
            <color indexed="81"/>
            <rFont val="宋体"/>
            <family val="2"/>
          </rPr>
          <t>#Input("永炼_调度工艺台账_FIQ11501.PV10",":key{{dw}}")</t>
        </r>
      </text>
    </comment>
    <comment ref="K50" authorId="0">
      <text>
        <r>
          <rPr>
            <b/>
            <sz val="9"/>
            <color indexed="81"/>
            <rFont val="宋体"/>
            <family val="2"/>
          </rPr>
          <t>#Input("永炼_调度工艺台账_FIQ11501.PV12",":key{{dw}}")</t>
        </r>
      </text>
    </comment>
    <comment ref="L50" authorId="0">
      <text>
        <r>
          <rPr>
            <b/>
            <sz val="9"/>
            <color indexed="81"/>
            <rFont val="宋体"/>
            <family val="2"/>
          </rPr>
          <t>#Input("永炼_调度工艺台账_FIQ11501.PV14",":key{{dw}}")</t>
        </r>
      </text>
    </comment>
    <comment ref="M50" authorId="0">
      <text>
        <r>
          <rPr>
            <b/>
            <sz val="9"/>
            <color indexed="81"/>
            <rFont val="宋体"/>
            <family val="2"/>
          </rPr>
          <t>#Input("永炼_调度工艺台账_FIQ11501.PV16",":key{{dw}}")</t>
        </r>
      </text>
    </comment>
    <comment ref="N50" authorId="0">
      <text>
        <r>
          <rPr>
            <b/>
            <sz val="9"/>
            <color indexed="81"/>
            <rFont val="宋体"/>
            <family val="2"/>
          </rPr>
          <t>#Input("永炼_调度工艺台账_FIQ11501.PV18",":key{{dw}}")</t>
        </r>
      </text>
    </comment>
    <comment ref="O50" authorId="0">
      <text>
        <r>
          <rPr>
            <b/>
            <sz val="9"/>
            <color indexed="81"/>
            <rFont val="宋体"/>
            <family val="2"/>
          </rPr>
          <t>#Input("永炼_调度工艺台账_FIQ11501.PV20",":key{{dw}}")</t>
        </r>
      </text>
    </comment>
    <comment ref="P50" authorId="0">
      <text>
        <r>
          <rPr>
            <b/>
            <sz val="9"/>
            <color indexed="81"/>
            <rFont val="宋体"/>
            <family val="2"/>
          </rPr>
          <t>#Input("永炼_调度工艺台账_FIQ11501.PV22",":key{{dw}}")</t>
        </r>
      </text>
    </comment>
    <comment ref="E51" authorId="0">
      <text>
        <r>
          <rPr>
            <b/>
            <sz val="9"/>
            <color indexed="81"/>
            <rFont val="宋体"/>
            <family val="2"/>
          </rPr>
          <t>#Input("永炼_调度工艺台账_1FI11701.PV00",":key{{dw}}")</t>
        </r>
      </text>
    </comment>
    <comment ref="F51" authorId="0">
      <text>
        <r>
          <rPr>
            <b/>
            <sz val="9"/>
            <color indexed="81"/>
            <rFont val="宋体"/>
            <family val="2"/>
          </rPr>
          <t>#Input("永炼_调度工艺台账_1FI11701.PV02",":key{{dw}}")</t>
        </r>
      </text>
    </comment>
    <comment ref="G51" authorId="0">
      <text>
        <r>
          <rPr>
            <b/>
            <sz val="9"/>
            <color indexed="81"/>
            <rFont val="宋体"/>
            <family val="2"/>
          </rPr>
          <t>#Input("永炼_调度工艺台账_1FI11701.PV04",":key{{dw}}")</t>
        </r>
      </text>
    </comment>
    <comment ref="H51" authorId="0">
      <text>
        <r>
          <rPr>
            <b/>
            <sz val="9"/>
            <color indexed="81"/>
            <rFont val="宋体"/>
            <family val="2"/>
          </rPr>
          <t>#Input("永炼_调度工艺台账_1FI11701.PV06",":key{{dw}}")</t>
        </r>
      </text>
    </comment>
    <comment ref="I51" authorId="0">
      <text>
        <r>
          <rPr>
            <b/>
            <sz val="9"/>
            <color indexed="81"/>
            <rFont val="宋体"/>
            <family val="2"/>
          </rPr>
          <t>#Input("永炼_调度工艺台账_1FI11701.PV08",":key{{dw}}")</t>
        </r>
      </text>
    </comment>
    <comment ref="J51" authorId="0">
      <text>
        <r>
          <rPr>
            <b/>
            <sz val="9"/>
            <color indexed="81"/>
            <rFont val="宋体"/>
            <family val="2"/>
          </rPr>
          <t>#Input("永炼_调度工艺台账_1FI11701.PV10",":key{{dw}}")</t>
        </r>
      </text>
    </comment>
    <comment ref="K51" authorId="0">
      <text>
        <r>
          <rPr>
            <b/>
            <sz val="9"/>
            <color indexed="81"/>
            <rFont val="宋体"/>
            <family val="2"/>
          </rPr>
          <t>#Input("永炼_调度工艺台账_1FI11701.PV12",":key{{dw}}")</t>
        </r>
      </text>
    </comment>
    <comment ref="L51" authorId="0">
      <text>
        <r>
          <rPr>
            <b/>
            <sz val="9"/>
            <color indexed="81"/>
            <rFont val="宋体"/>
            <family val="2"/>
          </rPr>
          <t>#Input("永炼_调度工艺台账_1FI11701.PV14",":key{{dw}}")</t>
        </r>
      </text>
    </comment>
    <comment ref="M51" authorId="0">
      <text>
        <r>
          <rPr>
            <b/>
            <sz val="9"/>
            <color indexed="81"/>
            <rFont val="宋体"/>
            <family val="2"/>
          </rPr>
          <t>#Input("永炼_调度工艺台账_1FI11701.PV16",":key{{dw}}")</t>
        </r>
      </text>
    </comment>
    <comment ref="N51" authorId="0">
      <text>
        <r>
          <rPr>
            <b/>
            <sz val="9"/>
            <color indexed="81"/>
            <rFont val="宋体"/>
            <family val="2"/>
          </rPr>
          <t>#Input("永炼_调度工艺台账_1FI11701.PV18",":key{{dw}}")</t>
        </r>
      </text>
    </comment>
    <comment ref="O51" authorId="0">
      <text>
        <r>
          <rPr>
            <b/>
            <sz val="9"/>
            <color indexed="81"/>
            <rFont val="宋体"/>
            <family val="2"/>
          </rPr>
          <t>#Input("永炼_调度工艺台账_1FI11701.PV20",":key{{dw}}")</t>
        </r>
      </text>
    </comment>
    <comment ref="P51" authorId="0">
      <text>
        <r>
          <rPr>
            <b/>
            <sz val="9"/>
            <color indexed="81"/>
            <rFont val="宋体"/>
            <family val="2"/>
          </rPr>
          <t>#Input("永炼_调度工艺台账_1FI11701.PV22",":key{{dw}}")</t>
        </r>
      </text>
    </comment>
    <comment ref="E52" authorId="0">
      <text>
        <r>
          <rPr>
            <b/>
            <sz val="9"/>
            <color indexed="81"/>
            <rFont val="宋体"/>
            <family val="2"/>
          </rPr>
          <t>#Input("永炼_调度工艺台账_1FI11402.PV00",":key{{dw}}")</t>
        </r>
      </text>
    </comment>
    <comment ref="F52" authorId="0">
      <text>
        <r>
          <rPr>
            <b/>
            <sz val="9"/>
            <color indexed="81"/>
            <rFont val="宋体"/>
            <family val="2"/>
          </rPr>
          <t>#Input("永炼_调度工艺台账_1FI11402.PV02",":key{{dw}}")</t>
        </r>
      </text>
    </comment>
    <comment ref="G52" authorId="0">
      <text>
        <r>
          <rPr>
            <b/>
            <sz val="9"/>
            <color indexed="81"/>
            <rFont val="宋体"/>
            <family val="2"/>
          </rPr>
          <t>#Input("永炼_调度工艺台账_1FI11402.PV04",":key{{dw}}")</t>
        </r>
      </text>
    </comment>
    <comment ref="H52" authorId="0">
      <text>
        <r>
          <rPr>
            <b/>
            <sz val="9"/>
            <color indexed="81"/>
            <rFont val="宋体"/>
            <family val="2"/>
          </rPr>
          <t>#Input("永炼_调度工艺台账_1FI11402.PV06",":key{{dw}}")</t>
        </r>
      </text>
    </comment>
    <comment ref="I52" authorId="0">
      <text>
        <r>
          <rPr>
            <b/>
            <sz val="9"/>
            <color indexed="81"/>
            <rFont val="宋体"/>
            <family val="2"/>
          </rPr>
          <t>#Input("永炼_调度工艺台账_1FI11402.PV08",":key{{dw}}")</t>
        </r>
      </text>
    </comment>
    <comment ref="J52" authorId="0">
      <text>
        <r>
          <rPr>
            <b/>
            <sz val="9"/>
            <color indexed="81"/>
            <rFont val="宋体"/>
            <family val="2"/>
          </rPr>
          <t>#Input("永炼_调度工艺台账_1FI11402.PV10",":key{{dw}}")</t>
        </r>
      </text>
    </comment>
    <comment ref="K52" authorId="0">
      <text>
        <r>
          <rPr>
            <b/>
            <sz val="9"/>
            <color indexed="81"/>
            <rFont val="宋体"/>
            <family val="2"/>
          </rPr>
          <t>#Input("永炼_调度工艺台账_1FI11402.PV12",":key{{dw}}")</t>
        </r>
      </text>
    </comment>
    <comment ref="L52" authorId="0">
      <text>
        <r>
          <rPr>
            <b/>
            <sz val="9"/>
            <color indexed="81"/>
            <rFont val="宋体"/>
            <family val="2"/>
          </rPr>
          <t>#Input("永炼_调度工艺台账_1FI11402.PV14",":key{{dw}}")</t>
        </r>
      </text>
    </comment>
    <comment ref="M52" authorId="0">
      <text>
        <r>
          <rPr>
            <b/>
            <sz val="9"/>
            <color indexed="81"/>
            <rFont val="宋体"/>
            <family val="2"/>
          </rPr>
          <t>#Input("永炼_调度工艺台账_1FI11402.PV16",":key{{dw}}")</t>
        </r>
      </text>
    </comment>
    <comment ref="N52" authorId="0">
      <text>
        <r>
          <rPr>
            <b/>
            <sz val="9"/>
            <color indexed="81"/>
            <rFont val="宋体"/>
            <family val="2"/>
          </rPr>
          <t>#Input("永炼_调度工艺台账_1FI11402.PV18",":key{{dw}}")</t>
        </r>
      </text>
    </comment>
    <comment ref="O52" authorId="0">
      <text>
        <r>
          <rPr>
            <b/>
            <sz val="9"/>
            <color indexed="81"/>
            <rFont val="宋体"/>
            <family val="2"/>
          </rPr>
          <t>#Input("永炼_调度工艺台账_1FI11402.PV20",":key{{dw}}")</t>
        </r>
      </text>
    </comment>
    <comment ref="P52" authorId="0">
      <text>
        <r>
          <rPr>
            <b/>
            <sz val="9"/>
            <color indexed="81"/>
            <rFont val="宋体"/>
            <family val="2"/>
          </rPr>
          <t>#Input("永炼_调度工艺台账_1FI11402.PV22",":key{{dw}}")</t>
        </r>
      </text>
    </comment>
    <comment ref="E53" authorId="0">
      <text>
        <r>
          <rPr>
            <b/>
            <sz val="9"/>
            <color indexed="81"/>
            <rFont val="宋体"/>
            <family val="2"/>
          </rPr>
          <t>#Input("永炼_调度工艺台账_1TIC20302.PV00",":key{{dw}}")</t>
        </r>
      </text>
    </comment>
    <comment ref="F53" authorId="0">
      <text>
        <r>
          <rPr>
            <b/>
            <sz val="9"/>
            <color indexed="81"/>
            <rFont val="宋体"/>
            <family val="2"/>
          </rPr>
          <t>#Input("永炼_调度工艺台账_1TIC20302.PV02",":key{{dw}}")</t>
        </r>
      </text>
    </comment>
    <comment ref="G53" authorId="0">
      <text>
        <r>
          <rPr>
            <b/>
            <sz val="9"/>
            <color indexed="81"/>
            <rFont val="宋体"/>
            <family val="2"/>
          </rPr>
          <t>#Input("永炼_调度工艺台账_1TIC20302.PV04",":key{{dw}}")</t>
        </r>
      </text>
    </comment>
    <comment ref="H53" authorId="0">
      <text>
        <r>
          <rPr>
            <b/>
            <sz val="9"/>
            <color indexed="81"/>
            <rFont val="宋体"/>
            <family val="2"/>
          </rPr>
          <t>#Input("永炼_调度工艺台账_1TIC20302.PV06",":key{{dw}}")</t>
        </r>
      </text>
    </comment>
    <comment ref="I53" authorId="0">
      <text>
        <r>
          <rPr>
            <b/>
            <sz val="9"/>
            <color indexed="81"/>
            <rFont val="宋体"/>
            <family val="2"/>
          </rPr>
          <t>#Input("永炼_调度工艺台账_1TIC20302.PV08",":key{{dw}}")</t>
        </r>
      </text>
    </comment>
    <comment ref="J53" authorId="0">
      <text>
        <r>
          <rPr>
            <b/>
            <sz val="9"/>
            <color indexed="81"/>
            <rFont val="宋体"/>
            <family val="2"/>
          </rPr>
          <t>#Input("永炼_调度工艺台账_1TIC20302.PV10",":key{{dw}}")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#Input("永炼_调度工艺台账_1TIC20302.PV12",":key{{dw}}")</t>
        </r>
      </text>
    </comment>
    <comment ref="L53" authorId="0">
      <text>
        <r>
          <rPr>
            <b/>
            <sz val="9"/>
            <color indexed="81"/>
            <rFont val="宋体"/>
            <family val="2"/>
          </rPr>
          <t>#Input("永炼_调度工艺台账_1TIC20302.PV14",":key{{dw}}")</t>
        </r>
      </text>
    </comment>
    <comment ref="M53" authorId="0">
      <text>
        <r>
          <rPr>
            <b/>
            <sz val="9"/>
            <color indexed="81"/>
            <rFont val="宋体"/>
            <family val="2"/>
          </rPr>
          <t>#Input("永炼_调度工艺台账_1TIC20302.PV16",":key{{dw}}")</t>
        </r>
      </text>
    </comment>
    <comment ref="N53" authorId="0">
      <text>
        <r>
          <rPr>
            <b/>
            <sz val="9"/>
            <color indexed="81"/>
            <rFont val="宋体"/>
            <family val="2"/>
          </rPr>
          <t>#Input("永炼_调度工艺台账_1TIC20302.PV18",":key{{dw}}")</t>
        </r>
      </text>
    </comment>
    <comment ref="O53" authorId="0">
      <text>
        <r>
          <rPr>
            <b/>
            <sz val="9"/>
            <color indexed="81"/>
            <rFont val="宋体"/>
            <family val="2"/>
          </rPr>
          <t>#Input("永炼_调度工艺台账_1TIC20302.PV20",":key{{dw}}")</t>
        </r>
      </text>
    </comment>
    <comment ref="P53" authorId="0">
      <text>
        <r>
          <rPr>
            <b/>
            <sz val="9"/>
            <color indexed="81"/>
            <rFont val="宋体"/>
            <family val="2"/>
          </rPr>
          <t>#Input("永炼_调度工艺台账_1TIC20302.PV22",":key{{dw}}")</t>
        </r>
      </text>
    </comment>
    <comment ref="E54" authorId="0">
      <text>
        <r>
          <rPr>
            <b/>
            <sz val="9"/>
            <color indexed="81"/>
            <rFont val="宋体"/>
            <family val="2"/>
          </rPr>
          <t>#Input("永炼_调度工艺台账_1TI20303.PV00",":key{{dw}}")</t>
        </r>
      </text>
    </comment>
    <comment ref="F54" authorId="0">
      <text>
        <r>
          <rPr>
            <b/>
            <sz val="9"/>
            <color indexed="81"/>
            <rFont val="宋体"/>
            <family val="2"/>
          </rPr>
          <t>#Input("永炼_调度工艺台账_1TI20303.PV02",":key{{dw}}")</t>
        </r>
      </text>
    </comment>
    <comment ref="G54" authorId="0">
      <text>
        <r>
          <rPr>
            <b/>
            <sz val="9"/>
            <color indexed="81"/>
            <rFont val="宋体"/>
            <family val="2"/>
          </rPr>
          <t>#Input("永炼_调度工艺台账_1TI20303.PV04",":key{{dw}}")</t>
        </r>
      </text>
    </comment>
    <comment ref="H54" authorId="0">
      <text>
        <r>
          <rPr>
            <b/>
            <sz val="9"/>
            <color indexed="81"/>
            <rFont val="宋体"/>
            <family val="2"/>
          </rPr>
          <t>#Input("永炼_调度工艺台账_1TI20303.PV06",":key{{dw}}")</t>
        </r>
      </text>
    </comment>
    <comment ref="I54" authorId="0">
      <text>
        <r>
          <rPr>
            <b/>
            <sz val="9"/>
            <color indexed="81"/>
            <rFont val="宋体"/>
            <family val="2"/>
          </rPr>
          <t>#Input("永炼_调度工艺台账_1TI20303.PV08",":key{{dw}}")</t>
        </r>
      </text>
    </comment>
    <comment ref="J54" authorId="0">
      <text>
        <r>
          <rPr>
            <b/>
            <sz val="9"/>
            <color indexed="81"/>
            <rFont val="宋体"/>
            <family val="2"/>
          </rPr>
          <t>#Input("永炼_调度工艺台账_1TI20303.PV10",":key{{dw}}")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#Input("永炼_调度工艺台账_1TI20303.PV12",":key{{dw}}")</t>
        </r>
      </text>
    </comment>
    <comment ref="L54" authorId="0">
      <text>
        <r>
          <rPr>
            <b/>
            <sz val="9"/>
            <color indexed="81"/>
            <rFont val="宋体"/>
            <family val="2"/>
          </rPr>
          <t>#Input("永炼_调度工艺台账_1TI20303.PV14",":key{{dw}}")</t>
        </r>
      </text>
    </comment>
    <comment ref="M54" authorId="0">
      <text>
        <r>
          <rPr>
            <b/>
            <sz val="9"/>
            <color indexed="81"/>
            <rFont val="宋体"/>
            <family val="2"/>
          </rPr>
          <t>#Input("永炼_调度工艺台账_1TI20303.PV16",":key{{dw}}")</t>
        </r>
      </text>
    </comment>
    <comment ref="N54" authorId="0">
      <text>
        <r>
          <rPr>
            <b/>
            <sz val="9"/>
            <color indexed="81"/>
            <rFont val="宋体"/>
            <family val="2"/>
          </rPr>
          <t>#Input("永炼_调度工艺台账_1TI20303.PV18",":key{{dw}}")</t>
        </r>
      </text>
    </comment>
    <comment ref="O54" authorId="0">
      <text>
        <r>
          <rPr>
            <b/>
            <sz val="9"/>
            <color indexed="81"/>
            <rFont val="宋体"/>
            <family val="2"/>
          </rPr>
          <t>#Input("永炼_调度工艺台账_1TI20303.PV20",":key{{dw}}")</t>
        </r>
      </text>
    </comment>
    <comment ref="P54" authorId="0">
      <text>
        <r>
          <rPr>
            <b/>
            <sz val="9"/>
            <color indexed="81"/>
            <rFont val="宋体"/>
            <family val="2"/>
          </rPr>
          <t>#Input("永炼_调度工艺台账_1TI20303.PV22",":key{{dw}}")</t>
        </r>
      </text>
    </comment>
    <comment ref="E55" authorId="0">
      <text>
        <r>
          <rPr>
            <b/>
            <sz val="9"/>
            <color indexed="81"/>
            <rFont val="宋体"/>
            <family val="2"/>
          </rPr>
          <t>#Input("永炼_调度工艺台账_1FIQ20702.PV00",":key{{dw}}")</t>
        </r>
      </text>
    </comment>
    <comment ref="F55" authorId="0">
      <text>
        <r>
          <rPr>
            <b/>
            <sz val="9"/>
            <color indexed="81"/>
            <rFont val="宋体"/>
            <family val="2"/>
          </rPr>
          <t>#Input("永炼_调度工艺台账_1FIQ20702.PV02",":key{{dw}}")</t>
        </r>
      </text>
    </comment>
    <comment ref="G55" authorId="0">
      <text>
        <r>
          <rPr>
            <b/>
            <sz val="9"/>
            <color indexed="81"/>
            <rFont val="宋体"/>
            <family val="2"/>
          </rPr>
          <t>#Input("永炼_调度工艺台账_1FIQ20702.PV04",":key{{dw}}")</t>
        </r>
      </text>
    </comment>
    <comment ref="H55" authorId="0">
      <text>
        <r>
          <rPr>
            <b/>
            <sz val="9"/>
            <color indexed="81"/>
            <rFont val="宋体"/>
            <family val="2"/>
          </rPr>
          <t>#Input("永炼_调度工艺台账_1FIQ20702.PV06",":key{{dw}}")</t>
        </r>
      </text>
    </comment>
    <comment ref="I55" authorId="0">
      <text>
        <r>
          <rPr>
            <b/>
            <sz val="9"/>
            <color indexed="81"/>
            <rFont val="宋体"/>
            <family val="2"/>
          </rPr>
          <t>#Input("永炼_调度工艺台账_1FIQ20702.PV08",":key{{dw}}")</t>
        </r>
      </text>
    </comment>
    <comment ref="J55" authorId="0">
      <text>
        <r>
          <rPr>
            <b/>
            <sz val="9"/>
            <color indexed="81"/>
            <rFont val="宋体"/>
            <family val="2"/>
          </rPr>
          <t>#Input("永炼_调度工艺台账_1FIQ20702.PV10",":key{{dw}}")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#Input("永炼_调度工艺台账_1FIQ20702.PV12",":key{{dw}}")</t>
        </r>
      </text>
    </comment>
    <comment ref="L55" authorId="0">
      <text>
        <r>
          <rPr>
            <b/>
            <sz val="9"/>
            <color indexed="81"/>
            <rFont val="宋体"/>
            <family val="2"/>
          </rPr>
          <t>#Input("永炼_调度工艺台账_1FIQ20702.PV14",":key{{dw}}")</t>
        </r>
      </text>
    </comment>
    <comment ref="M55" authorId="0">
      <text>
        <r>
          <rPr>
            <b/>
            <sz val="9"/>
            <color indexed="81"/>
            <rFont val="宋体"/>
            <family val="2"/>
          </rPr>
          <t>#Input("永炼_调度工艺台账_1FIQ20702.PV16",":key{{dw}}")</t>
        </r>
      </text>
    </comment>
    <comment ref="N55" authorId="0">
      <text>
        <r>
          <rPr>
            <b/>
            <sz val="9"/>
            <color indexed="81"/>
            <rFont val="宋体"/>
            <family val="2"/>
          </rPr>
          <t>#Input("永炼_调度工艺台账_1FIQ20702.PV18",":key{{dw}}")</t>
        </r>
      </text>
    </comment>
    <comment ref="O55" authorId="0">
      <text>
        <r>
          <rPr>
            <b/>
            <sz val="9"/>
            <color indexed="81"/>
            <rFont val="宋体"/>
            <family val="2"/>
          </rPr>
          <t>#Input("永炼_调度工艺台账_1FIQ20702.PV20",":key{{dw}}")</t>
        </r>
      </text>
    </comment>
    <comment ref="P55" authorId="0">
      <text>
        <r>
          <rPr>
            <b/>
            <sz val="9"/>
            <color indexed="81"/>
            <rFont val="宋体"/>
            <family val="2"/>
          </rPr>
          <t>#Input("永炼_调度工艺台账_1FIQ20702.PV22",":key{{dw}}")</t>
        </r>
      </text>
    </comment>
    <comment ref="E56" authorId="0">
      <text>
        <r>
          <rPr>
            <b/>
            <sz val="9"/>
            <color indexed="81"/>
            <rFont val="宋体"/>
            <family val="2"/>
          </rPr>
          <t>#Input("永炼_调度工艺台账_FIC-1003.MV00",":key{{dw}}")</t>
        </r>
      </text>
    </comment>
    <comment ref="F56" authorId="0">
      <text>
        <r>
          <rPr>
            <b/>
            <sz val="9"/>
            <color indexed="81"/>
            <rFont val="宋体"/>
            <family val="2"/>
          </rPr>
          <t>#Input("永炼_调度工艺台账_FIC-1003.MV02",":key{{dw}}")</t>
        </r>
      </text>
    </comment>
    <comment ref="G56" authorId="0">
      <text>
        <r>
          <rPr>
            <b/>
            <sz val="9"/>
            <color indexed="81"/>
            <rFont val="宋体"/>
            <family val="2"/>
          </rPr>
          <t>#Input("永炼_调度工艺台账_FIC-1003.MV04",":key{{dw}}")</t>
        </r>
      </text>
    </comment>
    <comment ref="H56" authorId="0">
      <text>
        <r>
          <rPr>
            <b/>
            <sz val="9"/>
            <color indexed="81"/>
            <rFont val="宋体"/>
            <family val="2"/>
          </rPr>
          <t>#Input("永炼_调度工艺台账_FIC-1003.MV06",":key{{dw}}")</t>
        </r>
      </text>
    </comment>
    <comment ref="I56" authorId="0">
      <text>
        <r>
          <rPr>
            <b/>
            <sz val="9"/>
            <color indexed="81"/>
            <rFont val="宋体"/>
            <family val="2"/>
          </rPr>
          <t>#Input("永炼_调度工艺台账_FIC-1003.MV08",":key{{dw}}")</t>
        </r>
      </text>
    </comment>
    <comment ref="J56" authorId="0">
      <text>
        <r>
          <rPr>
            <b/>
            <sz val="9"/>
            <color indexed="81"/>
            <rFont val="宋体"/>
            <family val="2"/>
          </rPr>
          <t>#Input("永炼_调度工艺台账_FIC-1003.MV10",":key{{dw}}")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#Input("永炼_调度工艺台账_FIC-1003.MV12",":key{{dw}}")</t>
        </r>
      </text>
    </comment>
    <comment ref="L56" authorId="0">
      <text>
        <r>
          <rPr>
            <b/>
            <sz val="9"/>
            <color indexed="81"/>
            <rFont val="宋体"/>
            <family val="2"/>
          </rPr>
          <t>#Input("永炼_调度工艺台账_FIC-1003.MV14",":key{{dw}}")</t>
        </r>
      </text>
    </comment>
    <comment ref="M56" authorId="0">
      <text>
        <r>
          <rPr>
            <b/>
            <sz val="9"/>
            <color indexed="81"/>
            <rFont val="宋体"/>
            <family val="2"/>
          </rPr>
          <t>#Input("永炼_调度工艺台账_FIC-1003.MV16",":key{{dw}}")</t>
        </r>
      </text>
    </comment>
    <comment ref="N56" authorId="0">
      <text>
        <r>
          <rPr>
            <b/>
            <sz val="9"/>
            <color indexed="81"/>
            <rFont val="宋体"/>
            <family val="2"/>
          </rPr>
          <t>#Input("永炼_调度工艺台账_FIC-1003.MV18",":key{{dw}}")</t>
        </r>
      </text>
    </comment>
    <comment ref="O56" authorId="0">
      <text>
        <r>
          <rPr>
            <b/>
            <sz val="9"/>
            <color indexed="81"/>
            <rFont val="宋体"/>
            <family val="2"/>
          </rPr>
          <t>#Input("永炼_调度工艺台账_FIC-1003.MV20",":key{{dw}}")</t>
        </r>
      </text>
    </comment>
    <comment ref="P56" authorId="0">
      <text>
        <r>
          <rPr>
            <b/>
            <sz val="9"/>
            <color indexed="81"/>
            <rFont val="宋体"/>
            <family val="2"/>
          </rPr>
          <t>#Input("永炼_调度工艺台账_FIC-1003.MV22",":key{{dw}}")</t>
        </r>
      </text>
    </comment>
    <comment ref="E57" authorId="0">
      <text>
        <r>
          <rPr>
            <b/>
            <sz val="9"/>
            <color indexed="81"/>
            <rFont val="宋体"/>
            <family val="2"/>
          </rPr>
          <t>#Input("永炼_调度工艺台账_FI-1103.PV00",":key{{dw}}")</t>
        </r>
      </text>
    </comment>
    <comment ref="F57" authorId="0">
      <text>
        <r>
          <rPr>
            <b/>
            <sz val="9"/>
            <color indexed="81"/>
            <rFont val="宋体"/>
            <family val="2"/>
          </rPr>
          <t>#Input("永炼_调度工艺台账_FI-1103.PV02",":key{{dw}}")</t>
        </r>
      </text>
    </comment>
    <comment ref="G57" authorId="0">
      <text>
        <r>
          <rPr>
            <b/>
            <sz val="9"/>
            <color indexed="81"/>
            <rFont val="宋体"/>
            <family val="2"/>
          </rPr>
          <t>#Input("永炼_调度工艺台账_FI-1103.PV04",":key{{dw}}")</t>
        </r>
      </text>
    </comment>
    <comment ref="H57" authorId="0">
      <text>
        <r>
          <rPr>
            <b/>
            <sz val="9"/>
            <color indexed="81"/>
            <rFont val="宋体"/>
            <family val="2"/>
          </rPr>
          <t>#Input("永炼_调度工艺台账_FI-1103.PV06",":key{{dw}}")</t>
        </r>
      </text>
    </comment>
    <comment ref="I57" authorId="0">
      <text>
        <r>
          <rPr>
            <b/>
            <sz val="9"/>
            <color indexed="81"/>
            <rFont val="宋体"/>
            <family val="2"/>
          </rPr>
          <t>#Input("永炼_调度工艺台账_FI-1103.PV08",":key{{dw}}")</t>
        </r>
      </text>
    </comment>
    <comment ref="J57" authorId="0">
      <text>
        <r>
          <rPr>
            <b/>
            <sz val="9"/>
            <color indexed="81"/>
            <rFont val="宋体"/>
            <family val="2"/>
          </rPr>
          <t>#Input("永炼_调度工艺台账_FI-1103.PV10",":key{{dw}}")</t>
        </r>
      </text>
    </comment>
    <comment ref="K57" authorId="0">
      <text>
        <r>
          <rPr>
            <b/>
            <sz val="9"/>
            <color indexed="81"/>
            <rFont val="宋体"/>
            <family val="2"/>
          </rPr>
          <t>#Input("永炼_调度工艺台账_FI-1103.PV12",":key{{dw}}")</t>
        </r>
      </text>
    </comment>
    <comment ref="L57" authorId="0">
      <text>
        <r>
          <rPr>
            <b/>
            <sz val="9"/>
            <color indexed="81"/>
            <rFont val="宋体"/>
            <family val="2"/>
          </rPr>
          <t>#Input("永炼_调度工艺台账_FI-1103.PV14",":key{{dw}}")</t>
        </r>
      </text>
    </comment>
    <comment ref="M57" authorId="0">
      <text>
        <r>
          <rPr>
            <b/>
            <sz val="9"/>
            <color indexed="81"/>
            <rFont val="宋体"/>
            <family val="2"/>
          </rPr>
          <t>#Input("永炼_调度工艺台账_FI-1103.PV16",":key{{dw}}")</t>
        </r>
      </text>
    </comment>
    <comment ref="N57" authorId="0">
      <text>
        <r>
          <rPr>
            <b/>
            <sz val="9"/>
            <color indexed="81"/>
            <rFont val="宋体"/>
            <family val="2"/>
          </rPr>
          <t>#Input("永炼_调度工艺台账_FI-1103.PV18",":key{{dw}}")</t>
        </r>
      </text>
    </comment>
    <comment ref="O57" authorId="0">
      <text>
        <r>
          <rPr>
            <b/>
            <sz val="9"/>
            <color indexed="81"/>
            <rFont val="宋体"/>
            <family val="2"/>
          </rPr>
          <t>#Input("永炼_调度工艺台账_FI-1103.PV20",":key{{dw}}")</t>
        </r>
      </text>
    </comment>
    <comment ref="P57" authorId="0">
      <text>
        <r>
          <rPr>
            <b/>
            <sz val="9"/>
            <color indexed="81"/>
            <rFont val="宋体"/>
            <family val="2"/>
          </rPr>
          <t>#Input("永炼_调度工艺台账_FI-1103.PV22",":key{{dw}}")</t>
        </r>
      </text>
    </comment>
    <comment ref="E58" authorId="0">
      <text>
        <r>
          <rPr>
            <b/>
            <sz val="9"/>
            <color indexed="81"/>
            <rFont val="宋体"/>
            <family val="2"/>
          </rPr>
          <t>#Input("永炼_调度工艺台账_FIC-1102.PV00",":key{{dw}}")</t>
        </r>
      </text>
    </comment>
    <comment ref="F58" authorId="0">
      <text>
        <r>
          <rPr>
            <b/>
            <sz val="9"/>
            <color indexed="81"/>
            <rFont val="宋体"/>
            <family val="2"/>
          </rPr>
          <t>#Input("永炼_调度工艺台账_FIC-1102.PV02",":key{{dw}}")</t>
        </r>
      </text>
    </comment>
    <comment ref="G58" authorId="0">
      <text>
        <r>
          <rPr>
            <b/>
            <sz val="9"/>
            <color indexed="81"/>
            <rFont val="宋体"/>
            <family val="2"/>
          </rPr>
          <t>#Input("永炼_调度工艺台账_FIC-1102.PV04",":key{{dw}}")</t>
        </r>
      </text>
    </comment>
    <comment ref="H58" authorId="0">
      <text>
        <r>
          <rPr>
            <b/>
            <sz val="9"/>
            <color indexed="81"/>
            <rFont val="宋体"/>
            <family val="2"/>
          </rPr>
          <t>#Input("永炼_调度工艺台账_FIC-1102.PV06",":key{{dw}}")</t>
        </r>
      </text>
    </comment>
    <comment ref="I58" authorId="0">
      <text>
        <r>
          <rPr>
            <b/>
            <sz val="9"/>
            <color indexed="81"/>
            <rFont val="宋体"/>
            <family val="2"/>
          </rPr>
          <t>#Input("永炼_调度工艺台账_FIC-1102.PV08",":key{{dw}}")</t>
        </r>
      </text>
    </comment>
    <comment ref="J58" authorId="0">
      <text>
        <r>
          <rPr>
            <b/>
            <sz val="9"/>
            <color indexed="81"/>
            <rFont val="宋体"/>
            <family val="2"/>
          </rPr>
          <t>#Input("永炼_调度工艺台账_FIC-1102.PV10",":key{{dw}}")</t>
        </r>
      </text>
    </comment>
    <comment ref="K58" authorId="0">
      <text>
        <r>
          <rPr>
            <b/>
            <sz val="9"/>
            <color indexed="81"/>
            <rFont val="宋体"/>
            <family val="2"/>
          </rPr>
          <t>#Input("永炼_调度工艺台账_FIC-1102.PV12",":key{{dw}}")</t>
        </r>
      </text>
    </comment>
    <comment ref="L58" authorId="0">
      <text>
        <r>
          <rPr>
            <b/>
            <sz val="9"/>
            <color indexed="81"/>
            <rFont val="宋体"/>
            <family val="2"/>
          </rPr>
          <t>#Input("永炼_调度工艺台账_FIC-1102.PV14",":key{{dw}}")</t>
        </r>
      </text>
    </comment>
    <comment ref="M58" authorId="0">
      <text>
        <r>
          <rPr>
            <b/>
            <sz val="9"/>
            <color indexed="81"/>
            <rFont val="宋体"/>
            <family val="2"/>
          </rPr>
          <t>#Input("永炼_调度工艺台账_FIC-1102.PV16",":key{{dw}}")</t>
        </r>
      </text>
    </comment>
    <comment ref="N58" authorId="0">
      <text>
        <r>
          <rPr>
            <b/>
            <sz val="9"/>
            <color indexed="81"/>
            <rFont val="宋体"/>
            <family val="2"/>
          </rPr>
          <t>#Input("永炼_调度工艺台账_FIC-1102.PV18",":key{{dw}}")</t>
        </r>
      </text>
    </comment>
    <comment ref="O58" authorId="0">
      <text>
        <r>
          <rPr>
            <b/>
            <sz val="9"/>
            <color indexed="81"/>
            <rFont val="宋体"/>
            <family val="2"/>
          </rPr>
          <t>#Input("永炼_调度工艺台账_FIC-1102.PV20",":key{{dw}}")</t>
        </r>
      </text>
    </comment>
    <comment ref="P58" authorId="0">
      <text>
        <r>
          <rPr>
            <b/>
            <sz val="9"/>
            <color indexed="81"/>
            <rFont val="宋体"/>
            <family val="2"/>
          </rPr>
          <t>#Input("永炼_调度工艺台账_FIC-1102.PV22",":key{{dw}}")</t>
        </r>
      </text>
    </comment>
    <comment ref="E59" authorId="0">
      <text>
        <r>
          <rPr>
            <b/>
            <sz val="9"/>
            <color indexed="81"/>
            <rFont val="宋体"/>
            <family val="2"/>
          </rPr>
          <t>#Input("永炼_调度工艺台账_TI-2003.PV00",":key{{dw}}")</t>
        </r>
      </text>
    </comment>
    <comment ref="F59" authorId="0">
      <text>
        <r>
          <rPr>
            <b/>
            <sz val="9"/>
            <color indexed="81"/>
            <rFont val="宋体"/>
            <family val="2"/>
          </rPr>
          <t>#Input("永炼_调度工艺台账_TI-2003.PV02",":key{{dw}}")</t>
        </r>
      </text>
    </comment>
    <comment ref="G59" authorId="0">
      <text>
        <r>
          <rPr>
            <sz val="9"/>
            <color indexed="81"/>
            <rFont val="Arial"/>
            <family val="2"/>
          </rPr>
          <t xml:space="preserve">#Input("永炼_调度工艺台账_TI-2003.PV04",":key{{dw}}")
</t>
        </r>
      </text>
    </comment>
    <comment ref="H59" authorId="0">
      <text>
        <r>
          <rPr>
            <b/>
            <sz val="9"/>
            <color indexed="81"/>
            <rFont val="宋体"/>
            <family val="2"/>
          </rPr>
          <t>#Input("永炼_调度工艺台账_TI-2003.PV06",":key{{dw}}")</t>
        </r>
      </text>
    </comment>
    <comment ref="I59" authorId="0">
      <text>
        <r>
          <rPr>
            <b/>
            <sz val="9"/>
            <color indexed="81"/>
            <rFont val="宋体"/>
            <family val="2"/>
          </rPr>
          <t>#Input("永炼_调度工艺台账_TI-2003.PV08",":key{{dw}}")</t>
        </r>
      </text>
    </comment>
    <comment ref="J59" authorId="0">
      <text>
        <r>
          <rPr>
            <b/>
            <sz val="9"/>
            <color indexed="81"/>
            <rFont val="宋体"/>
            <family val="2"/>
          </rPr>
          <t>#Input("永炼_调度工艺台账_TI-2003.PV10",":key{{dw}}")</t>
        </r>
      </text>
    </comment>
    <comment ref="K59" authorId="0">
      <text>
        <r>
          <rPr>
            <b/>
            <sz val="9"/>
            <color indexed="81"/>
            <rFont val="宋体"/>
            <family val="2"/>
          </rPr>
          <t>#Input("永炼_调度工艺台账_TI-2003.PV12",":key{{dw}}")</t>
        </r>
      </text>
    </comment>
    <comment ref="L59" authorId="0">
      <text>
        <r>
          <rPr>
            <b/>
            <sz val="9"/>
            <color indexed="81"/>
            <rFont val="宋体"/>
            <family val="2"/>
          </rPr>
          <t>#Input("永炼_调度工艺台账_TI-2003.PV14",":key{{dw}}")</t>
        </r>
      </text>
    </comment>
    <comment ref="M59" authorId="0">
      <text>
        <r>
          <rPr>
            <b/>
            <sz val="9"/>
            <color indexed="81"/>
            <rFont val="宋体"/>
            <family val="2"/>
          </rPr>
          <t>#Input("永炼_调度工艺台账_TI-2003.PV16",":key{{dw}}")</t>
        </r>
      </text>
    </comment>
    <comment ref="N59" authorId="0">
      <text>
        <r>
          <rPr>
            <b/>
            <sz val="9"/>
            <color indexed="81"/>
            <rFont val="宋体"/>
            <family val="2"/>
          </rPr>
          <t>#Input("永炼_调度工艺台账_TI-2003.PV18",":key{{dw}}")</t>
        </r>
      </text>
    </comment>
    <comment ref="O59" authorId="0">
      <text>
        <r>
          <rPr>
            <b/>
            <sz val="9"/>
            <color indexed="81"/>
            <rFont val="宋体"/>
            <family val="2"/>
          </rPr>
          <t>#Input("永炼_调度工艺台账_TI-2003.PV20",":key{{dw}}")</t>
        </r>
      </text>
    </comment>
    <comment ref="P59" authorId="0">
      <text>
        <r>
          <rPr>
            <b/>
            <sz val="9"/>
            <color indexed="81"/>
            <rFont val="宋体"/>
            <family val="2"/>
          </rPr>
          <t>#Input("永炼_调度工艺台账_TI-2003.PV22",":key{{dw}}")</t>
        </r>
      </text>
    </comment>
    <comment ref="E60" authorId="0">
      <text>
        <r>
          <rPr>
            <b/>
            <sz val="9"/>
            <color indexed="81"/>
            <rFont val="宋体"/>
            <family val="2"/>
          </rPr>
          <t>#Input("永炼_调度工艺台账_PI-2101.PV00",":key{{dw}}")</t>
        </r>
      </text>
    </comment>
    <comment ref="F60" authorId="0">
      <text>
        <r>
          <rPr>
            <sz val="9"/>
            <color indexed="81"/>
            <rFont val="宋体"/>
            <family val="2"/>
          </rPr>
          <t>#Input("永炼_调度工艺台账_PI-2101.PV02",":key{{dw}}")</t>
        </r>
      </text>
    </comment>
    <comment ref="G60" authorId="0">
      <text>
        <r>
          <rPr>
            <b/>
            <sz val="9"/>
            <color indexed="81"/>
            <rFont val="宋体"/>
            <family val="2"/>
          </rPr>
          <t>#Input("永炼_调度工艺台账_PI-2101.PV04",":key{{dw}}")</t>
        </r>
      </text>
    </comment>
    <comment ref="H60" authorId="0">
      <text>
        <r>
          <rPr>
            <b/>
            <sz val="9"/>
            <color indexed="81"/>
            <rFont val="宋体"/>
            <family val="2"/>
          </rPr>
          <t>#Input("永炼_调度工艺台账_PI-2101.PV06",":key{{dw}}")</t>
        </r>
      </text>
    </comment>
    <comment ref="I60" authorId="0">
      <text>
        <r>
          <rPr>
            <b/>
            <sz val="9"/>
            <color indexed="81"/>
            <rFont val="宋体"/>
            <family val="2"/>
          </rPr>
          <t>#Input("永炼_调度工艺台账_PI-2101.PV08",":key{{dw}}")</t>
        </r>
      </text>
    </comment>
    <comment ref="J60" authorId="0">
      <text>
        <r>
          <rPr>
            <b/>
            <sz val="9"/>
            <color indexed="81"/>
            <rFont val="宋体"/>
            <family val="2"/>
          </rPr>
          <t>#Input("永炼_调度工艺台账_PI-2101.PV10",":key{{dw}}")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#Input("永炼_调度工艺台账_PI-2101.PV12",":key{{dw}}")</t>
        </r>
      </text>
    </comment>
    <comment ref="L60" authorId="0">
      <text>
        <r>
          <rPr>
            <b/>
            <sz val="9"/>
            <color indexed="81"/>
            <rFont val="宋体"/>
            <family val="2"/>
          </rPr>
          <t>#Input("永炼_调度工艺台账_PI-2101.PV14",":key{{dw}}")</t>
        </r>
      </text>
    </comment>
    <comment ref="M60" authorId="0">
      <text>
        <r>
          <rPr>
            <b/>
            <sz val="9"/>
            <color indexed="81"/>
            <rFont val="宋体"/>
            <family val="2"/>
          </rPr>
          <t>#Input("永炼_调度工艺台账_PI-2101.PV16",":key{{dw}}")</t>
        </r>
      </text>
    </comment>
    <comment ref="N60" authorId="0">
      <text>
        <r>
          <rPr>
            <b/>
            <sz val="9"/>
            <color indexed="81"/>
            <rFont val="宋体"/>
            <family val="2"/>
          </rPr>
          <t>#Input("永炼_调度工艺台账_PI-2101.PV18",":key{{dw}}")</t>
        </r>
      </text>
    </comment>
    <comment ref="O60" authorId="0">
      <text>
        <r>
          <rPr>
            <b/>
            <sz val="9"/>
            <color indexed="81"/>
            <rFont val="宋体"/>
            <family val="2"/>
          </rPr>
          <t>#Input("永炼_调度工艺台账_PI-2101.PV20",":key{{dw}}")</t>
        </r>
      </text>
    </comment>
    <comment ref="P60" authorId="0">
      <text>
        <r>
          <rPr>
            <b/>
            <sz val="9"/>
            <color indexed="81"/>
            <rFont val="宋体"/>
            <family val="2"/>
          </rPr>
          <t>#Input("永炼_调度工艺台账_PI-2101.PV22",":key{{dw}}")</t>
        </r>
      </text>
    </comment>
    <comment ref="E61" authorId="0">
      <text>
        <r>
          <rPr>
            <b/>
            <sz val="9"/>
            <color indexed="81"/>
            <rFont val="宋体"/>
            <family val="2"/>
          </rPr>
          <t>#Input("永炼_调度工艺台账_PI-2106.PV00",":key{{dw}}")</t>
        </r>
      </text>
    </comment>
    <comment ref="F61" authorId="0">
      <text>
        <r>
          <rPr>
            <b/>
            <sz val="9"/>
            <color indexed="81"/>
            <rFont val="宋体"/>
            <family val="2"/>
          </rPr>
          <t>#Input("永炼_调度工艺台账_PI-2106.PV02",":key{{dw}}")</t>
        </r>
      </text>
    </comment>
    <comment ref="G61" authorId="0">
      <text>
        <r>
          <rPr>
            <b/>
            <sz val="9"/>
            <color indexed="81"/>
            <rFont val="宋体"/>
            <family val="2"/>
          </rPr>
          <t>#Input("永炼_调度工艺台账_PI-2106.PV04",":key{{dw}}")</t>
        </r>
      </text>
    </comment>
    <comment ref="H61" authorId="0">
      <text>
        <r>
          <rPr>
            <b/>
            <sz val="9"/>
            <color indexed="81"/>
            <rFont val="宋体"/>
            <family val="2"/>
          </rPr>
          <t>#Input("永炼_调度工艺台账_PI-2106.PV06",":key{{dw}}")</t>
        </r>
      </text>
    </comment>
    <comment ref="I61" authorId="0">
      <text>
        <r>
          <rPr>
            <b/>
            <sz val="9"/>
            <color indexed="81"/>
            <rFont val="宋体"/>
            <family val="2"/>
          </rPr>
          <t>#Input("永炼_调度工艺台账_PI-2106.PV08",":key{{dw}}")</t>
        </r>
      </text>
    </comment>
    <comment ref="J61" authorId="0">
      <text>
        <r>
          <rPr>
            <b/>
            <sz val="9"/>
            <color indexed="81"/>
            <rFont val="宋体"/>
            <family val="2"/>
          </rPr>
          <t>#Input("永炼_调度工艺台账_PI-2106.PV10",":key{{dw}}")</t>
        </r>
      </text>
    </comment>
    <comment ref="K61" authorId="0">
      <text>
        <r>
          <rPr>
            <b/>
            <sz val="9"/>
            <color indexed="81"/>
            <rFont val="宋体"/>
            <family val="2"/>
          </rPr>
          <t>#Input("永炼_调度工艺台账_PI-2106.PV12",":key{{dw}}")</t>
        </r>
      </text>
    </comment>
    <comment ref="L61" authorId="0">
      <text>
        <r>
          <rPr>
            <b/>
            <sz val="9"/>
            <color indexed="81"/>
            <rFont val="宋体"/>
            <family val="2"/>
          </rPr>
          <t>#Input("永炼_调度工艺台账_PI-2106.PV14",":key{{dw}}")</t>
        </r>
      </text>
    </comment>
    <comment ref="M61" authorId="0">
      <text>
        <r>
          <rPr>
            <b/>
            <sz val="9"/>
            <color indexed="81"/>
            <rFont val="宋体"/>
            <family val="2"/>
          </rPr>
          <t>#Input("永炼_调度工艺台账_PI-2106.PV16",":key{{dw}}")</t>
        </r>
      </text>
    </comment>
    <comment ref="N61" authorId="0">
      <text>
        <r>
          <rPr>
            <b/>
            <sz val="9"/>
            <color indexed="81"/>
            <rFont val="宋体"/>
            <family val="2"/>
          </rPr>
          <t>#Input("永炼_调度工艺台账_PI-2106.PV18",":key{{dw}}")</t>
        </r>
      </text>
    </comment>
    <comment ref="O61" authorId="0">
      <text>
        <r>
          <rPr>
            <b/>
            <sz val="9"/>
            <color indexed="81"/>
            <rFont val="宋体"/>
            <family val="2"/>
          </rPr>
          <t>#Input("永炼_调度工艺台账_PI-2106.PV20",":key{{dw}}")</t>
        </r>
      </text>
    </comment>
    <comment ref="P61" authorId="0">
      <text>
        <r>
          <rPr>
            <b/>
            <sz val="9"/>
            <color indexed="81"/>
            <rFont val="宋体"/>
            <family val="2"/>
          </rPr>
          <t>#Input("永炼_调度工艺台账_PI-2106.PV22",":key{{dw}}")</t>
        </r>
      </text>
    </comment>
    <comment ref="E62" authorId="0">
      <text>
        <r>
          <rPr>
            <b/>
            <sz val="9"/>
            <color indexed="81"/>
            <rFont val="宋体"/>
            <family val="2"/>
          </rPr>
          <t>#Input("永炼_调度工艺台账_TIC-2101.PV00",":key{{dw}}")</t>
        </r>
      </text>
    </comment>
    <comment ref="F62" authorId="0">
      <text>
        <r>
          <rPr>
            <b/>
            <sz val="9"/>
            <color indexed="81"/>
            <rFont val="宋体"/>
            <family val="2"/>
          </rPr>
          <t>#Input("永炼_调度工艺台账_TIC-2101.PV02",":key{{dw}}")</t>
        </r>
      </text>
    </comment>
    <comment ref="G62" authorId="0">
      <text>
        <r>
          <rPr>
            <b/>
            <sz val="9"/>
            <color indexed="81"/>
            <rFont val="宋体"/>
            <family val="2"/>
          </rPr>
          <t>#Input("永炼_调度工艺台账_TIC-2101.PV04",":key{{dw}}")</t>
        </r>
      </text>
    </comment>
    <comment ref="H62" authorId="0">
      <text>
        <r>
          <rPr>
            <b/>
            <sz val="9"/>
            <color indexed="81"/>
            <rFont val="宋体"/>
            <family val="2"/>
          </rPr>
          <t>#Input("永炼_调度工艺台账_TIC-2101.PV06",":key{{dw}}")</t>
        </r>
      </text>
    </comment>
    <comment ref="I62" authorId="0">
      <text>
        <r>
          <rPr>
            <b/>
            <sz val="9"/>
            <color indexed="81"/>
            <rFont val="宋体"/>
            <family val="2"/>
          </rPr>
          <t>#Input("永炼_调度工艺台账_TIC-2101.PV08",":key{{dw}}")</t>
        </r>
      </text>
    </comment>
    <comment ref="J62" authorId="0">
      <text>
        <r>
          <rPr>
            <b/>
            <sz val="9"/>
            <color indexed="81"/>
            <rFont val="宋体"/>
            <family val="2"/>
          </rPr>
          <t>#Input("永炼_调度工艺台账_TIC-2101.PV10",":key{{dw}}")</t>
        </r>
      </text>
    </comment>
    <comment ref="K62" authorId="0">
      <text>
        <r>
          <rPr>
            <b/>
            <sz val="9"/>
            <color indexed="81"/>
            <rFont val="宋体"/>
            <family val="2"/>
          </rPr>
          <t>#Input("永炼_调度工艺台账_TIC-2101.PV12",":key{{dw}}")</t>
        </r>
      </text>
    </comment>
    <comment ref="L62" authorId="0">
      <text>
        <r>
          <rPr>
            <b/>
            <sz val="9"/>
            <color indexed="81"/>
            <rFont val="宋体"/>
            <family val="2"/>
          </rPr>
          <t>#Input("永炼_调度工艺台账_TIC-2101.PV14",":key{{dw}}")</t>
        </r>
      </text>
    </comment>
    <comment ref="M62" authorId="0">
      <text>
        <r>
          <rPr>
            <b/>
            <sz val="9"/>
            <color indexed="81"/>
            <rFont val="宋体"/>
            <family val="2"/>
          </rPr>
          <t>#Input("永炼_调度工艺台账_TIC-2101.PV16",":key{{dw}}")</t>
        </r>
      </text>
    </comment>
    <comment ref="N62" authorId="0">
      <text>
        <r>
          <rPr>
            <b/>
            <sz val="9"/>
            <color indexed="81"/>
            <rFont val="宋体"/>
            <family val="2"/>
          </rPr>
          <t>#Input("永炼_调度工艺台账_TIC-2101.PV18",":key{{dw}}")</t>
        </r>
      </text>
    </comment>
    <comment ref="O62" authorId="0">
      <text>
        <r>
          <rPr>
            <b/>
            <sz val="9"/>
            <color indexed="81"/>
            <rFont val="宋体"/>
            <family val="2"/>
          </rPr>
          <t>#Input("永炼_调度工艺台账_TIC-2101.PV20",":key{{dw}}")</t>
        </r>
      </text>
    </comment>
    <comment ref="P62" authorId="0">
      <text>
        <r>
          <rPr>
            <b/>
            <sz val="9"/>
            <color indexed="81"/>
            <rFont val="宋体"/>
            <family val="2"/>
          </rPr>
          <t>#Input("永炼_调度工艺台账_TIC-2101.PV22",":key{{dw}}")</t>
        </r>
      </text>
    </comment>
    <comment ref="E63" authorId="0">
      <text>
        <r>
          <rPr>
            <b/>
            <sz val="9"/>
            <color indexed="81"/>
            <rFont val="宋体"/>
            <family val="2"/>
          </rPr>
          <t>#Input("永炼_调度工艺台账_TIC-2607.PV00",":key{{dw}}")</t>
        </r>
      </text>
    </comment>
    <comment ref="F63" authorId="0">
      <text>
        <r>
          <rPr>
            <b/>
            <sz val="9"/>
            <color indexed="81"/>
            <rFont val="宋体"/>
            <family val="2"/>
          </rPr>
          <t>#Input("永炼_调度工艺台账_TIC-2607.PV02",":key{{dw}}")</t>
        </r>
      </text>
    </comment>
    <comment ref="G63" authorId="0">
      <text>
        <r>
          <rPr>
            <b/>
            <sz val="9"/>
            <color indexed="81"/>
            <rFont val="宋体"/>
            <family val="2"/>
          </rPr>
          <t>#Input("永炼_调度工艺台账_TIC-2607.PV04",":key{{dw}}")</t>
        </r>
      </text>
    </comment>
    <comment ref="H63" authorId="0">
      <text>
        <r>
          <rPr>
            <b/>
            <sz val="9"/>
            <color indexed="81"/>
            <rFont val="宋体"/>
            <family val="2"/>
          </rPr>
          <t>#Input("永炼_调度工艺台账_TIC-2607.PV06",":key{{dw}}")</t>
        </r>
      </text>
    </comment>
    <comment ref="I63" authorId="0">
      <text>
        <r>
          <rPr>
            <b/>
            <sz val="9"/>
            <color indexed="81"/>
            <rFont val="宋体"/>
            <family val="2"/>
          </rPr>
          <t>#Input("永炼_调度工艺台账_TIC-2607.PV08",":key{{dw}}")</t>
        </r>
      </text>
    </comment>
    <comment ref="J63" authorId="0">
      <text>
        <r>
          <rPr>
            <b/>
            <sz val="9"/>
            <color indexed="81"/>
            <rFont val="宋体"/>
            <family val="2"/>
          </rPr>
          <t>#Input("永炼_调度工艺台账_TIC-2607.PV10",":key{{dw}}")</t>
        </r>
      </text>
    </comment>
    <comment ref="K63" authorId="0">
      <text>
        <r>
          <rPr>
            <b/>
            <sz val="9"/>
            <color indexed="81"/>
            <rFont val="宋体"/>
            <family val="2"/>
          </rPr>
          <t>#Input("永炼_调度工艺台账_TIC-2607.PV12",":key{{dw}}")</t>
        </r>
      </text>
    </comment>
    <comment ref="L63" authorId="0">
      <text>
        <r>
          <rPr>
            <b/>
            <sz val="9"/>
            <color indexed="81"/>
            <rFont val="宋体"/>
            <family val="2"/>
          </rPr>
          <t>#Input("永炼_调度工艺台账_TIC-2607.PV14",":key{{dw}}")</t>
        </r>
      </text>
    </comment>
    <comment ref="M63" authorId="0">
      <text>
        <r>
          <rPr>
            <b/>
            <sz val="9"/>
            <color indexed="81"/>
            <rFont val="宋体"/>
            <family val="2"/>
          </rPr>
          <t>#Input("永炼_调度工艺台账_TIC-2607.PV16",":key{{dw}}")</t>
        </r>
      </text>
    </comment>
    <comment ref="N63" authorId="0">
      <text>
        <r>
          <rPr>
            <b/>
            <sz val="9"/>
            <color indexed="81"/>
            <rFont val="宋体"/>
            <family val="2"/>
          </rPr>
          <t>#Input("永炼_调度工艺台账_TIC-2607.PV18",":key{{dw}}")</t>
        </r>
      </text>
    </comment>
    <comment ref="O63" authorId="0">
      <text>
        <r>
          <rPr>
            <b/>
            <sz val="9"/>
            <color indexed="81"/>
            <rFont val="宋体"/>
            <family val="2"/>
          </rPr>
          <t>#Input("永炼_调度工艺台账_TIC-2607.PV20",":key{{dw}}")</t>
        </r>
      </text>
    </comment>
    <comment ref="P63" authorId="0">
      <text>
        <r>
          <rPr>
            <b/>
            <sz val="9"/>
            <color indexed="81"/>
            <rFont val="宋体"/>
            <family val="2"/>
          </rPr>
          <t>#Input("永炼_调度工艺台账_TIC-2607.PV22",":key{{dw}}")</t>
        </r>
      </text>
    </comment>
    <comment ref="E64" authorId="0">
      <text>
        <r>
          <rPr>
            <b/>
            <sz val="9"/>
            <color indexed="81"/>
            <rFont val="宋体"/>
            <family val="2"/>
          </rPr>
          <t>#Input("永炼_调度工艺台账_TI-5004.PV00",":key{{dw}}")</t>
        </r>
      </text>
    </comment>
    <comment ref="F64" authorId="0">
      <text>
        <r>
          <rPr>
            <b/>
            <sz val="9"/>
            <color indexed="81"/>
            <rFont val="宋体"/>
            <family val="2"/>
          </rPr>
          <t>#Input("永炼_调度工艺台账_TI-5004.PV02",":key{{dw}}")</t>
        </r>
      </text>
    </comment>
    <comment ref="G64" authorId="0">
      <text>
        <r>
          <rPr>
            <b/>
            <sz val="9"/>
            <color indexed="81"/>
            <rFont val="宋体"/>
            <family val="2"/>
          </rPr>
          <t>#Input("永炼_调度工艺台账_TI-5004.PV04",":key{{dw}}")</t>
        </r>
      </text>
    </comment>
    <comment ref="H64" authorId="0">
      <text>
        <r>
          <rPr>
            <b/>
            <sz val="9"/>
            <color indexed="81"/>
            <rFont val="宋体"/>
            <family val="2"/>
          </rPr>
          <t>#Input("永炼_调度工艺台账_TI-5004.PV06",":key{{dw}}")</t>
        </r>
      </text>
    </comment>
    <comment ref="I64" authorId="0">
      <text>
        <r>
          <rPr>
            <b/>
            <sz val="9"/>
            <color indexed="81"/>
            <rFont val="宋体"/>
            <family val="2"/>
          </rPr>
          <t>#Input("永炼_调度工艺台账_TI-5004.PV08",":key{{dw}}")</t>
        </r>
      </text>
    </comment>
    <comment ref="J64" authorId="0">
      <text>
        <r>
          <rPr>
            <b/>
            <sz val="9"/>
            <color indexed="81"/>
            <rFont val="宋体"/>
            <family val="2"/>
          </rPr>
          <t>#Input("永炼_调度工艺台账_TI-5004.PV10",":key{{dw}}")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#Input("永炼_调度工艺台账_TI-5004.PV12",":key{{dw}}")</t>
        </r>
      </text>
    </comment>
    <comment ref="L64" authorId="0">
      <text>
        <r>
          <rPr>
            <b/>
            <sz val="9"/>
            <color indexed="81"/>
            <rFont val="宋体"/>
            <family val="2"/>
          </rPr>
          <t>#Input("永炼_调度工艺台账_TI-5004.PV14",":key{{dw}}")</t>
        </r>
      </text>
    </comment>
    <comment ref="M64" authorId="0">
      <text>
        <r>
          <rPr>
            <b/>
            <sz val="9"/>
            <color indexed="81"/>
            <rFont val="宋体"/>
            <family val="2"/>
          </rPr>
          <t>#Input("永炼_调度工艺台账_TI-5004.PV16",":key{{dw}}")</t>
        </r>
      </text>
    </comment>
    <comment ref="N64" authorId="0">
      <text>
        <r>
          <rPr>
            <b/>
            <sz val="9"/>
            <color indexed="81"/>
            <rFont val="宋体"/>
            <family val="2"/>
          </rPr>
          <t>#Input("永炼_调度工艺台账_TI-5004.PV18",":key{{dw}}")</t>
        </r>
      </text>
    </comment>
    <comment ref="O64" authorId="0">
      <text>
        <r>
          <rPr>
            <b/>
            <sz val="9"/>
            <color indexed="81"/>
            <rFont val="宋体"/>
            <family val="2"/>
          </rPr>
          <t>#Input("永炼_调度工艺台账_TI-5004.PV20",":key{{dw}}")</t>
        </r>
      </text>
    </comment>
    <comment ref="P64" authorId="0">
      <text>
        <r>
          <rPr>
            <b/>
            <sz val="9"/>
            <color indexed="81"/>
            <rFont val="宋体"/>
            <family val="2"/>
          </rPr>
          <t>#Input("永炼_调度工艺台账_TI-5004.PV22",":key{{dw}}")</t>
        </r>
      </text>
    </comment>
    <comment ref="E65" authorId="0">
      <text>
        <r>
          <rPr>
            <b/>
            <sz val="9"/>
            <color indexed="81"/>
            <rFont val="宋体"/>
            <family val="2"/>
          </rPr>
          <t>#Input("永炼_调度工艺台账_TI-5006.PV00",":key{{dw}}")</t>
        </r>
      </text>
    </comment>
    <comment ref="F65" authorId="0">
      <text>
        <r>
          <rPr>
            <b/>
            <sz val="9"/>
            <color indexed="81"/>
            <rFont val="宋体"/>
            <family val="2"/>
          </rPr>
          <t>#Input("永炼_调度工艺台账_TI-5006.PV02",":key{{dw}}")</t>
        </r>
      </text>
    </comment>
    <comment ref="G65" authorId="0">
      <text>
        <r>
          <rPr>
            <sz val="9"/>
            <color indexed="81"/>
            <rFont val="Arial"/>
            <family val="2"/>
          </rPr>
          <t xml:space="preserve">#Input("永炼_调度工艺台账_TI-5006.PV04",":key{{dw}}")
</t>
        </r>
      </text>
    </comment>
    <comment ref="H65" authorId="0">
      <text>
        <r>
          <rPr>
            <b/>
            <sz val="9"/>
            <color indexed="81"/>
            <rFont val="宋体"/>
            <family val="2"/>
          </rPr>
          <t>#Input("永炼_调度工艺台账_TI-5006.PV06",":key{{dw}}")</t>
        </r>
      </text>
    </comment>
    <comment ref="I65" authorId="0">
      <text>
        <r>
          <rPr>
            <b/>
            <sz val="9"/>
            <color indexed="81"/>
            <rFont val="宋体"/>
            <family val="2"/>
          </rPr>
          <t>#Input("永炼_调度工艺台账_TI-5006.PV08",":key{{dw}}")</t>
        </r>
      </text>
    </comment>
    <comment ref="J65" authorId="0">
      <text>
        <r>
          <rPr>
            <b/>
            <sz val="9"/>
            <color indexed="81"/>
            <rFont val="宋体"/>
            <family val="2"/>
          </rPr>
          <t>#Input("永炼_调度工艺台账_TI-5006.PV10",":key{{dw}}")</t>
        </r>
      </text>
    </comment>
    <comment ref="K65" authorId="0">
      <text>
        <r>
          <rPr>
            <b/>
            <sz val="9"/>
            <color indexed="81"/>
            <rFont val="宋体"/>
            <family val="2"/>
          </rPr>
          <t>#Input("永炼_调度工艺台账_TI-5006.PV12",":key{{dw}}")</t>
        </r>
      </text>
    </comment>
    <comment ref="L65" authorId="0">
      <text>
        <r>
          <rPr>
            <b/>
            <sz val="9"/>
            <color indexed="81"/>
            <rFont val="宋体"/>
            <family val="2"/>
          </rPr>
          <t>#Input("永炼_调度工艺台账_TI-5006.PV14",":key{{dw}}")</t>
        </r>
      </text>
    </comment>
    <comment ref="M65" authorId="0">
      <text>
        <r>
          <rPr>
            <b/>
            <sz val="9"/>
            <color indexed="81"/>
            <rFont val="宋体"/>
            <family val="2"/>
          </rPr>
          <t>#Input("永炼_调度工艺台账_TI-5006.PV16",":key{{dw}}")</t>
        </r>
      </text>
    </comment>
    <comment ref="N65" authorId="0">
      <text>
        <r>
          <rPr>
            <b/>
            <sz val="9"/>
            <color indexed="81"/>
            <rFont val="宋体"/>
            <family val="2"/>
          </rPr>
          <t>#Input("永炼_调度工艺台账_TI-5006.PV18",":key{{dw}}")</t>
        </r>
      </text>
    </comment>
    <comment ref="O65" authorId="0">
      <text>
        <r>
          <rPr>
            <b/>
            <sz val="9"/>
            <color indexed="81"/>
            <rFont val="宋体"/>
            <family val="2"/>
          </rPr>
          <t>#Input("永炼_调度工艺台账_TI-5006.PV20",":key{{dw}}")</t>
        </r>
      </text>
    </comment>
    <comment ref="P65" authorId="0">
      <text>
        <r>
          <rPr>
            <b/>
            <sz val="9"/>
            <color indexed="81"/>
            <rFont val="宋体"/>
            <family val="2"/>
          </rPr>
          <t>#Input("永炼_调度工艺台账_TI-5006.PV22",":key{{dw}}")</t>
        </r>
      </text>
    </comment>
    <comment ref="E66" authorId="0">
      <text>
        <r>
          <rPr>
            <b/>
            <sz val="9"/>
            <color indexed="81"/>
            <rFont val="宋体"/>
            <family val="2"/>
          </rPr>
          <t>#Input("永炼_调度工艺台账_PIC-5101.PV00",":key{{dw}}")</t>
        </r>
      </text>
    </comment>
    <comment ref="F66" authorId="0">
      <text>
        <r>
          <rPr>
            <sz val="9"/>
            <color indexed="81"/>
            <rFont val="宋体"/>
            <family val="2"/>
          </rPr>
          <t>#Input("永炼_调度工艺台账_PIC-5101.PV02",":key{{dw}}")</t>
        </r>
      </text>
    </comment>
    <comment ref="G66" authorId="0">
      <text>
        <r>
          <rPr>
            <b/>
            <sz val="9"/>
            <color indexed="81"/>
            <rFont val="宋体"/>
            <family val="2"/>
          </rPr>
          <t>#Input("永炼_调度工艺台账_PIC-5101.PV04",":key{{dw}}")</t>
        </r>
      </text>
    </comment>
    <comment ref="H66" authorId="0">
      <text>
        <r>
          <rPr>
            <b/>
            <sz val="9"/>
            <color indexed="81"/>
            <rFont val="宋体"/>
            <family val="2"/>
          </rPr>
          <t>#Input("永炼_调度工艺台账_PIC-5101.PV06",":key{{dw}}")</t>
        </r>
      </text>
    </comment>
    <comment ref="I66" authorId="0">
      <text>
        <r>
          <rPr>
            <b/>
            <sz val="9"/>
            <color indexed="81"/>
            <rFont val="宋体"/>
            <family val="2"/>
          </rPr>
          <t>#Input("永炼_调度工艺台账_PIC-5101.PV08",":key{{dw}}")</t>
        </r>
      </text>
    </comment>
    <comment ref="J66" authorId="0">
      <text>
        <r>
          <rPr>
            <b/>
            <sz val="9"/>
            <color indexed="81"/>
            <rFont val="宋体"/>
            <family val="2"/>
          </rPr>
          <t>#Input("永炼_调度工艺台账_PIC-5101.PV10",":key{{dw}}")</t>
        </r>
      </text>
    </comment>
    <comment ref="K66" authorId="0">
      <text>
        <r>
          <rPr>
            <b/>
            <sz val="9"/>
            <color indexed="81"/>
            <rFont val="宋体"/>
            <family val="2"/>
          </rPr>
          <t>#Input("永炼_调度工艺台账_PIC-5101.PV12",":key{{dw}}")</t>
        </r>
      </text>
    </comment>
    <comment ref="L66" authorId="0">
      <text>
        <r>
          <rPr>
            <b/>
            <sz val="9"/>
            <color indexed="81"/>
            <rFont val="宋体"/>
            <family val="2"/>
          </rPr>
          <t>#Input("永炼_调度工艺台账_PIC-5101.PV14",":key{{dw}}")</t>
        </r>
      </text>
    </comment>
    <comment ref="M66" authorId="0">
      <text>
        <r>
          <rPr>
            <b/>
            <sz val="9"/>
            <color indexed="81"/>
            <rFont val="宋体"/>
            <family val="2"/>
          </rPr>
          <t>#Input("永炼_调度工艺台账_PIC-5101.PV16",":key{{dw}}")</t>
        </r>
      </text>
    </comment>
    <comment ref="N66" authorId="0">
      <text>
        <r>
          <rPr>
            <b/>
            <sz val="9"/>
            <color indexed="81"/>
            <rFont val="宋体"/>
            <family val="2"/>
          </rPr>
          <t>#Input("永炼_调度工艺台账_PIC-5101.PV18",":key{{dw}}")</t>
        </r>
      </text>
    </comment>
    <comment ref="O66" authorId="0">
      <text>
        <r>
          <rPr>
            <b/>
            <sz val="9"/>
            <color indexed="81"/>
            <rFont val="宋体"/>
            <family val="2"/>
          </rPr>
          <t>#Input("永炼_调度工艺台账_PIC-5101.PV20",":key{{dw}}")</t>
        </r>
      </text>
    </comment>
    <comment ref="P66" authorId="0">
      <text>
        <r>
          <rPr>
            <b/>
            <sz val="9"/>
            <color indexed="81"/>
            <rFont val="宋体"/>
            <family val="2"/>
          </rPr>
          <t>#Input("永炼_调度工艺台账_PIC-5101.PV22",":key{{dw}}")</t>
        </r>
      </text>
    </comment>
    <comment ref="E67" authorId="0">
      <text>
        <r>
          <rPr>
            <b/>
            <sz val="9"/>
            <color indexed="81"/>
            <rFont val="宋体"/>
            <family val="2"/>
          </rPr>
          <t>#Input("永炼_调度工艺台账_FIQ-5201.PV00",":key{{dw}}")</t>
        </r>
      </text>
    </comment>
    <comment ref="F67" authorId="0">
      <text>
        <r>
          <rPr>
            <b/>
            <sz val="9"/>
            <color indexed="81"/>
            <rFont val="宋体"/>
            <family val="2"/>
          </rPr>
          <t>#Input("永炼_调度工艺台账_FIQ-5201.PV02",":key{{dw}}")</t>
        </r>
      </text>
    </comment>
    <comment ref="G67" authorId="0">
      <text>
        <r>
          <rPr>
            <b/>
            <sz val="9"/>
            <color indexed="81"/>
            <rFont val="宋体"/>
            <family val="2"/>
          </rPr>
          <t>#Input("永炼_调度工艺台账_FIQ-5201.PV04",":key{{dw}}")</t>
        </r>
      </text>
    </comment>
    <comment ref="H67" authorId="0">
      <text>
        <r>
          <rPr>
            <b/>
            <sz val="9"/>
            <color indexed="81"/>
            <rFont val="宋体"/>
            <family val="2"/>
          </rPr>
          <t>#Input("永炼_调度工艺台账_FIQ-5201.PV06",":key{{dw}}")</t>
        </r>
      </text>
    </comment>
    <comment ref="I67" authorId="0">
      <text>
        <r>
          <rPr>
            <b/>
            <sz val="9"/>
            <color indexed="81"/>
            <rFont val="宋体"/>
            <family val="2"/>
          </rPr>
          <t>#Input("永炼_调度工艺台账_FIQ-5201.PV08",":key{{dw}}")</t>
        </r>
      </text>
    </comment>
    <comment ref="J67" authorId="0">
      <text>
        <r>
          <rPr>
            <b/>
            <sz val="9"/>
            <color indexed="81"/>
            <rFont val="宋体"/>
            <family val="2"/>
          </rPr>
          <t>#Input("永炼_调度工艺台账_FIQ-5201.PV10",":key{{dw}}")</t>
        </r>
      </text>
    </comment>
    <comment ref="K67" authorId="0">
      <text>
        <r>
          <rPr>
            <b/>
            <sz val="9"/>
            <color indexed="81"/>
            <rFont val="宋体"/>
            <family val="2"/>
          </rPr>
          <t>#Input("永炼_调度工艺台账_FIQ-5201.PV12",":key{{dw}}")</t>
        </r>
      </text>
    </comment>
    <comment ref="L67" authorId="0">
      <text>
        <r>
          <rPr>
            <b/>
            <sz val="9"/>
            <color indexed="81"/>
            <rFont val="宋体"/>
            <family val="2"/>
          </rPr>
          <t>#Input("永炼_调度工艺台账_FIQ-5201.PV14",":key{{dw}}")</t>
        </r>
      </text>
    </comment>
    <comment ref="M67" authorId="0">
      <text>
        <r>
          <rPr>
            <b/>
            <sz val="9"/>
            <color indexed="81"/>
            <rFont val="宋体"/>
            <family val="2"/>
          </rPr>
          <t>#Input("永炼_调度工艺台账_FIQ-5201.PV16",":key{{dw}}")</t>
        </r>
      </text>
    </comment>
    <comment ref="N67" authorId="0">
      <text>
        <r>
          <rPr>
            <b/>
            <sz val="9"/>
            <color indexed="81"/>
            <rFont val="宋体"/>
            <family val="2"/>
          </rPr>
          <t>#Input("永炼_调度工艺台账_FIQ-5201.PV18",":key{{dw}}")</t>
        </r>
      </text>
    </comment>
    <comment ref="O67" authorId="0">
      <text>
        <r>
          <rPr>
            <b/>
            <sz val="9"/>
            <color indexed="81"/>
            <rFont val="宋体"/>
            <family val="2"/>
          </rPr>
          <t>#Input("永炼_调度工艺台账_FIQ-5201.PV20",":key{{dw}}")</t>
        </r>
      </text>
    </comment>
    <comment ref="P67" authorId="0">
      <text>
        <r>
          <rPr>
            <b/>
            <sz val="9"/>
            <color indexed="81"/>
            <rFont val="宋体"/>
            <family val="2"/>
          </rPr>
          <t>#Input("永炼_调度工艺台账_FIQ-5201.PV22",":key{{dw}}")</t>
        </r>
      </text>
    </comment>
    <comment ref="E68" authorId="0">
      <text>
        <r>
          <rPr>
            <b/>
            <sz val="9"/>
            <color indexed="81"/>
            <rFont val="宋体"/>
            <family val="2"/>
          </rPr>
          <t>#Input("永炼_调度工艺台账_JZ.LIA5401.PV00",":key{{dw}}")</t>
        </r>
      </text>
    </comment>
    <comment ref="F68" authorId="0">
      <text>
        <r>
          <rPr>
            <b/>
            <sz val="9"/>
            <color indexed="81"/>
            <rFont val="宋体"/>
            <family val="2"/>
          </rPr>
          <t>#Input("永炼_调度工艺台账_JZ.LIA5401.PV02",":key{{dw}}")</t>
        </r>
      </text>
    </comment>
    <comment ref="G68" authorId="0">
      <text>
        <r>
          <rPr>
            <b/>
            <sz val="9"/>
            <color indexed="81"/>
            <rFont val="宋体"/>
            <family val="2"/>
          </rPr>
          <t>#Input("永炼_调度工艺台账_JZ.LIA5401.PV04",":key{{dw}}")</t>
        </r>
      </text>
    </comment>
    <comment ref="H68" authorId="0">
      <text>
        <r>
          <rPr>
            <b/>
            <sz val="9"/>
            <color indexed="81"/>
            <rFont val="宋体"/>
            <family val="2"/>
          </rPr>
          <t>#Input("永炼_调度工艺台账_JZ.LIA5401.PV06",":key{{dw}}")</t>
        </r>
      </text>
    </comment>
    <comment ref="I68" authorId="0">
      <text>
        <r>
          <rPr>
            <b/>
            <sz val="9"/>
            <color indexed="81"/>
            <rFont val="宋体"/>
            <family val="2"/>
          </rPr>
          <t>#Input("永炼_调度工艺台账_JZ.LIA5401.PV08",":key{{dw}}")</t>
        </r>
      </text>
    </comment>
    <comment ref="J68" authorId="0">
      <text>
        <r>
          <rPr>
            <b/>
            <sz val="9"/>
            <color indexed="81"/>
            <rFont val="宋体"/>
            <family val="2"/>
          </rPr>
          <t>#Input("永炼_调度工艺台账_JZ.LIA5401.PV10",":key{{dw}}")</t>
        </r>
      </text>
    </comment>
    <comment ref="K68" authorId="0">
      <text>
        <r>
          <rPr>
            <b/>
            <sz val="9"/>
            <color indexed="81"/>
            <rFont val="宋体"/>
            <family val="2"/>
          </rPr>
          <t>#Input("永炼_调度工艺台账_JZ.LIA5401.PV12",":key{{dw}}")</t>
        </r>
      </text>
    </comment>
    <comment ref="L68" authorId="0">
      <text>
        <r>
          <rPr>
            <b/>
            <sz val="9"/>
            <color indexed="81"/>
            <rFont val="宋体"/>
            <family val="2"/>
          </rPr>
          <t>#Input("永炼_调度工艺台账_JZ.LIA5401.PV14",":key{{dw}}")</t>
        </r>
      </text>
    </comment>
    <comment ref="M68" authorId="0">
      <text>
        <r>
          <rPr>
            <b/>
            <sz val="9"/>
            <color indexed="81"/>
            <rFont val="宋体"/>
            <family val="2"/>
          </rPr>
          <t>#Input("永炼_调度工艺台账_JZ.LIA5401.PV16",":key{{dw}}")</t>
        </r>
      </text>
    </comment>
    <comment ref="N68" authorId="0">
      <text>
        <r>
          <rPr>
            <b/>
            <sz val="9"/>
            <color indexed="81"/>
            <rFont val="宋体"/>
            <family val="2"/>
          </rPr>
          <t>#Input("永炼_调度工艺台账_JZ.LIA5401.PV18",":key{{dw}}")</t>
        </r>
      </text>
    </comment>
    <comment ref="O68" authorId="0">
      <text>
        <r>
          <rPr>
            <b/>
            <sz val="9"/>
            <color indexed="81"/>
            <rFont val="宋体"/>
            <family val="2"/>
          </rPr>
          <t>#Input("永炼_调度工艺台账_JZ.LIA5401.PV20",":key{{dw}}")</t>
        </r>
      </text>
    </comment>
    <comment ref="P68" authorId="0">
      <text>
        <r>
          <rPr>
            <b/>
            <sz val="9"/>
            <color indexed="81"/>
            <rFont val="宋体"/>
            <family val="2"/>
          </rPr>
          <t>#Input("永炼_调度工艺台账_JZ.LIA5401.PV22",":key{{dw}}")</t>
        </r>
      </text>
    </comment>
    <comment ref="E69" authorId="0">
      <text>
        <r>
          <rPr>
            <b/>
            <sz val="9"/>
            <color indexed="81"/>
            <rFont val="宋体"/>
            <family val="2"/>
          </rPr>
          <t>#Input("永炼_调度工艺台账_JZ.LIA5402.PV00",":key{{dw}}")</t>
        </r>
      </text>
    </comment>
    <comment ref="F69" authorId="0">
      <text>
        <r>
          <rPr>
            <b/>
            <sz val="9"/>
            <color indexed="81"/>
            <rFont val="宋体"/>
            <family val="2"/>
          </rPr>
          <t>#Input("永炼_调度工艺台账_JZ.LIA5402.PV02",":key{{dw}}")</t>
        </r>
      </text>
    </comment>
    <comment ref="G69" authorId="0">
      <text>
        <r>
          <rPr>
            <b/>
            <sz val="9"/>
            <color indexed="81"/>
            <rFont val="宋体"/>
            <family val="2"/>
          </rPr>
          <t>#Input("永炼_调度工艺台账_JZ.LIA5402.PV04",":key{{dw}}")</t>
        </r>
      </text>
    </comment>
    <comment ref="H69" authorId="0">
      <text>
        <r>
          <rPr>
            <b/>
            <sz val="9"/>
            <color indexed="81"/>
            <rFont val="宋体"/>
            <family val="2"/>
          </rPr>
          <t>#Input("永炼_调度工艺台账_JZ.LIA5402.PV06",":key{{dw}}")</t>
        </r>
      </text>
    </comment>
    <comment ref="I69" authorId="0">
      <text>
        <r>
          <rPr>
            <b/>
            <sz val="9"/>
            <color indexed="81"/>
            <rFont val="宋体"/>
            <family val="2"/>
          </rPr>
          <t>#Input("永炼_调度工艺台账_JZ.LIA5402.PV08",":key{{dw}}")</t>
        </r>
      </text>
    </comment>
    <comment ref="J69" authorId="0">
      <text>
        <r>
          <rPr>
            <b/>
            <sz val="9"/>
            <color indexed="81"/>
            <rFont val="宋体"/>
            <family val="2"/>
          </rPr>
          <t>#Input("永炼_调度工艺台账_JZ.LIA5402.PV10",":key{{dw}}")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#Input("永炼_调度工艺台账_JZ.LIA5402.PV12",":key{{dw}}")</t>
        </r>
      </text>
    </comment>
    <comment ref="L69" authorId="0">
      <text>
        <r>
          <rPr>
            <b/>
            <sz val="9"/>
            <color indexed="81"/>
            <rFont val="宋体"/>
            <family val="2"/>
          </rPr>
          <t>#Input("永炼_调度工艺台账_JZ.LIA5402.PV14",":key{{dw}}")</t>
        </r>
      </text>
    </comment>
    <comment ref="M69" authorId="0">
      <text>
        <r>
          <rPr>
            <b/>
            <sz val="9"/>
            <color indexed="81"/>
            <rFont val="宋体"/>
            <family val="2"/>
          </rPr>
          <t>#Input("永炼_调度工艺台账_JZ.LIA5402.PV16",":key{{dw}}")</t>
        </r>
      </text>
    </comment>
    <comment ref="N69" authorId="0">
      <text>
        <r>
          <rPr>
            <b/>
            <sz val="9"/>
            <color indexed="81"/>
            <rFont val="宋体"/>
            <family val="2"/>
          </rPr>
          <t>#Input("永炼_调度工艺台账_JZ.LIA5402.PV18",":key{{dw}}")</t>
        </r>
      </text>
    </comment>
    <comment ref="O69" authorId="0">
      <text>
        <r>
          <rPr>
            <b/>
            <sz val="9"/>
            <color indexed="81"/>
            <rFont val="宋体"/>
            <family val="2"/>
          </rPr>
          <t>#Input("永炼_调度工艺台账_JZ.LIA5402.PV20",":key{{dw}}")</t>
        </r>
      </text>
    </comment>
    <comment ref="P69" authorId="0">
      <text>
        <r>
          <rPr>
            <b/>
            <sz val="9"/>
            <color indexed="81"/>
            <rFont val="宋体"/>
            <family val="2"/>
          </rPr>
          <t>#Input("永炼_调度工艺台账_JZ.LIA5402.PV22",":key{{dw}}")</t>
        </r>
      </text>
    </comment>
    <comment ref="C70" authorId="0">
      <text>
        <r>
          <rPr>
            <sz val="9"/>
            <color indexed="81"/>
            <rFont val="Arial"/>
            <family val="2"/>
          </rPr>
          <t xml:space="preserve">#Input("永炼_调度工艺台账_审核人",":key{{dw}}")
</t>
        </r>
      </text>
    </comment>
    <comment ref="O70" authorId="0">
      <text>
        <r>
          <rPr>
            <sz val="9"/>
            <color indexed="81"/>
            <rFont val="Arial"/>
            <family val="2"/>
          </rPr>
          <t xml:space="preserve">#Input("永炼_调度工艺台账_填报人",":key{{dw}}")
</t>
        </r>
      </text>
    </comment>
  </commentList>
</comments>
</file>

<file path=xl/sharedStrings.xml><?xml version="1.0" encoding="utf-8"?>
<sst xmlns="http://schemas.openxmlformats.org/spreadsheetml/2006/main" count="297" uniqueCount="209">
  <si>
    <t>调    度    工    艺    台    账</t>
  </si>
  <si>
    <t>填报单位：</t>
  </si>
  <si>
    <t>永坪炼油厂</t>
  </si>
  <si>
    <t>统计日期：</t>
  </si>
  <si>
    <t>2026-01-06</t>
  </si>
  <si>
    <t>装置</t>
  </si>
  <si>
    <t>参数</t>
  </si>
  <si>
    <t>DCS位号</t>
  </si>
  <si>
    <t>210万吨/年常压装置</t>
  </si>
  <si>
    <t>加热炉出口温度</t>
  </si>
  <si>
    <t>TIC1010</t>
  </si>
  <si>
    <t>原油瞬时流量</t>
  </si>
  <si>
    <t>FIQ1024</t>
  </si>
  <si>
    <t>250万吨/年常压装置</t>
  </si>
  <si>
    <t>TRCA21123</t>
  </si>
  <si>
    <t>FRQ21101</t>
  </si>
  <si>
    <t>120万吨/年催化装置</t>
  </si>
  <si>
    <t>进料量</t>
  </si>
  <si>
    <t>FRC11201A</t>
  </si>
  <si>
    <t>FRC11201B</t>
  </si>
  <si>
    <t>反应温度</t>
  </si>
  <si>
    <t>TRCA11101</t>
  </si>
  <si>
    <t>床层温度</t>
  </si>
  <si>
    <t>TRCA11102</t>
  </si>
  <si>
    <t>外取热产汽量</t>
  </si>
  <si>
    <t>FR11802</t>
  </si>
  <si>
    <t>3.2MPa蒸汽压力</t>
  </si>
  <si>
    <t>PIC11804A</t>
  </si>
  <si>
    <t>1.0MPa蒸汽压力</t>
  </si>
  <si>
    <t>PI11804B</t>
  </si>
  <si>
    <t>1.0MPa蒸汽放空开度</t>
  </si>
  <si>
    <t>PIC11909</t>
  </si>
  <si>
    <t>中压锅炉负荷</t>
  </si>
  <si>
    <t>VH3101ABC</t>
  </si>
  <si>
    <t>中压锅炉产汽量</t>
  </si>
  <si>
    <t>FRCQ11641</t>
  </si>
  <si>
    <t>15万吨/年重整装置</t>
  </si>
  <si>
    <t>原料量</t>
  </si>
  <si>
    <t>FIQ7509B</t>
  </si>
  <si>
    <t>重整反应进料量</t>
  </si>
  <si>
    <t>FRCQ7601</t>
  </si>
  <si>
    <t>预加氢反应温度</t>
  </si>
  <si>
    <t>TI7524</t>
  </si>
  <si>
    <t>预加氢压差</t>
  </si>
  <si>
    <t>PDR7509</t>
  </si>
  <si>
    <t>重整一反温度</t>
  </si>
  <si>
    <t>TRC7601</t>
  </si>
  <si>
    <t>重整三反温度</t>
  </si>
  <si>
    <t>TRC7603</t>
  </si>
  <si>
    <t>一段氢气流量</t>
  </si>
  <si>
    <t>FRA7610</t>
  </si>
  <si>
    <t>二段氢气流量</t>
  </si>
  <si>
    <t>FRA7616</t>
  </si>
  <si>
    <t>重整汽油产量</t>
  </si>
  <si>
    <t>FIQ7615B</t>
  </si>
  <si>
    <t>20万吨/年航煤装置</t>
  </si>
  <si>
    <t>航煤反应进料量</t>
  </si>
  <si>
    <t>FRC7101A</t>
  </si>
  <si>
    <t>TIC7101</t>
  </si>
  <si>
    <t>高分压力</t>
  </si>
  <si>
    <t>PRC7103</t>
  </si>
  <si>
    <t>汽提塔顶温</t>
  </si>
  <si>
    <t>TIC7201</t>
  </si>
  <si>
    <t>汽提塔底温</t>
  </si>
  <si>
    <t>TR7205</t>
  </si>
  <si>
    <t>精制航煤产量</t>
  </si>
  <si>
    <t>FIQ7204B</t>
  </si>
  <si>
    <t>2万标立/时制氢装置</t>
  </si>
  <si>
    <t>催化干气进料</t>
  </si>
  <si>
    <t>2FIQ10101</t>
  </si>
  <si>
    <t>天然气进料</t>
  </si>
  <si>
    <t>2FIQ21002</t>
  </si>
  <si>
    <t>加氢反应温度</t>
  </si>
  <si>
    <t>2TIA10401D</t>
  </si>
  <si>
    <t>转化进料量</t>
  </si>
  <si>
    <t>2FICQ10501</t>
  </si>
  <si>
    <t>配汽量</t>
  </si>
  <si>
    <t>2FICQ10502</t>
  </si>
  <si>
    <t>转化进口温度</t>
  </si>
  <si>
    <t>2TI10602</t>
  </si>
  <si>
    <t>转化出口温度</t>
  </si>
  <si>
    <t>2TICA10604</t>
  </si>
  <si>
    <t>转化炉压差</t>
  </si>
  <si>
    <t>2PDI10607</t>
  </si>
  <si>
    <t>中变床层温度</t>
  </si>
  <si>
    <t>2TIA10802C</t>
  </si>
  <si>
    <t>产氢量</t>
  </si>
  <si>
    <t>2FIQ20102</t>
  </si>
  <si>
    <t>140万吨/年柴油加氢装置</t>
  </si>
  <si>
    <t>催化柴油原料</t>
  </si>
  <si>
    <t>1FIQ10104</t>
  </si>
  <si>
    <t>反应进料</t>
  </si>
  <si>
    <t>1FIC10302</t>
  </si>
  <si>
    <t>反应进口温度</t>
  </si>
  <si>
    <t>1TIA10501</t>
  </si>
  <si>
    <t>反应出口温度</t>
  </si>
  <si>
    <t>1TI10521</t>
  </si>
  <si>
    <t>冷高分V1105压力</t>
  </si>
  <si>
    <t>1PIC11001A</t>
  </si>
  <si>
    <t>新氢压力</t>
  </si>
  <si>
    <t>1PI11501</t>
  </si>
  <si>
    <t>制氢氢气量</t>
  </si>
  <si>
    <t>FIQ11501</t>
  </si>
  <si>
    <t>重整氢气量</t>
  </si>
  <si>
    <t>1FIQ11701</t>
  </si>
  <si>
    <t>循环氢量</t>
  </si>
  <si>
    <t>1FT11402</t>
  </si>
  <si>
    <t>分馏塔顶温</t>
  </si>
  <si>
    <t>1TIC20302</t>
  </si>
  <si>
    <t>分馏塔底温</t>
  </si>
  <si>
    <t>1TI20303</t>
  </si>
  <si>
    <t>精制柴油产量</t>
  </si>
  <si>
    <t>1FIQ20702</t>
  </si>
  <si>
    <t>90万吨/年汽油精制装置</t>
  </si>
  <si>
    <t>催化汽油进料</t>
  </si>
  <si>
    <t>FIC-1003</t>
  </si>
  <si>
    <t>反应进料量</t>
  </si>
  <si>
    <t>FI-1103</t>
  </si>
  <si>
    <t>FIC-1102</t>
  </si>
  <si>
    <t>TI-2003</t>
  </si>
  <si>
    <t>反应压力</t>
  </si>
  <si>
    <t>PI-2101</t>
  </si>
  <si>
    <t>反吹氢压力</t>
  </si>
  <si>
    <t>PI-2106</t>
  </si>
  <si>
    <t>反吹氢温度</t>
  </si>
  <si>
    <t>TIC2101</t>
  </si>
  <si>
    <t>再生温度</t>
  </si>
  <si>
    <t>TIC-2607</t>
  </si>
  <si>
    <t>稳定塔顶温</t>
  </si>
  <si>
    <t>TI-5004</t>
  </si>
  <si>
    <t>稳定塔底温</t>
  </si>
  <si>
    <t>TI-5006</t>
  </si>
  <si>
    <t>稳定塔压力</t>
  </si>
  <si>
    <t>PIC-5101</t>
  </si>
  <si>
    <t>精制汽油产量</t>
  </si>
  <si>
    <t>FIQ-5201</t>
  </si>
  <si>
    <t>污水处理车间</t>
  </si>
  <si>
    <t>万方水罐液位</t>
  </si>
  <si>
    <t>JZ.LIA5401.PV</t>
  </si>
  <si>
    <t>JZ.LIA5402.PV</t>
  </si>
  <si>
    <t>审核人：</t>
  </si>
  <si>
    <t>填报人：</t>
  </si>
  <si>
    <t>报表生成时间：</t>
  </si>
  <si>
    <t>2026-01-07</t>
  </si>
  <si>
    <t xml:space="preserve"> 8:00:00</t>
  </si>
  <si>
    <t>CY1.TIC1010.PV</t>
  </si>
  <si>
    <t>CY1.FIQ1024.PV</t>
  </si>
  <si>
    <t>CY2.TRCA21123.PV</t>
  </si>
  <si>
    <t>CY2.FRQ21101.PV</t>
  </si>
  <si>
    <t>CH2.FRC11201A.PV</t>
  </si>
  <si>
    <t>CH2.FRC11201B.PV</t>
  </si>
  <si>
    <t>CH2.TRCA11101.PV</t>
  </si>
  <si>
    <t>CH2.TRCA11102.PV</t>
  </si>
  <si>
    <t>CH2.FR11802.PV</t>
  </si>
  <si>
    <t>CH2.PIC11804A.PV</t>
  </si>
  <si>
    <t>CH2.PI11804B.PV</t>
  </si>
  <si>
    <t>CH2.PIC11909.MV</t>
  </si>
  <si>
    <t>CH2.VH3101ABCD.PV</t>
  </si>
  <si>
    <t>CH2.FRCQ11641.PV</t>
  </si>
  <si>
    <t>CZ.FIQ7509B.PV</t>
  </si>
  <si>
    <t>YPCZ.FRCQ7601.PV</t>
  </si>
  <si>
    <t>YPCZ.TI7524.PV</t>
  </si>
  <si>
    <t>YPCZ.PDR7509.PV</t>
  </si>
  <si>
    <t>YPCZ.TRC7601.PV</t>
  </si>
  <si>
    <t>YPCZ.TRC7603.PV</t>
  </si>
  <si>
    <t>YPCZ.FRA7610.PV</t>
  </si>
  <si>
    <t>YPCZ.FRA7616.PV</t>
  </si>
  <si>
    <t>CZ.FIQ7615B.PV</t>
  </si>
  <si>
    <t>YPCZ.FRC7101A.PV</t>
  </si>
  <si>
    <t>YPCZ.TIC7101.PV</t>
  </si>
  <si>
    <t>YPCZ.PRC7103.PV</t>
  </si>
  <si>
    <t>YPCZ.TIC7201.PV</t>
  </si>
  <si>
    <t>YPCZ.TR7205.PV</t>
  </si>
  <si>
    <t>CZ.FIQ7204B.PV</t>
  </si>
  <si>
    <t>2FIQ10101.PV</t>
  </si>
  <si>
    <t>2FIQ21002.PV</t>
  </si>
  <si>
    <t>2TIA10401D.PV</t>
  </si>
  <si>
    <t>2FICQ10501.PV</t>
  </si>
  <si>
    <t>2FICQ10502.PV</t>
  </si>
  <si>
    <t>2TI10602.PV</t>
  </si>
  <si>
    <t>2TICA10604.PV</t>
  </si>
  <si>
    <t>2PDI10607.PV</t>
  </si>
  <si>
    <t>2TIA10802C.PV</t>
  </si>
  <si>
    <t>2FIQ20102.PV</t>
  </si>
  <si>
    <t>1FIQ10104.PV</t>
  </si>
  <si>
    <t>1FICS10302.PV</t>
  </si>
  <si>
    <t>1TIA10501.PV</t>
  </si>
  <si>
    <t>1TI10521.PV</t>
  </si>
  <si>
    <t>1PIC11001A.PV</t>
  </si>
  <si>
    <t>1PI11501.PV</t>
  </si>
  <si>
    <t>FIQ11501.PV</t>
  </si>
  <si>
    <t>1FI11701.PV</t>
  </si>
  <si>
    <t>1FI11402.PV</t>
  </si>
  <si>
    <t>1TIC20302.PV</t>
  </si>
  <si>
    <t>1TI20303.PV</t>
  </si>
  <si>
    <t>1FIQ20702.PV</t>
  </si>
  <si>
    <t>FIC-1003.MV</t>
  </si>
  <si>
    <t>FI-1103.PV</t>
  </si>
  <si>
    <t>FIC-1102.PV</t>
  </si>
  <si>
    <t>TI-2003.PV</t>
  </si>
  <si>
    <t>PI-2101.PV</t>
  </si>
  <si>
    <t>PI-2106.PV</t>
  </si>
  <si>
    <t>TIC-2101.PV</t>
  </si>
  <si>
    <t>TIC-2607.PV</t>
  </si>
  <si>
    <t>TI-5004.PV</t>
  </si>
  <si>
    <t>TI-5006.PV</t>
  </si>
  <si>
    <t>PIC-5101.PV</t>
  </si>
  <si>
    <t>FIQ-5201.PV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</si>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</sst>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yyyy&quot;年&quot;m&quot;月&quot;d&quot;日&quot;;@"/>
    <numFmt numFmtId="172" formatCode="0.000;[Red]0.000"/>
    <numFmt numFmtId="173" formatCode="0;[Red]0"/>
    <numFmt numFmtId="174" formatCode="0_ "/>
    <numFmt numFmtId="175" formatCode="0.00_ "/>
    <numFmt numFmtId="176" formatCode="#"/>
  </numFmts>
  <fonts count="2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auto="1"/>
      <name val="等线"/>
    </font>
    <font>
      <sz val="16"/>
      <color theme="1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77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0" applyFont="1"/>
    <xf numFmtId="0" fontId="19" fillId="0" borderId="0" xfId="0" applyFont="1">
      <alignment vertical="center"/>
    </xf>
    <xf numFmtId="171" fontId="19" fillId="0" borderId="0" xfId="0" applyFont="1" applyNumberFormat="1">
      <alignment vertical="center"/>
    </xf>
    <xf numFmtId="0" fontId="0" fillId="0" borderId="0" xfId="0" applyFont="1">
      <alignment horizontal="center" vertical="center"/>
    </xf>
    <xf numFmtId="0" fontId="0" fillId="0" borderId="0" xfId="0" applyFont="1">
      <alignment horizontal="center" vertical="center"/>
    </xf>
    <xf numFmtId="172" fontId="17" fillId="0" borderId="0" xfId="0" applyFont="1" applyNumberFormat="1">
      <alignment horizontal="center" vertical="center"/>
    </xf>
    <xf numFmtId="173" fontId="0" fillId="0" borderId="0" xfId="0" applyFont="1" applyNumberFormat="1">
      <alignment horizontal="center" vertical="center"/>
    </xf>
    <xf numFmtId="174" fontId="0" fillId="0" borderId="0" xfId="0" applyFont="1" applyNumberFormat="1">
      <alignment horizontal="center" vertical="center"/>
    </xf>
    <xf numFmtId="0" fontId="18" fillId="0" borderId="0" xfId="0" applyFont="1"/>
    <xf numFmtId="0" fontId="19" fillId="0" borderId="0" xfId="0" applyFont="1">
      <alignment horizontal="right" vertical="center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/>
    </xf>
    <xf numFmtId="0" fontId="18" fillId="0" borderId="0" xfId="0" applyFont="1">
      <alignment horizontal="right"/>
    </xf>
    <xf numFmtId="0" fontId="0" fillId="0" borderId="0" xfId="0" applyFont="1">
      <alignment horizontal="left" vertical="center"/>
    </xf>
    <xf numFmtId="175" fontId="18" fillId="0" borderId="10" xfId="0" applyFont="1" applyBorder="1" applyNumberFormat="1">
      <alignment horizontal="center" vertical="center"/>
    </xf>
    <xf numFmtId="176" fontId="18" fillId="0" borderId="11" xfId="0" applyFont="1" applyBorder="1" applyNumberFormat="1">
      <alignment horizontal="left" vertical="center" wrapText="1"/>
    </xf>
    <xf numFmtId="176" fontId="18" fillId="0" borderId="11" xfId="0" applyFont="1" applyBorder="1" applyNumberFormat="1">
      <alignment vertical="center" wrapText="1"/>
    </xf>
    <xf numFmtId="173" fontId="18" fillId="0" borderId="11" xfId="0" applyFont="1" applyBorder="1" applyNumberFormat="1">
      <alignment horizontal="right" vertical="center" wrapText="1"/>
    </xf>
    <xf numFmtId="176" fontId="18" fillId="0" borderId="11" xfId="0" applyFont="1" applyBorder="1" applyNumberFormat="1">
      <alignment horizontal="left" vertical="center" wrapText="1"/>
    </xf>
    <xf numFmtId="0" fontId="20" fillId="0" borderId="0" xfId="0" applyFont="1">
      <alignment horizontal="center"/>
    </xf>
    <xf numFmtId="0" fontId="18" fillId="0" borderId="12" xfId="0" applyFont="1" applyBorder="1">
      <alignment horizontal="center" vertical="center" wrapText="1"/>
    </xf>
    <xf numFmtId="0" fontId="18" fillId="0" borderId="13" xfId="0" applyFont="1" applyBorder="1">
      <alignment horizontal="center" vertical="center" wrapText="1"/>
    </xf>
    <xf numFmtId="171" fontId="19" fillId="0" borderId="14" xfId="0" applyFont="1" applyBorder="1" applyNumberFormat="1">
      <alignment horizontal="left" vertical="center"/>
    </xf>
    <xf numFmtId="171" fontId="19" fillId="0" borderId="14" xfId="0" applyFont="1" applyBorder="1" applyNumberFormat="1">
      <alignment horizontal="center" vertical="center"/>
    </xf>
    <xf numFmtId="0" fontId="18" fillId="0" borderId="10" xfId="0" applyFont="1" applyBorder="1">
      <alignment horizontal="center" vertical="center" wrapText="1"/>
    </xf>
    <xf numFmtId="0" fontId="19" fillId="0" borderId="0" xfId="0" applyFont="1">
      <alignment horizontal="right" vertical="center"/>
    </xf>
    <xf numFmtId="0" fontId="18" fillId="0" borderId="0" xfId="0" applyFont="1">
      <alignment wrapText="1"/>
    </xf>
    <xf numFmtId="0" fontId="20" fillId="0" borderId="0" xfId="0" applyFont="1">
      <alignment horizontal="center" wrapText="1"/>
    </xf>
    <xf numFmtId="0" fontId="0" fillId="0" borderId="0" xfId="0" applyFont="1"/>
    <xf numFmtId="0" fontId="18" fillId="0" borderId="0" xfId="0" applyFont="1">
      <alignment wrapText="1"/>
    </xf>
    <xf numFmtId="0" fontId="19" fillId="0" borderId="0" xfId="0" applyFont="1">
      <alignment horizontal="right" vertical="center" wrapText="1"/>
    </xf>
    <xf numFmtId="0" fontId="19" fillId="0" borderId="0" xfId="0" applyFont="1">
      <alignment vertical="center" wrapText="1"/>
    </xf>
    <xf numFmtId="0" fontId="19" fillId="0" borderId="0" xfId="0" applyFont="1">
      <alignment horizontal="right" vertical="center" wrapText="1"/>
    </xf>
    <xf numFmtId="171" fontId="19" fillId="0" borderId="14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171" fontId="19" fillId="0" borderId="0" xfId="0" applyFont="1" applyNumberFormat="1">
      <alignment vertical="center" wrapText="1"/>
    </xf>
    <xf numFmtId="171" fontId="19" fillId="0" borderId="14" xfId="0" applyFont="1" applyBorder="1" applyNumberFormat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wrapText="1"/>
    </xf>
    <xf numFmtId="0" fontId="18" fillId="0" borderId="10" xfId="0" applyFont="1" applyBorder="1">
      <alignment horizontal="center" vertical="center" wrapText="1"/>
    </xf>
    <xf numFmtId="175" fontId="18" fillId="0" borderId="10" xfId="0" applyFont="1" applyBorder="1" applyNumberFormat="1">
      <alignment horizontal="center" vertical="center" wrapText="1"/>
      <protection locked="0"/>
    </xf>
    <xf numFmtId="0" fontId="18" fillId="0" borderId="0" xfId="0" applyFont="1">
      <alignment wrapText="1"/>
    </xf>
    <xf numFmtId="0" fontId="18" fillId="0" borderId="12" xfId="0" applyFont="1" applyBorder="1">
      <alignment horizontal="center" vertical="center" wrapText="1"/>
    </xf>
    <xf numFmtId="0" fontId="18" fillId="0" borderId="13" xfId="0" applyFont="1" applyBorder="1">
      <alignment horizontal="center" vertical="center" wrapText="1"/>
    </xf>
    <xf numFmtId="0" fontId="18" fillId="0" borderId="0" xfId="0" applyFont="1">
      <alignment horizontal="right" wrapText="1"/>
    </xf>
    <xf numFmtId="176" fontId="18" fillId="0" borderId="11" xfId="0" applyFont="1" applyBorder="1" applyNumberFormat="1">
      <alignment horizontal="left" vertical="center" wrapText="1"/>
      <protection locked="0"/>
    </xf>
    <xf numFmtId="176" fontId="18" fillId="0" borderId="11" xfId="0" applyFont="1" applyBorder="1" applyNumberFormat="1">
      <alignment vertical="center" wrapText="1"/>
    </xf>
    <xf numFmtId="173" fontId="18" fillId="0" borderId="11" xfId="0" applyFont="1" applyBorder="1" applyNumberFormat="1">
      <alignment horizontal="right" vertical="center" wrapText="1"/>
    </xf>
    <xf numFmtId="176" fontId="18" fillId="0" borderId="11" xfId="0" applyFont="1" applyBorder="1" applyNumberFormat="1">
      <alignment horizontal="left" vertical="center" wrapText="1"/>
      <protection locked="0"/>
    </xf>
    <xf numFmtId="176" fontId="18" fillId="0" borderId="11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horizontal="center" vertical="center" wrapText="1"/>
    </xf>
    <xf numFmtId="0" fontId="0" fillId="0" borderId="0" xfId="0" applyFont="1">
      <alignment horizontal="left" vertical="center" wrapText="1"/>
    </xf>
    <xf numFmtId="174" fontId="0" fillId="0" borderId="0" xfId="0" applyFont="1" applyNumberFormat="1">
      <alignment horizontal="center" vertical="center" wrapText="1"/>
    </xf>
    <xf numFmtId="0" fontId="0" fillId="0" borderId="0" xfId="0" applyFont="1">
      <alignment horizontal="center" vertical="center" wrapText="1"/>
    </xf>
    <xf numFmtId="172" fontId="17" fillId="0" borderId="0" xfId="0" applyFont="1" applyNumberFormat="1">
      <alignment horizontal="center" vertical="center" wrapText="1"/>
    </xf>
    <xf numFmtId="173" fontId="0" fillId="0" borderId="0" xfId="0" applyFont="1" applyNumberFormat="1">
      <alignment horizontal="center" vertical="center"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71F3288-4B76-B948-F789-235CFC580C38}" mc:Ignorable="x14ac xr xr2 xr3">
  <sheetPr>
    <pageSetUpPr fitToPage="1"/>
  </sheetPr>
  <dimension ref="A1:V74"/>
  <sheetViews>
    <sheetView topLeftCell="A1" showGridLines="0" workbookViewId="0" tabSelected="1">
      <pane xSplit="4" topLeftCell="E1" activePane="topRight" state="frozen"/>
      <selection pane="topRight" activeCell="A1" sqref="A1"/>
    </sheetView>
  </sheetViews>
  <sheetFormatPr customHeight="1" defaultRowHeight="14.25"/>
  <cols>
    <col min="1" max="1" style="55" width="0.57421875" customWidth="1"/>
    <col min="2" max="2" style="55" width="23.421875" customWidth="1"/>
    <col min="3" max="3" style="55" width="22.421875" customWidth="1"/>
    <col min="4" max="4" style="55" width="14.140625" customWidth="1"/>
    <col min="5" max="16" style="55" width="12.57421875" customWidth="1"/>
    <col min="17" max="19" style="55" width="10.57421875" customWidth="1"/>
    <col min="20" max="22" style="55" width="9.00390625" customWidth="1"/>
  </cols>
  <sheetData>
    <row customHeight="1" ht="2.25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customHeight="1" ht="20.25">
      <c r="A2" s="73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3"/>
      <c r="R2" s="73"/>
      <c r="S2" s="73"/>
      <c r="T2" s="73"/>
      <c r="U2" s="73"/>
      <c r="V2" s="73"/>
    </row>
    <row s="75" customFormat="1" customHeight="1" ht="14.25">
      <c r="A3" s="76"/>
      <c r="B3" s="77" t="s">
        <v>1</v>
      </c>
      <c r="C3" s="78" t="s">
        <v>2</v>
      </c>
      <c r="D3" s="79" t="s">
        <v>3</v>
      </c>
      <c r="E3" s="79"/>
      <c r="F3" s="80" t="s">
        <v>4</v>
      </c>
      <c r="G3" s="80"/>
      <c r="H3" s="81"/>
      <c r="I3" s="81"/>
      <c r="J3" s="82"/>
      <c r="K3" s="82"/>
      <c r="L3" s="83" t="str">
        <f>取值!N1&amp;取值!O1&amp;取值!P1</f>
        <v>报表生成时间：2026-01-07 8:00:00</v>
      </c>
      <c r="M3" s="83"/>
      <c r="N3" s="83"/>
      <c r="O3" s="83"/>
      <c r="P3" s="82"/>
      <c r="Q3" s="82"/>
      <c r="R3" s="76"/>
      <c r="S3" s="76"/>
      <c r="T3" s="76"/>
      <c r="U3" s="76"/>
      <c r="V3" s="76"/>
    </row>
    <row customHeight="1" ht="14.25">
      <c r="A4" s="73"/>
      <c r="B4" s="57" t="s">
        <v>5</v>
      </c>
      <c r="C4" s="57" t="s">
        <v>6</v>
      </c>
      <c r="D4" s="57" t="s">
        <v>7</v>
      </c>
      <c r="E4" s="85">
        <v>0</v>
      </c>
      <c r="F4" s="85">
        <v>2</v>
      </c>
      <c r="G4" s="85">
        <v>4</v>
      </c>
      <c r="H4" s="85">
        <v>6</v>
      </c>
      <c r="I4" s="85">
        <v>8</v>
      </c>
      <c r="J4" s="85">
        <v>10</v>
      </c>
      <c r="K4" s="85">
        <v>12</v>
      </c>
      <c r="L4" s="85">
        <v>14</v>
      </c>
      <c r="M4" s="85">
        <v>16</v>
      </c>
      <c r="N4" s="85">
        <v>18</v>
      </c>
      <c r="O4" s="85">
        <v>20</v>
      </c>
      <c r="P4" s="85">
        <v>22</v>
      </c>
      <c r="Q4" s="73"/>
      <c r="R4" s="73"/>
      <c r="S4" s="73"/>
      <c r="T4" s="73"/>
      <c r="U4" s="73"/>
      <c r="V4" s="73"/>
    </row>
    <row customHeight="1" ht="14.25">
      <c r="A5" s="73"/>
      <c r="B5" s="71" t="s">
        <v>8</v>
      </c>
      <c r="C5" s="57" t="s">
        <v>9</v>
      </c>
      <c r="D5" s="57" t="s">
        <v>10</v>
      </c>
      <c r="E5" s="87">
        <f>_xlfn.IFERROR(SUM(取值!E5),"")</f>
        <v>367.3615</v>
      </c>
      <c r="F5" s="87">
        <f>_xlfn.IFERROR(SUM(取值!F5),"")</f>
        <v>367.3615</v>
      </c>
      <c r="G5" s="87">
        <f>_xlfn.IFERROR(SUM(取值!G5),"")</f>
        <v>367.3615</v>
      </c>
      <c r="H5" s="87">
        <f>_xlfn.IFERROR(SUM(取值!H5),"")</f>
        <v>367.3615</v>
      </c>
      <c r="I5" s="87">
        <f>_xlfn.IFERROR(SUM(取值!I5),"")</f>
        <v>367.3615</v>
      </c>
      <c r="J5" s="87">
        <f>_xlfn.IFERROR(SUM(取值!J5),"")</f>
        <v>367.3615</v>
      </c>
      <c r="K5" s="87">
        <f>_xlfn.IFERROR(SUM(取值!K5),"")</f>
        <v>367.3615</v>
      </c>
      <c r="L5" s="87">
        <f>_xlfn.IFERROR(SUM(取值!L5),"")</f>
        <v>367.3615</v>
      </c>
      <c r="M5" s="87">
        <f>_xlfn.IFERROR(SUM(取值!M5),"")</f>
        <v>366.4898</v>
      </c>
      <c r="N5" s="87">
        <f>_xlfn.IFERROR(SUM(取值!N5),"")</f>
        <v>364.6256</v>
      </c>
      <c r="O5" s="87">
        <f>_xlfn.IFERROR(SUM(取值!O5),"")</f>
        <v>364.6256</v>
      </c>
      <c r="P5" s="87">
        <f>_xlfn.IFERROR(SUM(取值!P5),"")</f>
        <v>364.6256</v>
      </c>
      <c r="Q5" s="73"/>
      <c r="R5" s="73"/>
      <c r="S5" s="73"/>
      <c r="T5" s="73"/>
      <c r="U5" s="73"/>
      <c r="V5" s="73"/>
    </row>
    <row customHeight="1" ht="14.25">
      <c r="A6" s="73"/>
      <c r="B6" s="71"/>
      <c r="C6" s="57" t="s">
        <v>11</v>
      </c>
      <c r="D6" s="57" t="s">
        <v>12</v>
      </c>
      <c r="E6" s="87">
        <f>_xlfn.IFERROR(SUM(取值!E6),"")</f>
        <v>170.3692</v>
      </c>
      <c r="F6" s="87">
        <f>_xlfn.IFERROR(SUM(取值!F6),"")</f>
        <v>170.3692</v>
      </c>
      <c r="G6" s="87">
        <f>_xlfn.IFERROR(SUM(取值!G6),"")</f>
        <v>170.3692</v>
      </c>
      <c r="H6" s="87">
        <f>_xlfn.IFERROR(SUM(取值!H6),"")</f>
        <v>170.3692</v>
      </c>
      <c r="I6" s="87">
        <f>_xlfn.IFERROR(SUM(取值!I6),"")</f>
        <v>170.3692</v>
      </c>
      <c r="J6" s="87">
        <f>_xlfn.IFERROR(SUM(取值!J6),"")</f>
        <v>170.3692</v>
      </c>
      <c r="K6" s="87">
        <f>_xlfn.IFERROR(SUM(取值!K6),"")</f>
        <v>170.3692</v>
      </c>
      <c r="L6" s="87">
        <f>_xlfn.IFERROR(SUM(取值!L6),"")</f>
        <v>170.3692</v>
      </c>
      <c r="M6" s="87">
        <f>_xlfn.IFERROR(SUM(取值!M6),"")</f>
        <v>173.028</v>
      </c>
      <c r="N6" s="87">
        <f>_xlfn.IFERROR(SUM(取值!N6),"")</f>
        <v>175.9752</v>
      </c>
      <c r="O6" s="87">
        <f>_xlfn.IFERROR(SUM(取值!O6),"")</f>
        <v>175.9752</v>
      </c>
      <c r="P6" s="87">
        <f>_xlfn.IFERROR(SUM(取值!P6),"")</f>
        <v>175.9752</v>
      </c>
      <c r="Q6" s="73"/>
      <c r="R6" s="73"/>
      <c r="S6" s="73"/>
      <c r="T6" s="73"/>
      <c r="U6" s="73"/>
      <c r="V6" s="73"/>
    </row>
    <row customHeight="1" ht="14.25">
      <c r="A7" s="73"/>
      <c r="B7" s="71" t="s">
        <v>13</v>
      </c>
      <c r="C7" s="57" t="s">
        <v>9</v>
      </c>
      <c r="D7" s="57" t="s">
        <v>14</v>
      </c>
      <c r="E7" s="87">
        <f>_xlfn.IFERROR(SUM(取值!E7),"")</f>
        <v>362.366</v>
      </c>
      <c r="F7" s="87">
        <f>_xlfn.IFERROR(SUM(取值!F7),"")</f>
        <v>365.0036</v>
      </c>
      <c r="G7" s="87">
        <f>_xlfn.IFERROR(SUM(取值!G7),"")</f>
        <v>364.0148</v>
      </c>
      <c r="H7" s="87">
        <f>_xlfn.IFERROR(SUM(取值!H7),"")</f>
        <v>364.0032</v>
      </c>
      <c r="I7" s="87">
        <f>_xlfn.IFERROR(SUM(取值!I7),"")</f>
        <v>363.8995</v>
      </c>
      <c r="J7" s="87">
        <f>_xlfn.IFERROR(SUM(取值!J7),"")</f>
        <v>356.3947</v>
      </c>
      <c r="K7" s="87">
        <f>_xlfn.IFERROR(SUM(取值!K7),"")</f>
        <v>355.3049</v>
      </c>
      <c r="L7" s="87">
        <f>_xlfn.IFERROR(SUM(取值!L7),"")</f>
        <v>364.0594</v>
      </c>
      <c r="M7" s="87">
        <f>_xlfn.IFERROR(SUM(取值!M7),"")</f>
        <v>363.9439</v>
      </c>
      <c r="N7" s="87">
        <f>_xlfn.IFERROR(SUM(取值!N7),"")</f>
        <v>363.6012</v>
      </c>
      <c r="O7" s="87">
        <f>_xlfn.IFERROR(SUM(取值!O7),"")</f>
        <v>363.0798</v>
      </c>
      <c r="P7" s="87">
        <f>_xlfn.IFERROR(SUM(取值!P7),"")</f>
        <v>363.7659</v>
      </c>
      <c r="Q7" s="73"/>
      <c r="R7" s="88"/>
      <c r="S7" s="73"/>
      <c r="T7" s="73"/>
      <c r="U7" s="73"/>
      <c r="V7" s="73"/>
    </row>
    <row customHeight="1" ht="14.25">
      <c r="A8" s="73"/>
      <c r="B8" s="71"/>
      <c r="C8" s="57" t="s">
        <v>11</v>
      </c>
      <c r="D8" s="57" t="s">
        <v>15</v>
      </c>
      <c r="E8" s="87">
        <f>_xlfn.IFERROR(SUM(取值!E8),"")</f>
        <v>210.2112</v>
      </c>
      <c r="F8" s="87">
        <f>_xlfn.IFERROR(SUM(取值!F8),"")</f>
        <v>216.0037</v>
      </c>
      <c r="G8" s="87">
        <f>_xlfn.IFERROR(SUM(取值!G8),"")</f>
        <v>207.1064</v>
      </c>
      <c r="H8" s="87">
        <f>_xlfn.IFERROR(SUM(取值!H8),"")</f>
        <v>186.6396</v>
      </c>
      <c r="I8" s="87">
        <f>_xlfn.IFERROR(SUM(取值!I8),"")</f>
        <v>206.3136</v>
      </c>
      <c r="J8" s="87">
        <f>_xlfn.IFERROR(SUM(取值!J8),"")</f>
        <v>211.7121</v>
      </c>
      <c r="K8" s="87">
        <f>_xlfn.IFERROR(SUM(取值!K8),"")</f>
        <v>213.4746</v>
      </c>
      <c r="L8" s="87">
        <f>_xlfn.IFERROR(SUM(取值!L8),"")</f>
        <v>187.4312</v>
      </c>
      <c r="M8" s="87">
        <f>_xlfn.IFERROR(SUM(取值!M8),"")</f>
        <v>212.063</v>
      </c>
      <c r="N8" s="87">
        <f>_xlfn.IFERROR(SUM(取值!N8),"")</f>
        <v>210.6971</v>
      </c>
      <c r="O8" s="87">
        <f>_xlfn.IFERROR(SUM(取值!O8),"")</f>
        <v>206.5491</v>
      </c>
      <c r="P8" s="87">
        <f>_xlfn.IFERROR(SUM(取值!P8),"")</f>
        <v>202.6841</v>
      </c>
      <c r="Q8" s="73"/>
      <c r="R8" s="73"/>
      <c r="S8" s="73"/>
      <c r="T8" s="73"/>
      <c r="U8" s="73"/>
      <c r="V8" s="73"/>
    </row>
    <row customHeight="1" ht="14.25">
      <c r="A9" s="73"/>
      <c r="B9" s="71" t="s">
        <v>16</v>
      </c>
      <c r="C9" s="57" t="s">
        <v>17</v>
      </c>
      <c r="D9" s="57" t="s">
        <v>18</v>
      </c>
      <c r="E9" s="87">
        <f>_xlfn.IFERROR(SUM(取值!E9),"")</f>
        <v>148.0433</v>
      </c>
      <c r="F9" s="87">
        <f>_xlfn.IFERROR(SUM(取值!F9),"")</f>
        <v>148.9989</v>
      </c>
      <c r="G9" s="87">
        <f>_xlfn.IFERROR(SUM(取值!G9),"")</f>
        <v>150.4255</v>
      </c>
      <c r="H9" s="87">
        <f>_xlfn.IFERROR(SUM(取值!H9),"")</f>
        <v>148.5032</v>
      </c>
      <c r="I9" s="87">
        <f>_xlfn.IFERROR(SUM(取值!I9),"")</f>
        <v>140.8297</v>
      </c>
      <c r="J9" s="87">
        <f>_xlfn.IFERROR(SUM(取值!J9),"")</f>
        <v>143.4034</v>
      </c>
      <c r="K9" s="87">
        <f>_xlfn.IFERROR(SUM(取值!K9),"")</f>
        <v>144.6214</v>
      </c>
      <c r="L9" s="87">
        <f>_xlfn.IFERROR(SUM(取值!L9),"")</f>
        <v>146.8824</v>
      </c>
      <c r="M9" s="87">
        <f>_xlfn.IFERROR(SUM(取值!M9),"")</f>
        <v>148.7398</v>
      </c>
      <c r="N9" s="87">
        <f>_xlfn.IFERROR(SUM(取值!N9),"")</f>
        <v>153.1131</v>
      </c>
      <c r="O9" s="87">
        <f>_xlfn.IFERROR(SUM(取值!O9),"")</f>
        <v>142.1313</v>
      </c>
      <c r="P9" s="87">
        <f>_xlfn.IFERROR(SUM(取值!P9),"")</f>
        <v>144.1833</v>
      </c>
      <c r="Q9" s="73"/>
      <c r="R9" s="73"/>
      <c r="S9" s="73"/>
      <c r="T9" s="73"/>
      <c r="U9" s="73"/>
      <c r="V9" s="73"/>
    </row>
    <row customHeight="1" ht="14.25">
      <c r="A10" s="73"/>
      <c r="B10" s="71"/>
      <c r="C10" s="57" t="s">
        <v>17</v>
      </c>
      <c r="D10" s="57" t="s">
        <v>19</v>
      </c>
      <c r="E10" s="87">
        <f>_xlfn.IFERROR(SUM(取值!E10),"")</f>
        <v>147.9782</v>
      </c>
      <c r="F10" s="87">
        <f>_xlfn.IFERROR(SUM(取值!F10),"")</f>
        <v>148.9989</v>
      </c>
      <c r="G10" s="87">
        <f>_xlfn.IFERROR(SUM(取值!G10),"")</f>
        <v>149.9882</v>
      </c>
      <c r="H10" s="87">
        <f>_xlfn.IFERROR(SUM(取值!H10),"")</f>
        <v>148.1376</v>
      </c>
      <c r="I10" s="87">
        <f>_xlfn.IFERROR(SUM(取值!I10),"")</f>
        <v>140.5216</v>
      </c>
      <c r="J10" s="87">
        <f>_xlfn.IFERROR(SUM(取值!J10),"")</f>
        <v>143.4034</v>
      </c>
      <c r="K10" s="87">
        <f>_xlfn.IFERROR(SUM(取值!K10),"")</f>
        <v>144.6214</v>
      </c>
      <c r="L10" s="87">
        <f>_xlfn.IFERROR(SUM(取值!L10),"")</f>
        <v>146.8824</v>
      </c>
      <c r="M10" s="87">
        <f>_xlfn.IFERROR(SUM(取值!M10),"")</f>
        <v>148.4001</v>
      </c>
      <c r="N10" s="87">
        <f>_xlfn.IFERROR(SUM(取值!N10),"")</f>
        <v>152.6674</v>
      </c>
      <c r="O10" s="87">
        <f>_xlfn.IFERROR(SUM(取值!O10),"")</f>
        <v>141.2875</v>
      </c>
      <c r="P10" s="87">
        <f>_xlfn.IFERROR(SUM(取值!P10),"")</f>
        <v>143.8969</v>
      </c>
      <c r="Q10" s="73"/>
      <c r="R10" s="73"/>
      <c r="S10" s="73"/>
      <c r="T10" s="73"/>
      <c r="U10" s="73"/>
      <c r="V10" s="73"/>
    </row>
    <row customHeight="1" ht="14.25">
      <c r="A11" s="73"/>
      <c r="B11" s="71"/>
      <c r="C11" s="57" t="s">
        <v>20</v>
      </c>
      <c r="D11" s="57" t="s">
        <v>21</v>
      </c>
      <c r="E11" s="87">
        <f>_xlfn.IFERROR(SUM(取值!E11),"")</f>
        <v>511.0833</v>
      </c>
      <c r="F11" s="87">
        <f>_xlfn.IFERROR(SUM(取值!F11),"")</f>
        <v>508.165</v>
      </c>
      <c r="G11" s="87">
        <f>_xlfn.IFERROR(SUM(取值!G11),"")</f>
        <v>508.1021</v>
      </c>
      <c r="H11" s="87">
        <f>_xlfn.IFERROR(SUM(取值!H11),"")</f>
        <v>509.1055</v>
      </c>
      <c r="I11" s="87">
        <f>_xlfn.IFERROR(SUM(取值!I11),"")</f>
        <v>508.7383</v>
      </c>
      <c r="J11" s="87">
        <f>_xlfn.IFERROR(SUM(取值!J11),"")</f>
        <v>509.4075</v>
      </c>
      <c r="K11" s="87">
        <f>_xlfn.IFERROR(SUM(取值!K11),"")</f>
        <v>510.95</v>
      </c>
      <c r="L11" s="87">
        <f>_xlfn.IFERROR(SUM(取值!L11),"")</f>
        <v>510.8574</v>
      </c>
      <c r="M11" s="87">
        <f>_xlfn.IFERROR(SUM(取值!M11),"")</f>
        <v>509.3898</v>
      </c>
      <c r="N11" s="87">
        <f>_xlfn.IFERROR(SUM(取值!N11),"")</f>
        <v>508.4846</v>
      </c>
      <c r="O11" s="87">
        <f>_xlfn.IFERROR(SUM(取值!O11),"")</f>
        <v>510.7469</v>
      </c>
      <c r="P11" s="87">
        <f>_xlfn.IFERROR(SUM(取值!P11),"")</f>
        <v>508.5659</v>
      </c>
      <c r="Q11" s="73"/>
      <c r="R11" s="73"/>
      <c r="S11" s="73"/>
      <c r="T11" s="73"/>
      <c r="U11" s="73"/>
      <c r="V11" s="73"/>
    </row>
    <row customHeight="1" ht="14.25">
      <c r="A12" s="73"/>
      <c r="B12" s="71"/>
      <c r="C12" s="57" t="s">
        <v>22</v>
      </c>
      <c r="D12" s="57" t="s">
        <v>23</v>
      </c>
      <c r="E12" s="87">
        <f>_xlfn.IFERROR(SUM(取值!E12),"")</f>
        <v>669.0388</v>
      </c>
      <c r="F12" s="87">
        <f>_xlfn.IFERROR(SUM(取值!F12),"")</f>
        <v>671.5338</v>
      </c>
      <c r="G12" s="87">
        <f>_xlfn.IFERROR(SUM(取值!G12),"")</f>
        <v>671.593</v>
      </c>
      <c r="H12" s="87">
        <f>_xlfn.IFERROR(SUM(取值!H12),"")</f>
        <v>673.1566</v>
      </c>
      <c r="I12" s="87">
        <f>_xlfn.IFERROR(SUM(取值!I12),"")</f>
        <v>670.1186</v>
      </c>
      <c r="J12" s="87">
        <f>_xlfn.IFERROR(SUM(取值!J12),"")</f>
        <v>670.2256</v>
      </c>
      <c r="K12" s="87">
        <f>_xlfn.IFERROR(SUM(取值!K12),"")</f>
        <v>670.884</v>
      </c>
      <c r="L12" s="87">
        <f>_xlfn.IFERROR(SUM(取值!L12),"")</f>
        <v>670.1187</v>
      </c>
      <c r="M12" s="87">
        <f>_xlfn.IFERROR(SUM(取值!M12),"")</f>
        <v>669.4556</v>
      </c>
      <c r="N12" s="87">
        <f>_xlfn.IFERROR(SUM(取值!N12),"")</f>
        <v>670.2274</v>
      </c>
      <c r="O12" s="87">
        <f>_xlfn.IFERROR(SUM(取值!O12),"")</f>
        <v>671.7142</v>
      </c>
      <c r="P12" s="87">
        <f>_xlfn.IFERROR(SUM(取值!P12),"")</f>
        <v>672.0531</v>
      </c>
      <c r="Q12" s="73"/>
      <c r="R12" s="73"/>
      <c r="S12" s="73"/>
      <c r="T12" s="73"/>
      <c r="U12" s="73"/>
      <c r="V12" s="73"/>
    </row>
    <row customHeight="1" ht="14.25">
      <c r="A13" s="73"/>
      <c r="B13" s="71"/>
      <c r="C13" s="57" t="s">
        <v>24</v>
      </c>
      <c r="D13" s="57" t="s">
        <v>25</v>
      </c>
      <c r="E13" s="87">
        <f>_xlfn.IFERROR(SUM(取值!E13),"")</f>
        <v>78.02948</v>
      </c>
      <c r="F13" s="87">
        <f>_xlfn.IFERROR(SUM(取值!F13),"")</f>
        <v>78.76244</v>
      </c>
      <c r="G13" s="87">
        <f>_xlfn.IFERROR(SUM(取值!G13),"")</f>
        <v>77.74912</v>
      </c>
      <c r="H13" s="87">
        <f>_xlfn.IFERROR(SUM(取值!H13),"")</f>
        <v>78.7143</v>
      </c>
      <c r="I13" s="87">
        <f>_xlfn.IFERROR(SUM(取值!I13),"")</f>
        <v>78.00824</v>
      </c>
      <c r="J13" s="87">
        <f>_xlfn.IFERROR(SUM(取值!J13),"")</f>
        <v>78.38966</v>
      </c>
      <c r="K13" s="87">
        <f>_xlfn.IFERROR(SUM(取值!K13),"")</f>
        <v>79.66066</v>
      </c>
      <c r="L13" s="87">
        <f>_xlfn.IFERROR(SUM(取值!L13),"")</f>
        <v>79.35944</v>
      </c>
      <c r="M13" s="87">
        <f>_xlfn.IFERROR(SUM(取值!M13),"")</f>
        <v>80.31715</v>
      </c>
      <c r="N13" s="87">
        <f>_xlfn.IFERROR(SUM(取值!N13),"")</f>
        <v>80.61673</v>
      </c>
      <c r="O13" s="87">
        <f>_xlfn.IFERROR(SUM(取值!O13),"")</f>
        <v>78.99202</v>
      </c>
      <c r="P13" s="87">
        <f>_xlfn.IFERROR(SUM(取值!P13),"")</f>
        <v>79.70379</v>
      </c>
      <c r="Q13" s="73"/>
      <c r="R13" s="73"/>
      <c r="S13" s="73"/>
      <c r="T13" s="73"/>
      <c r="U13" s="73"/>
      <c r="V13" s="73"/>
    </row>
    <row customHeight="1" ht="14.25">
      <c r="A14" s="73"/>
      <c r="B14" s="71"/>
      <c r="C14" s="57" t="s">
        <v>26</v>
      </c>
      <c r="D14" s="57" t="s">
        <v>27</v>
      </c>
      <c r="E14" s="87">
        <f>_xlfn.IFERROR(SUM(取值!E14),"")</f>
        <v>3.285997</v>
      </c>
      <c r="F14" s="87">
        <f>_xlfn.IFERROR(SUM(取值!F14),"")</f>
        <v>3.273058</v>
      </c>
      <c r="G14" s="87">
        <f>_xlfn.IFERROR(SUM(取值!G14),"")</f>
        <v>3.280875</v>
      </c>
      <c r="H14" s="87">
        <f>_xlfn.IFERROR(SUM(取值!H14),"")</f>
        <v>3.273886</v>
      </c>
      <c r="I14" s="87">
        <f>_xlfn.IFERROR(SUM(取值!I14),"")</f>
        <v>3.272886</v>
      </c>
      <c r="J14" s="87">
        <f>_xlfn.IFERROR(SUM(取值!J14),"")</f>
        <v>3.281966</v>
      </c>
      <c r="K14" s="87">
        <f>_xlfn.IFERROR(SUM(取值!K14),"")</f>
        <v>3.271701</v>
      </c>
      <c r="L14" s="87">
        <f>_xlfn.IFERROR(SUM(取值!L14),"")</f>
        <v>3.286853</v>
      </c>
      <c r="M14" s="87">
        <f>_xlfn.IFERROR(SUM(取值!M14),"")</f>
        <v>3.260506</v>
      </c>
      <c r="N14" s="87">
        <f>_xlfn.IFERROR(SUM(取值!N14),"")</f>
        <v>3.259532</v>
      </c>
      <c r="O14" s="87">
        <f>_xlfn.IFERROR(SUM(取值!O14),"")</f>
        <v>3.279675</v>
      </c>
      <c r="P14" s="87">
        <f>_xlfn.IFERROR(SUM(取值!P14),"")</f>
        <v>3.282131</v>
      </c>
      <c r="Q14" s="73"/>
      <c r="R14" s="73"/>
      <c r="S14" s="73"/>
      <c r="T14" s="73"/>
      <c r="U14" s="73"/>
      <c r="V14" s="73"/>
    </row>
    <row customHeight="1" ht="14.25">
      <c r="A15" s="73"/>
      <c r="B15" s="71"/>
      <c r="C15" s="57" t="s">
        <v>28</v>
      </c>
      <c r="D15" s="57" t="s">
        <v>29</v>
      </c>
      <c r="E15" s="87">
        <f>_xlfn.IFERROR(SUM(取值!E15),"")</f>
        <v>0.9096271</v>
      </c>
      <c r="F15" s="87">
        <f>_xlfn.IFERROR(SUM(取值!F15),"")</f>
        <v>0.9232986</v>
      </c>
      <c r="G15" s="87">
        <f>_xlfn.IFERROR(SUM(取值!G15),"")</f>
        <v>0.9033581</v>
      </c>
      <c r="H15" s="87">
        <f>_xlfn.IFERROR(SUM(取值!H15),"")</f>
        <v>0.9112934</v>
      </c>
      <c r="I15" s="87">
        <f>_xlfn.IFERROR(SUM(取值!I15),"")</f>
        <v>0.9006488</v>
      </c>
      <c r="J15" s="87">
        <f>_xlfn.IFERROR(SUM(取值!J15),"")</f>
        <v>0.8649458</v>
      </c>
      <c r="K15" s="87">
        <f>_xlfn.IFERROR(SUM(取值!K15),"")</f>
        <v>0.8940718</v>
      </c>
      <c r="L15" s="87">
        <f>_xlfn.IFERROR(SUM(取值!L15),"")</f>
        <v>0.8641422</v>
      </c>
      <c r="M15" s="87">
        <f>_xlfn.IFERROR(SUM(取值!M15),"")</f>
        <v>0.8925709</v>
      </c>
      <c r="N15" s="87">
        <f>_xlfn.IFERROR(SUM(取值!N15),"")</f>
        <v>0.9002503</v>
      </c>
      <c r="O15" s="87">
        <f>_xlfn.IFERROR(SUM(取值!O15),"")</f>
        <v>0.9077369</v>
      </c>
      <c r="P15" s="87">
        <f>_xlfn.IFERROR(SUM(取值!P15),"")</f>
        <v>0.9255369</v>
      </c>
      <c r="Q15" s="73"/>
      <c r="R15" s="73"/>
      <c r="S15" s="73"/>
      <c r="T15" s="73"/>
      <c r="U15" s="73"/>
      <c r="V15" s="73"/>
    </row>
    <row customHeight="1" ht="14.25">
      <c r="A16" s="73"/>
      <c r="B16" s="71"/>
      <c r="C16" s="57" t="s">
        <v>30</v>
      </c>
      <c r="D16" s="57" t="s">
        <v>31</v>
      </c>
      <c r="E16" s="87">
        <f>_xlfn.IFERROR(SUM(取值!E16),"")</f>
        <v>0</v>
      </c>
      <c r="F16" s="87">
        <f>_xlfn.IFERROR(SUM(取值!F16),"")</f>
        <v>0</v>
      </c>
      <c r="G16" s="87">
        <f>_xlfn.IFERROR(SUM(取值!G16),"")</f>
        <v>0</v>
      </c>
      <c r="H16" s="87">
        <f>_xlfn.IFERROR(SUM(取值!H16),"")</f>
        <v>0</v>
      </c>
      <c r="I16" s="87">
        <f>_xlfn.IFERROR(SUM(取值!I16),"")</f>
        <v>0</v>
      </c>
      <c r="J16" s="87">
        <f>_xlfn.IFERROR(SUM(取值!J16),"")</f>
        <v>0</v>
      </c>
      <c r="K16" s="87">
        <f>_xlfn.IFERROR(SUM(取值!K16),"")</f>
        <v>0</v>
      </c>
      <c r="L16" s="87">
        <f>_xlfn.IFERROR(SUM(取值!L16),"")</f>
        <v>0</v>
      </c>
      <c r="M16" s="87">
        <f>_xlfn.IFERROR(SUM(取值!M16),"")</f>
        <v>0</v>
      </c>
      <c r="N16" s="87">
        <f>_xlfn.IFERROR(SUM(取值!N16),"")</f>
        <v>0</v>
      </c>
      <c r="O16" s="87">
        <f>_xlfn.IFERROR(SUM(取值!O16),"")</f>
        <v>0</v>
      </c>
      <c r="P16" s="87">
        <f>_xlfn.IFERROR(SUM(取值!P16),"")</f>
        <v>0</v>
      </c>
      <c r="Q16" s="73"/>
      <c r="R16" s="73"/>
      <c r="S16" s="73"/>
      <c r="T16" s="73"/>
      <c r="U16" s="73"/>
      <c r="V16" s="73"/>
    </row>
    <row customHeight="1" ht="14.25">
      <c r="A17" s="73"/>
      <c r="B17" s="71"/>
      <c r="C17" s="57" t="s">
        <v>32</v>
      </c>
      <c r="D17" s="57" t="s">
        <v>33</v>
      </c>
      <c r="E17" s="87">
        <f>_xlfn.IFERROR(SUM(取值!E17),"")</f>
        <v>35</v>
      </c>
      <c r="F17" s="87">
        <f>_xlfn.IFERROR(SUM(取值!F17),"")</f>
        <v>35</v>
      </c>
      <c r="G17" s="87">
        <f>_xlfn.IFERROR(SUM(取值!G17),"")</f>
        <v>35</v>
      </c>
      <c r="H17" s="87">
        <f>_xlfn.IFERROR(SUM(取值!H17),"")</f>
        <v>35</v>
      </c>
      <c r="I17" s="87">
        <f>_xlfn.IFERROR(SUM(取值!I17),"")</f>
        <v>35</v>
      </c>
      <c r="J17" s="87">
        <f>_xlfn.IFERROR(SUM(取值!J17),"")</f>
        <v>35</v>
      </c>
      <c r="K17" s="87">
        <f>_xlfn.IFERROR(SUM(取值!K17),"")</f>
        <v>35</v>
      </c>
      <c r="L17" s="87">
        <f>_xlfn.IFERROR(SUM(取值!L17),"")</f>
        <v>35</v>
      </c>
      <c r="M17" s="87">
        <f>_xlfn.IFERROR(SUM(取值!M17),"")</f>
        <v>35</v>
      </c>
      <c r="N17" s="87">
        <f>_xlfn.IFERROR(SUM(取值!N17),"")</f>
        <v>35</v>
      </c>
      <c r="O17" s="87">
        <f>_xlfn.IFERROR(SUM(取值!O17),"")</f>
        <v>35</v>
      </c>
      <c r="P17" s="87">
        <f>_xlfn.IFERROR(SUM(取值!P17),"")</f>
        <v>35</v>
      </c>
      <c r="Q17" s="73"/>
      <c r="R17" s="73"/>
      <c r="S17" s="73"/>
      <c r="T17" s="73"/>
      <c r="U17" s="73"/>
      <c r="V17" s="73"/>
    </row>
    <row customHeight="1" ht="14.25">
      <c r="A18" s="73"/>
      <c r="B18" s="71"/>
      <c r="C18" s="57" t="s">
        <v>34</v>
      </c>
      <c r="D18" s="57" t="s">
        <v>35</v>
      </c>
      <c r="E18" s="87">
        <f>_xlfn.IFERROR(SUM(取值!E18),"")</f>
        <v>13.83241</v>
      </c>
      <c r="F18" s="87">
        <f>_xlfn.IFERROR(SUM(取值!F18),"")</f>
        <v>15.29463</v>
      </c>
      <c r="G18" s="87">
        <f>_xlfn.IFERROR(SUM(取值!G18),"")</f>
        <v>14.64806</v>
      </c>
      <c r="H18" s="87">
        <f>_xlfn.IFERROR(SUM(取值!H18),"")</f>
        <v>15.11002</v>
      </c>
      <c r="I18" s="87">
        <f>_xlfn.IFERROR(SUM(取值!I18),"")</f>
        <v>14.89532</v>
      </c>
      <c r="J18" s="87">
        <f>_xlfn.IFERROR(SUM(取值!J18),"")</f>
        <v>13.30201</v>
      </c>
      <c r="K18" s="87">
        <f>_xlfn.IFERROR(SUM(取值!K18),"")</f>
        <v>12.72012</v>
      </c>
      <c r="L18" s="87">
        <f>_xlfn.IFERROR(SUM(取值!L18),"")</f>
        <v>11.43863</v>
      </c>
      <c r="M18" s="87">
        <f>_xlfn.IFERROR(SUM(取值!M18),"")</f>
        <v>13.24226</v>
      </c>
      <c r="N18" s="87">
        <f>_xlfn.IFERROR(SUM(取值!N18),"")</f>
        <v>13.48892</v>
      </c>
      <c r="O18" s="87">
        <f>_xlfn.IFERROR(SUM(取值!O18),"")</f>
        <v>12.56484</v>
      </c>
      <c r="P18" s="87">
        <f>_xlfn.IFERROR(SUM(取值!P18),"")</f>
        <v>13.35449</v>
      </c>
      <c r="Q18" s="73"/>
      <c r="R18" s="73"/>
      <c r="S18" s="73"/>
      <c r="T18" s="73"/>
      <c r="U18" s="73"/>
      <c r="V18" s="73"/>
    </row>
    <row customHeight="1" ht="14.25">
      <c r="A19" s="73"/>
      <c r="B19" s="71" t="s">
        <v>36</v>
      </c>
      <c r="C19" s="57" t="s">
        <v>37</v>
      </c>
      <c r="D19" s="57" t="s">
        <v>38</v>
      </c>
      <c r="E19" s="87">
        <f>_xlfn.IFERROR(SUM(取值!E19),"")</f>
        <v>17.79634</v>
      </c>
      <c r="F19" s="87">
        <f>_xlfn.IFERROR(SUM(取值!F19),"")</f>
        <v>18.2812</v>
      </c>
      <c r="G19" s="87">
        <f>_xlfn.IFERROR(SUM(取值!G19),"")</f>
        <v>17.60827</v>
      </c>
      <c r="H19" s="87">
        <f>_xlfn.IFERROR(SUM(取值!H19),"")</f>
        <v>17.51852</v>
      </c>
      <c r="I19" s="87">
        <f>_xlfn.IFERROR(SUM(取值!I19),"")</f>
        <v>24.99651</v>
      </c>
      <c r="J19" s="87">
        <f>_xlfn.IFERROR(SUM(取值!J19),"")</f>
        <v>16.72508</v>
      </c>
      <c r="K19" s="87">
        <f>_xlfn.IFERROR(SUM(取值!K19),"")</f>
        <v>19.19778</v>
      </c>
      <c r="L19" s="87">
        <f>_xlfn.IFERROR(SUM(取值!L19),"")</f>
        <v>16.70713</v>
      </c>
      <c r="M19" s="87">
        <f>_xlfn.IFERROR(SUM(取值!M19),"")</f>
        <v>16.569</v>
      </c>
      <c r="N19" s="87">
        <f>_xlfn.IFERROR(SUM(取值!N19),"")</f>
        <v>18.29433</v>
      </c>
      <c r="O19" s="87">
        <f>_xlfn.IFERROR(SUM(取值!O19),"")</f>
        <v>17.99195</v>
      </c>
      <c r="P19" s="87">
        <f>_xlfn.IFERROR(SUM(取值!P19),"")</f>
        <v>17.2769</v>
      </c>
      <c r="Q19" s="73"/>
      <c r="R19" s="73"/>
      <c r="S19" s="73"/>
      <c r="T19" s="73"/>
      <c r="U19" s="73"/>
      <c r="V19" s="73"/>
    </row>
    <row customHeight="1" ht="14.25">
      <c r="A20" s="73"/>
      <c r="B20" s="71"/>
      <c r="C20" s="57" t="s">
        <v>39</v>
      </c>
      <c r="D20" s="57" t="s">
        <v>40</v>
      </c>
      <c r="E20" s="87">
        <f>_xlfn.IFERROR(SUM(取值!E20),"")</f>
        <v>16.97565</v>
      </c>
      <c r="F20" s="87">
        <f>_xlfn.IFERROR(SUM(取值!F20),"")</f>
        <v>16.99318</v>
      </c>
      <c r="G20" s="87">
        <f>_xlfn.IFERROR(SUM(取值!G20),"")</f>
        <v>16.98606</v>
      </c>
      <c r="H20" s="87">
        <f>_xlfn.IFERROR(SUM(取值!H20),"")</f>
        <v>16.98517</v>
      </c>
      <c r="I20" s="87">
        <f>_xlfn.IFERROR(SUM(取值!I20),"")</f>
        <v>16.93231</v>
      </c>
      <c r="J20" s="87">
        <f>_xlfn.IFERROR(SUM(取值!J20),"")</f>
        <v>17.0403</v>
      </c>
      <c r="K20" s="87">
        <f>_xlfn.IFERROR(SUM(取值!K20),"")</f>
        <v>17.0421</v>
      </c>
      <c r="L20" s="87">
        <f>_xlfn.IFERROR(SUM(取值!L20),"")</f>
        <v>17.00335</v>
      </c>
      <c r="M20" s="87">
        <f>_xlfn.IFERROR(SUM(取值!M20),"")</f>
        <v>16.98937</v>
      </c>
      <c r="N20" s="87">
        <f>_xlfn.IFERROR(SUM(取值!N20),"")</f>
        <v>16.97254</v>
      </c>
      <c r="O20" s="87">
        <f>_xlfn.IFERROR(SUM(取值!O20),"")</f>
        <v>17.00001</v>
      </c>
      <c r="P20" s="87">
        <f>_xlfn.IFERROR(SUM(取值!P20),"")</f>
        <v>16.96708</v>
      </c>
      <c r="Q20" s="73"/>
      <c r="R20" s="73"/>
      <c r="S20" s="73"/>
      <c r="T20" s="73"/>
      <c r="U20" s="73"/>
      <c r="V20" s="73"/>
    </row>
    <row customHeight="1" ht="14.25">
      <c r="A21" s="73"/>
      <c r="B21" s="71"/>
      <c r="C21" s="57" t="s">
        <v>41</v>
      </c>
      <c r="D21" s="57" t="s">
        <v>42</v>
      </c>
      <c r="E21" s="87">
        <f>_xlfn.IFERROR(SUM(取值!E21),"")</f>
        <v>284.7057</v>
      </c>
      <c r="F21" s="87">
        <f>_xlfn.IFERROR(SUM(取值!F21),"")</f>
        <v>282.8596</v>
      </c>
      <c r="G21" s="87">
        <f>_xlfn.IFERROR(SUM(取值!G21),"")</f>
        <v>284.6616</v>
      </c>
      <c r="H21" s="87">
        <f>_xlfn.IFERROR(SUM(取值!H21),"")</f>
        <v>283.2304</v>
      </c>
      <c r="I21" s="87">
        <f>_xlfn.IFERROR(SUM(取值!I21),"")</f>
        <v>284.2923</v>
      </c>
      <c r="J21" s="87">
        <f>_xlfn.IFERROR(SUM(取值!J21),"")</f>
        <v>284.644</v>
      </c>
      <c r="K21" s="87">
        <f>_xlfn.IFERROR(SUM(取值!K21),"")</f>
        <v>285.4602</v>
      </c>
      <c r="L21" s="87">
        <f>_xlfn.IFERROR(SUM(取值!L21),"")</f>
        <v>284.0402</v>
      </c>
      <c r="M21" s="87">
        <f>_xlfn.IFERROR(SUM(取值!M21),"")</f>
        <v>283.9051</v>
      </c>
      <c r="N21" s="87">
        <f>_xlfn.IFERROR(SUM(取值!N21),"")</f>
        <v>283.226</v>
      </c>
      <c r="O21" s="87">
        <f>_xlfn.IFERROR(SUM(取值!O21),"")</f>
        <v>283.456</v>
      </c>
      <c r="P21" s="87">
        <f>_xlfn.IFERROR(SUM(取值!P21),"")</f>
        <v>283.3869</v>
      </c>
      <c r="Q21" s="73"/>
      <c r="R21" s="73"/>
      <c r="S21" s="73"/>
      <c r="T21" s="73"/>
      <c r="U21" s="73"/>
      <c r="V21" s="73"/>
    </row>
    <row customHeight="1" ht="14.25">
      <c r="A22" s="73"/>
      <c r="B22" s="71"/>
      <c r="C22" s="57" t="s">
        <v>43</v>
      </c>
      <c r="D22" s="57" t="s">
        <v>44</v>
      </c>
      <c r="E22" s="87">
        <f>_xlfn.IFERROR(SUM(取值!E22),"")</f>
        <v>38.64854</v>
      </c>
      <c r="F22" s="87">
        <f>_xlfn.IFERROR(SUM(取值!F22),"")</f>
        <v>40.28741</v>
      </c>
      <c r="G22" s="87">
        <f>_xlfn.IFERROR(SUM(取值!G22),"")</f>
        <v>40.0263</v>
      </c>
      <c r="H22" s="87">
        <f>_xlfn.IFERROR(SUM(取值!H22),"")</f>
        <v>40.36453</v>
      </c>
      <c r="I22" s="87">
        <f>_xlfn.IFERROR(SUM(取值!I22),"")</f>
        <v>38.7252</v>
      </c>
      <c r="J22" s="87">
        <f>_xlfn.IFERROR(SUM(取值!J22),"")</f>
        <v>38.13836</v>
      </c>
      <c r="K22" s="87">
        <f>_xlfn.IFERROR(SUM(取值!K22),"")</f>
        <v>40.21678</v>
      </c>
      <c r="L22" s="87">
        <f>_xlfn.IFERROR(SUM(取值!L22),"")</f>
        <v>40.41374</v>
      </c>
      <c r="M22" s="87">
        <f>_xlfn.IFERROR(SUM(取值!M22),"")</f>
        <v>41.6483</v>
      </c>
      <c r="N22" s="87">
        <f>_xlfn.IFERROR(SUM(取值!N22),"")</f>
        <v>41.87342</v>
      </c>
      <c r="O22" s="87">
        <f>_xlfn.IFERROR(SUM(取值!O22),"")</f>
        <v>39.22972</v>
      </c>
      <c r="P22" s="87">
        <f>_xlfn.IFERROR(SUM(取值!P22),"")</f>
        <v>42.54858</v>
      </c>
      <c r="Q22" s="73"/>
      <c r="R22" s="73"/>
      <c r="S22" s="73"/>
      <c r="T22" s="73"/>
      <c r="U22" s="73"/>
      <c r="V22" s="73"/>
    </row>
    <row customHeight="1" ht="14.25">
      <c r="A23" s="73"/>
      <c r="B23" s="71"/>
      <c r="C23" s="57" t="s">
        <v>45</v>
      </c>
      <c r="D23" s="57" t="s">
        <v>46</v>
      </c>
      <c r="E23" s="87">
        <f>_xlfn.IFERROR(SUM(取值!E23),"")</f>
        <v>472.4089</v>
      </c>
      <c r="F23" s="87">
        <f>_xlfn.IFERROR(SUM(取值!F23),"")</f>
        <v>472.1727</v>
      </c>
      <c r="G23" s="87">
        <f>_xlfn.IFERROR(SUM(取值!G23),"")</f>
        <v>472.1069</v>
      </c>
      <c r="H23" s="87">
        <f>_xlfn.IFERROR(SUM(取值!H23),"")</f>
        <v>472.4383</v>
      </c>
      <c r="I23" s="87">
        <f>_xlfn.IFERROR(SUM(取值!I23),"")</f>
        <v>472.0801</v>
      </c>
      <c r="J23" s="87">
        <f>_xlfn.IFERROR(SUM(取值!J23),"")</f>
        <v>471.861</v>
      </c>
      <c r="K23" s="87">
        <f>_xlfn.IFERROR(SUM(取值!K23),"")</f>
        <v>471.1911</v>
      </c>
      <c r="L23" s="87">
        <f>_xlfn.IFERROR(SUM(取值!L23),"")</f>
        <v>471.908</v>
      </c>
      <c r="M23" s="87">
        <f>_xlfn.IFERROR(SUM(取值!M23),"")</f>
        <v>471.3738</v>
      </c>
      <c r="N23" s="87">
        <f>_xlfn.IFERROR(SUM(取值!N23),"")</f>
        <v>471.8661</v>
      </c>
      <c r="O23" s="87">
        <f>_xlfn.IFERROR(SUM(取值!O23),"")</f>
        <v>472.8426</v>
      </c>
      <c r="P23" s="87">
        <f>_xlfn.IFERROR(SUM(取值!P23),"")</f>
        <v>471.6697</v>
      </c>
      <c r="Q23" s="73"/>
      <c r="R23" s="73"/>
      <c r="S23" s="73"/>
      <c r="T23" s="73"/>
      <c r="U23" s="73"/>
      <c r="V23" s="73"/>
    </row>
    <row customHeight="1" ht="14.25">
      <c r="A24" s="73"/>
      <c r="B24" s="71"/>
      <c r="C24" s="57" t="s">
        <v>47</v>
      </c>
      <c r="D24" s="57" t="s">
        <v>48</v>
      </c>
      <c r="E24" s="87">
        <f>_xlfn.IFERROR(SUM(取值!E24),"")</f>
        <v>477.3494</v>
      </c>
      <c r="F24" s="87">
        <f>_xlfn.IFERROR(SUM(取值!F24),"")</f>
        <v>476.7776</v>
      </c>
      <c r="G24" s="87">
        <f>_xlfn.IFERROR(SUM(取值!G24),"")</f>
        <v>477.1104</v>
      </c>
      <c r="H24" s="87">
        <f>_xlfn.IFERROR(SUM(取值!H24),"")</f>
        <v>477.247</v>
      </c>
      <c r="I24" s="87">
        <f>_xlfn.IFERROR(SUM(取值!I24),"")</f>
        <v>477.5986</v>
      </c>
      <c r="J24" s="87">
        <f>_xlfn.IFERROR(SUM(取值!J24),"")</f>
        <v>477.5952</v>
      </c>
      <c r="K24" s="87">
        <f>_xlfn.IFERROR(SUM(取值!K24),"")</f>
        <v>476.3401</v>
      </c>
      <c r="L24" s="87">
        <f>_xlfn.IFERROR(SUM(取值!L24),"")</f>
        <v>476.2952</v>
      </c>
      <c r="M24" s="87">
        <f>_xlfn.IFERROR(SUM(取值!M24),"")</f>
        <v>477.1053</v>
      </c>
      <c r="N24" s="87">
        <f>_xlfn.IFERROR(SUM(取值!N24),"")</f>
        <v>476.9018</v>
      </c>
      <c r="O24" s="87">
        <f>_xlfn.IFERROR(SUM(取值!O24),"")</f>
        <v>476.6307</v>
      </c>
      <c r="P24" s="87">
        <f>_xlfn.IFERROR(SUM(取值!P24),"")</f>
        <v>476.8367</v>
      </c>
      <c r="Q24" s="73"/>
      <c r="R24" s="73"/>
      <c r="S24" s="73"/>
      <c r="T24" s="73"/>
      <c r="U24" s="73"/>
      <c r="V24" s="73"/>
    </row>
    <row customHeight="1" ht="14.25">
      <c r="A25" s="73"/>
      <c r="B25" s="71"/>
      <c r="C25" s="57" t="s">
        <v>49</v>
      </c>
      <c r="D25" s="57" t="s">
        <v>50</v>
      </c>
      <c r="E25" s="87">
        <f>_xlfn.IFERROR(SUM(取值!E25),"")</f>
        <v>16740.03</v>
      </c>
      <c r="F25" s="87">
        <f>_xlfn.IFERROR(SUM(取值!F25),"")</f>
        <v>16684.21</v>
      </c>
      <c r="G25" s="87">
        <f>_xlfn.IFERROR(SUM(取值!G25),"")</f>
        <v>16643.92</v>
      </c>
      <c r="H25" s="87">
        <f>_xlfn.IFERROR(SUM(取值!H25),"")</f>
        <v>16634.79</v>
      </c>
      <c r="I25" s="87">
        <f>_xlfn.IFERROR(SUM(取值!I25),"")</f>
        <v>16617.82</v>
      </c>
      <c r="J25" s="87">
        <f>_xlfn.IFERROR(SUM(取值!J25),"")</f>
        <v>16553.53</v>
      </c>
      <c r="K25" s="87">
        <f>_xlfn.IFERROR(SUM(取值!K25),"")</f>
        <v>16680.29</v>
      </c>
      <c r="L25" s="87">
        <f>_xlfn.IFERROR(SUM(取值!L25),"")</f>
        <v>16660.47</v>
      </c>
      <c r="M25" s="87">
        <f>_xlfn.IFERROR(SUM(取值!M25),"")</f>
        <v>16729.08</v>
      </c>
      <c r="N25" s="87">
        <f>_xlfn.IFERROR(SUM(取值!N25),"")</f>
        <v>16973.28</v>
      </c>
      <c r="O25" s="87">
        <f>_xlfn.IFERROR(SUM(取值!O25),"")</f>
        <v>17049.93</v>
      </c>
      <c r="P25" s="87">
        <f>_xlfn.IFERROR(SUM(取值!P25),"")</f>
        <v>17035.12</v>
      </c>
      <c r="Q25" s="73"/>
      <c r="R25" s="73"/>
      <c r="S25" s="73"/>
      <c r="T25" s="73"/>
      <c r="U25" s="73"/>
      <c r="V25" s="73"/>
    </row>
    <row customHeight="1" ht="14.25">
      <c r="A26" s="73"/>
      <c r="B26" s="71"/>
      <c r="C26" s="57" t="s">
        <v>51</v>
      </c>
      <c r="D26" s="57" t="s">
        <v>52</v>
      </c>
      <c r="E26" s="87">
        <f>_xlfn.IFERROR(SUM(取值!E26),"")</f>
        <v>15904.26</v>
      </c>
      <c r="F26" s="87">
        <f>_xlfn.IFERROR(SUM(取值!F26),"")</f>
        <v>15872.3</v>
      </c>
      <c r="G26" s="87">
        <f>_xlfn.IFERROR(SUM(取值!G26),"")</f>
        <v>15831.81</v>
      </c>
      <c r="H26" s="87">
        <f>_xlfn.IFERROR(SUM(取值!H26),"")</f>
        <v>15789.04</v>
      </c>
      <c r="I26" s="87">
        <f>_xlfn.IFERROR(SUM(取值!I26),"")</f>
        <v>15802.98</v>
      </c>
      <c r="J26" s="87">
        <f>_xlfn.IFERROR(SUM(取值!J26),"")</f>
        <v>15746.13</v>
      </c>
      <c r="K26" s="87">
        <f>_xlfn.IFERROR(SUM(取值!K26),"")</f>
        <v>15903.06</v>
      </c>
      <c r="L26" s="87">
        <f>_xlfn.IFERROR(SUM(取值!L26),"")</f>
        <v>15858.16</v>
      </c>
      <c r="M26" s="87">
        <f>_xlfn.IFERROR(SUM(取值!M26),"")</f>
        <v>15959.3</v>
      </c>
      <c r="N26" s="87">
        <f>_xlfn.IFERROR(SUM(取值!N26),"")</f>
        <v>16196.96</v>
      </c>
      <c r="O26" s="87">
        <f>_xlfn.IFERROR(SUM(取值!O26),"")</f>
        <v>16267.51</v>
      </c>
      <c r="P26" s="87">
        <f>_xlfn.IFERROR(SUM(取值!P26),"")</f>
        <v>16242.75</v>
      </c>
      <c r="Q26" s="73"/>
      <c r="R26" s="73"/>
      <c r="S26" s="73"/>
      <c r="T26" s="73"/>
      <c r="U26" s="73"/>
      <c r="V26" s="73"/>
    </row>
    <row customHeight="1" ht="14.25">
      <c r="A27" s="73"/>
      <c r="B27" s="71"/>
      <c r="C27" s="57" t="s">
        <v>53</v>
      </c>
      <c r="D27" s="57" t="s">
        <v>54</v>
      </c>
      <c r="E27" s="87">
        <f>_xlfn.IFERROR(SUM(取值!E27),"")</f>
        <v>15.09963</v>
      </c>
      <c r="F27" s="87">
        <f>_xlfn.IFERROR(SUM(取值!F27),"")</f>
        <v>13.84164</v>
      </c>
      <c r="G27" s="87">
        <f>_xlfn.IFERROR(SUM(取值!G27),"")</f>
        <v>16.63508</v>
      </c>
      <c r="H27" s="87">
        <f>_xlfn.IFERROR(SUM(取值!H27),"")</f>
        <v>15.41624</v>
      </c>
      <c r="I27" s="87">
        <f>_xlfn.IFERROR(SUM(取值!I27),"")</f>
        <v>14.72824</v>
      </c>
      <c r="J27" s="87">
        <f>_xlfn.IFERROR(SUM(取值!J27),"")</f>
        <v>14.25276</v>
      </c>
      <c r="K27" s="87">
        <f>_xlfn.IFERROR(SUM(取值!K27),"")</f>
        <v>14.70266</v>
      </c>
      <c r="L27" s="87">
        <f>_xlfn.IFERROR(SUM(取值!L27),"")</f>
        <v>14.08172</v>
      </c>
      <c r="M27" s="87">
        <f>_xlfn.IFERROR(SUM(取值!M27),"")</f>
        <v>15.13702</v>
      </c>
      <c r="N27" s="87">
        <f>_xlfn.IFERROR(SUM(取值!N27),"")</f>
        <v>14.94569</v>
      </c>
      <c r="O27" s="87">
        <f>_xlfn.IFERROR(SUM(取值!O27),"")</f>
        <v>15.2856</v>
      </c>
      <c r="P27" s="87">
        <f>_xlfn.IFERROR(SUM(取值!P27),"")</f>
        <v>14.94411</v>
      </c>
      <c r="Q27" s="73"/>
      <c r="R27" s="73"/>
      <c r="S27" s="73"/>
      <c r="T27" s="73"/>
      <c r="U27" s="73"/>
      <c r="V27" s="73"/>
    </row>
    <row customHeight="1" ht="14.25">
      <c r="A28" s="73"/>
      <c r="B28" s="71" t="s">
        <v>55</v>
      </c>
      <c r="C28" s="57" t="s">
        <v>56</v>
      </c>
      <c r="D28" s="57" t="s">
        <v>57</v>
      </c>
      <c r="E28" s="87">
        <f>_xlfn.IFERROR(SUM(取值!E28),"")</f>
        <v>19.96645</v>
      </c>
      <c r="F28" s="87">
        <f>_xlfn.IFERROR(SUM(取值!F28),"")</f>
        <v>19.99748</v>
      </c>
      <c r="G28" s="87">
        <f>_xlfn.IFERROR(SUM(取值!G28),"")</f>
        <v>19.96302</v>
      </c>
      <c r="H28" s="87">
        <f>_xlfn.IFERROR(SUM(取值!H28),"")</f>
        <v>20.00477</v>
      </c>
      <c r="I28" s="87">
        <f>_xlfn.IFERROR(SUM(取值!I28),"")</f>
        <v>19.90705</v>
      </c>
      <c r="J28" s="87">
        <f>_xlfn.IFERROR(SUM(取值!J28),"")</f>
        <v>19.92171</v>
      </c>
      <c r="K28" s="87">
        <f>_xlfn.IFERROR(SUM(取值!K28),"")</f>
        <v>19.99587</v>
      </c>
      <c r="L28" s="87">
        <f>_xlfn.IFERROR(SUM(取值!L28),"")</f>
        <v>19.79097</v>
      </c>
      <c r="M28" s="87">
        <f>_xlfn.IFERROR(SUM(取值!M28),"")</f>
        <v>20.05231</v>
      </c>
      <c r="N28" s="87">
        <f>_xlfn.IFERROR(SUM(取值!N28),"")</f>
        <v>20.03573</v>
      </c>
      <c r="O28" s="87">
        <f>_xlfn.IFERROR(SUM(取值!O28),"")</f>
        <v>20.10132</v>
      </c>
      <c r="P28" s="87">
        <f>_xlfn.IFERROR(SUM(取值!P28),"")</f>
        <v>20.07153</v>
      </c>
      <c r="Q28" s="73"/>
      <c r="R28" s="73"/>
      <c r="S28" s="73"/>
      <c r="T28" s="73"/>
      <c r="U28" s="73"/>
      <c r="V28" s="73"/>
    </row>
    <row customHeight="1" ht="14.25">
      <c r="A29" s="73"/>
      <c r="B29" s="71"/>
      <c r="C29" s="57" t="s">
        <v>20</v>
      </c>
      <c r="D29" s="57" t="s">
        <v>58</v>
      </c>
      <c r="E29" s="87">
        <f>_xlfn.IFERROR(SUM(取值!E29),"")</f>
        <v>0</v>
      </c>
      <c r="F29" s="87">
        <f>_xlfn.IFERROR(SUM(取值!F29),"")</f>
        <v>0</v>
      </c>
      <c r="G29" s="87">
        <f>_xlfn.IFERROR(SUM(取值!G29),"")</f>
        <v>0</v>
      </c>
      <c r="H29" s="87">
        <f>_xlfn.IFERROR(SUM(取值!H29),"")</f>
        <v>0</v>
      </c>
      <c r="I29" s="87">
        <f>_xlfn.IFERROR(SUM(取值!I29),"")</f>
        <v>0</v>
      </c>
      <c r="J29" s="87">
        <f>_xlfn.IFERROR(SUM(取值!J29),"")</f>
        <v>0</v>
      </c>
      <c r="K29" s="87">
        <f>_xlfn.IFERROR(SUM(取值!K29),"")</f>
        <v>0</v>
      </c>
      <c r="L29" s="87">
        <f>_xlfn.IFERROR(SUM(取值!L29),"")</f>
        <v>0</v>
      </c>
      <c r="M29" s="87">
        <f>_xlfn.IFERROR(SUM(取值!M29),"")</f>
        <v>0</v>
      </c>
      <c r="N29" s="87">
        <f>_xlfn.IFERROR(SUM(取值!N29),"")</f>
        <v>0</v>
      </c>
      <c r="O29" s="87">
        <f>_xlfn.IFERROR(SUM(取值!O29),"")</f>
        <v>0</v>
      </c>
      <c r="P29" s="87">
        <f>_xlfn.IFERROR(SUM(取值!P29),"")</f>
        <v>0</v>
      </c>
      <c r="Q29" s="73"/>
      <c r="R29" s="73"/>
      <c r="S29" s="73"/>
      <c r="T29" s="73"/>
      <c r="U29" s="73"/>
      <c r="V29" s="73"/>
    </row>
    <row customHeight="1" ht="14.25">
      <c r="A30" s="73"/>
      <c r="B30" s="71"/>
      <c r="C30" s="57" t="s">
        <v>59</v>
      </c>
      <c r="D30" s="57" t="s">
        <v>60</v>
      </c>
      <c r="E30" s="87">
        <f>_xlfn.IFERROR(SUM(取值!E30),"")</f>
        <v>1.73473</v>
      </c>
      <c r="F30" s="87">
        <f>_xlfn.IFERROR(SUM(取值!F30),"")</f>
        <v>1.733075</v>
      </c>
      <c r="G30" s="87">
        <f>_xlfn.IFERROR(SUM(取值!G30),"")</f>
        <v>1.736275</v>
      </c>
      <c r="H30" s="87">
        <f>_xlfn.IFERROR(SUM(取值!H30),"")</f>
        <v>1.737021</v>
      </c>
      <c r="I30" s="87">
        <f>_xlfn.IFERROR(SUM(取值!I30),"")</f>
        <v>1.714893</v>
      </c>
      <c r="J30" s="87">
        <f>_xlfn.IFERROR(SUM(取值!J30),"")</f>
        <v>1.724872</v>
      </c>
      <c r="K30" s="87">
        <f>_xlfn.IFERROR(SUM(取值!K30),"")</f>
        <v>1.724222</v>
      </c>
      <c r="L30" s="87">
        <f>_xlfn.IFERROR(SUM(取值!L30),"")</f>
        <v>1.739725</v>
      </c>
      <c r="M30" s="87">
        <f>_xlfn.IFERROR(SUM(取值!M30),"")</f>
        <v>1.729104</v>
      </c>
      <c r="N30" s="87">
        <f>_xlfn.IFERROR(SUM(取值!N30),"")</f>
        <v>1.721812</v>
      </c>
      <c r="O30" s="87">
        <f>_xlfn.IFERROR(SUM(取值!O30),"")</f>
        <v>1.72956</v>
      </c>
      <c r="P30" s="87">
        <f>_xlfn.IFERROR(SUM(取值!P30),"")</f>
        <v>1.731572</v>
      </c>
      <c r="Q30" s="73"/>
      <c r="R30" s="73"/>
      <c r="S30" s="73"/>
      <c r="T30" s="73"/>
      <c r="U30" s="73"/>
      <c r="V30" s="73"/>
    </row>
    <row customHeight="1" ht="14.25">
      <c r="A31" s="73"/>
      <c r="B31" s="71"/>
      <c r="C31" s="57" t="s">
        <v>61</v>
      </c>
      <c r="D31" s="57" t="s">
        <v>62</v>
      </c>
      <c r="E31" s="87">
        <f>_xlfn.IFERROR(SUM(取值!E31),"")</f>
        <v>151.2305</v>
      </c>
      <c r="F31" s="87">
        <f>_xlfn.IFERROR(SUM(取值!F31),"")</f>
        <v>152.261</v>
      </c>
      <c r="G31" s="87">
        <f>_xlfn.IFERROR(SUM(取值!G31),"")</f>
        <v>153.0492</v>
      </c>
      <c r="H31" s="87">
        <f>_xlfn.IFERROR(SUM(取值!H31),"")</f>
        <v>152.1515</v>
      </c>
      <c r="I31" s="87">
        <f>_xlfn.IFERROR(SUM(取值!I31),"")</f>
        <v>150.9187</v>
      </c>
      <c r="J31" s="87">
        <f>_xlfn.IFERROR(SUM(取值!J31),"")</f>
        <v>152.0392</v>
      </c>
      <c r="K31" s="87">
        <f>_xlfn.IFERROR(SUM(取值!K31),"")</f>
        <v>152.7689</v>
      </c>
      <c r="L31" s="87">
        <f>_xlfn.IFERROR(SUM(取值!L31),"")</f>
        <v>152.4096</v>
      </c>
      <c r="M31" s="87">
        <f>_xlfn.IFERROR(SUM(取值!M31),"")</f>
        <v>153.1664</v>
      </c>
      <c r="N31" s="87">
        <f>_xlfn.IFERROR(SUM(取值!N31),"")</f>
        <v>150.9076</v>
      </c>
      <c r="O31" s="87">
        <f>_xlfn.IFERROR(SUM(取值!O31),"")</f>
        <v>149.8868</v>
      </c>
      <c r="P31" s="87">
        <f>_xlfn.IFERROR(SUM(取值!P31),"")</f>
        <v>150.955</v>
      </c>
      <c r="Q31" s="73"/>
      <c r="R31" s="73"/>
      <c r="S31" s="73"/>
      <c r="T31" s="73"/>
      <c r="U31" s="73"/>
      <c r="V31" s="73"/>
    </row>
    <row customHeight="1" ht="14.25">
      <c r="A32" s="73"/>
      <c r="B32" s="71"/>
      <c r="C32" s="57" t="s">
        <v>63</v>
      </c>
      <c r="D32" s="57" t="s">
        <v>64</v>
      </c>
      <c r="E32" s="87">
        <f>_xlfn.IFERROR(SUM(取值!E32),"")</f>
        <v>229.9201</v>
      </c>
      <c r="F32" s="87">
        <f>_xlfn.IFERROR(SUM(取值!F32),"")</f>
        <v>229.9142</v>
      </c>
      <c r="G32" s="87">
        <f>_xlfn.IFERROR(SUM(取值!G32),"")</f>
        <v>230.084</v>
      </c>
      <c r="H32" s="87">
        <f>_xlfn.IFERROR(SUM(取值!H32),"")</f>
        <v>229.9445</v>
      </c>
      <c r="I32" s="87">
        <f>_xlfn.IFERROR(SUM(取值!I32),"")</f>
        <v>230.2732</v>
      </c>
      <c r="J32" s="87">
        <f>_xlfn.IFERROR(SUM(取值!J32),"")</f>
        <v>229.912</v>
      </c>
      <c r="K32" s="87">
        <f>_xlfn.IFERROR(SUM(取值!K32),"")</f>
        <v>229.9166</v>
      </c>
      <c r="L32" s="87">
        <f>_xlfn.IFERROR(SUM(取值!L32),"")</f>
        <v>229.5526</v>
      </c>
      <c r="M32" s="87">
        <f>_xlfn.IFERROR(SUM(取值!M32),"")</f>
        <v>229.764</v>
      </c>
      <c r="N32" s="87">
        <f>_xlfn.IFERROR(SUM(取值!N32),"")</f>
        <v>230.6621</v>
      </c>
      <c r="O32" s="87">
        <f>_xlfn.IFERROR(SUM(取值!O32),"")</f>
        <v>231.0779</v>
      </c>
      <c r="P32" s="87">
        <f>_xlfn.IFERROR(SUM(取值!P32),"")</f>
        <v>230.9865</v>
      </c>
      <c r="Q32" s="73"/>
      <c r="R32" s="73"/>
      <c r="S32" s="73"/>
      <c r="T32" s="73"/>
      <c r="U32" s="73"/>
      <c r="V32" s="73"/>
    </row>
    <row customHeight="1" ht="14.25">
      <c r="A33" s="73"/>
      <c r="B33" s="71"/>
      <c r="C33" s="57" t="s">
        <v>65</v>
      </c>
      <c r="D33" s="57" t="s">
        <v>66</v>
      </c>
      <c r="E33" s="87">
        <f>_xlfn.IFERROR(SUM(取值!E33),"")</f>
        <v>21.75922</v>
      </c>
      <c r="F33" s="87">
        <f>_xlfn.IFERROR(SUM(取值!F33),"")</f>
        <v>21.3431</v>
      </c>
      <c r="G33" s="87">
        <f>_xlfn.IFERROR(SUM(取值!G33),"")</f>
        <v>20.2494</v>
      </c>
      <c r="H33" s="87">
        <f>_xlfn.IFERROR(SUM(取值!H33),"")</f>
        <v>20.51443</v>
      </c>
      <c r="I33" s="87">
        <f>_xlfn.IFERROR(SUM(取值!I33),"")</f>
        <v>21.1531</v>
      </c>
      <c r="J33" s="87">
        <f>_xlfn.IFERROR(SUM(取值!J33),"")</f>
        <v>20.93544</v>
      </c>
      <c r="K33" s="87">
        <f>_xlfn.IFERROR(SUM(取值!K33),"")</f>
        <v>20.35954</v>
      </c>
      <c r="L33" s="87">
        <f>_xlfn.IFERROR(SUM(取值!L33),"")</f>
        <v>20.54657</v>
      </c>
      <c r="M33" s="87">
        <f>_xlfn.IFERROR(SUM(取值!M33),"")</f>
        <v>19.90054</v>
      </c>
      <c r="N33" s="87">
        <f>_xlfn.IFERROR(SUM(取值!N33),"")</f>
        <v>20.24636</v>
      </c>
      <c r="O33" s="87">
        <f>_xlfn.IFERROR(SUM(取值!O33),"")</f>
        <v>21.24424</v>
      </c>
      <c r="P33" s="87">
        <f>_xlfn.IFERROR(SUM(取值!P33),"")</f>
        <v>21.4762</v>
      </c>
      <c r="Q33" s="73"/>
      <c r="R33" s="73"/>
      <c r="S33" s="73"/>
      <c r="T33" s="73"/>
      <c r="U33" s="73"/>
      <c r="V33" s="73"/>
    </row>
    <row customHeight="1" ht="14.25">
      <c r="A34" s="73"/>
      <c r="B34" s="71" t="s">
        <v>67</v>
      </c>
      <c r="C34" s="57" t="s">
        <v>68</v>
      </c>
      <c r="D34" s="57" t="s">
        <v>69</v>
      </c>
      <c r="E34" s="87">
        <f>_xlfn.IFERROR(SUM(取值!E34),"")</f>
        <v>0</v>
      </c>
      <c r="F34" s="87">
        <f>_xlfn.IFERROR(SUM(取值!F34),"")</f>
        <v>0</v>
      </c>
      <c r="G34" s="87">
        <f>_xlfn.IFERROR(SUM(取值!G34),"")</f>
        <v>0</v>
      </c>
      <c r="H34" s="87">
        <f>_xlfn.IFERROR(SUM(取值!H34),"")</f>
        <v>0</v>
      </c>
      <c r="I34" s="87">
        <f>_xlfn.IFERROR(SUM(取值!I34),"")</f>
        <v>0</v>
      </c>
      <c r="J34" s="87">
        <f>_xlfn.IFERROR(SUM(取值!J34),"")</f>
        <v>0</v>
      </c>
      <c r="K34" s="87">
        <f>_xlfn.IFERROR(SUM(取值!K34),"")</f>
        <v>0</v>
      </c>
      <c r="L34" s="87">
        <f>_xlfn.IFERROR(SUM(取值!L34),"")</f>
        <v>0</v>
      </c>
      <c r="M34" s="87">
        <f>_xlfn.IFERROR(SUM(取值!M34),"")</f>
        <v>0</v>
      </c>
      <c r="N34" s="87">
        <f>_xlfn.IFERROR(SUM(取值!N34),"")</f>
        <v>0</v>
      </c>
      <c r="O34" s="87">
        <f>_xlfn.IFERROR(SUM(取值!O34),"")</f>
        <v>0</v>
      </c>
      <c r="P34" s="87">
        <f>_xlfn.IFERROR(SUM(取值!P34),"")</f>
        <v>0</v>
      </c>
      <c r="Q34" s="73"/>
      <c r="R34" s="73"/>
      <c r="S34" s="73"/>
      <c r="T34" s="73"/>
      <c r="U34" s="73"/>
      <c r="V34" s="73"/>
    </row>
    <row customHeight="1" ht="14.25">
      <c r="A35" s="73"/>
      <c r="B35" s="71"/>
      <c r="C35" s="57" t="s">
        <v>70</v>
      </c>
      <c r="D35" s="57" t="s">
        <v>71</v>
      </c>
      <c r="E35" s="87">
        <f>_xlfn.IFERROR(SUM(取值!E35),"")</f>
        <v>4572.345</v>
      </c>
      <c r="F35" s="87">
        <f>_xlfn.IFERROR(SUM(取值!F35),"")</f>
        <v>4418.345</v>
      </c>
      <c r="G35" s="87">
        <f>_xlfn.IFERROR(SUM(取值!G35),"")</f>
        <v>4561.872</v>
      </c>
      <c r="H35" s="87">
        <f>_xlfn.IFERROR(SUM(取值!H35),"")</f>
        <v>4622.612</v>
      </c>
      <c r="I35" s="87">
        <f>_xlfn.IFERROR(SUM(取值!I35),"")</f>
        <v>4607.598</v>
      </c>
      <c r="J35" s="87">
        <f>_xlfn.IFERROR(SUM(取值!J35),"")</f>
        <v>4591.213</v>
      </c>
      <c r="K35" s="87">
        <f>_xlfn.IFERROR(SUM(取值!K35),"")</f>
        <v>4552.431</v>
      </c>
      <c r="L35" s="87">
        <f>_xlfn.IFERROR(SUM(取值!L35),"")</f>
        <v>4536.6</v>
      </c>
      <c r="M35" s="87">
        <f>_xlfn.IFERROR(SUM(取值!M35),"")</f>
        <v>4411.366</v>
      </c>
      <c r="N35" s="87">
        <f>_xlfn.IFERROR(SUM(取值!N35),"")</f>
        <v>4360.901</v>
      </c>
      <c r="O35" s="87">
        <f>_xlfn.IFERROR(SUM(取值!O35),"")</f>
        <v>4476.547</v>
      </c>
      <c r="P35" s="87">
        <f>_xlfn.IFERROR(SUM(取值!P35),"")</f>
        <v>4227.256</v>
      </c>
      <c r="Q35" s="73"/>
      <c r="R35" s="73"/>
      <c r="S35" s="73"/>
      <c r="T35" s="73"/>
      <c r="U35" s="73"/>
      <c r="V35" s="73"/>
    </row>
    <row customHeight="1" ht="14.25">
      <c r="A36" s="73"/>
      <c r="B36" s="71"/>
      <c r="C36" s="57" t="s">
        <v>72</v>
      </c>
      <c r="D36" s="57" t="s">
        <v>73</v>
      </c>
      <c r="E36" s="87">
        <f>_xlfn.IFERROR(SUM(取值!E36),"")</f>
        <v>335.212</v>
      </c>
      <c r="F36" s="87">
        <f>_xlfn.IFERROR(SUM(取值!F36),"")</f>
        <v>333.9731</v>
      </c>
      <c r="G36" s="87">
        <f>_xlfn.IFERROR(SUM(取值!G36),"")</f>
        <v>332.2179</v>
      </c>
      <c r="H36" s="87">
        <f>_xlfn.IFERROR(SUM(取值!H36),"")</f>
        <v>332.9783</v>
      </c>
      <c r="I36" s="87">
        <f>_xlfn.IFERROR(SUM(取值!I36),"")</f>
        <v>333.2394</v>
      </c>
      <c r="J36" s="87">
        <f>_xlfn.IFERROR(SUM(取值!J36),"")</f>
        <v>332.6369</v>
      </c>
      <c r="K36" s="87">
        <f>_xlfn.IFERROR(SUM(取值!K36),"")</f>
        <v>335.2573</v>
      </c>
      <c r="L36" s="87">
        <f>_xlfn.IFERROR(SUM(取值!L36),"")</f>
        <v>335.2245</v>
      </c>
      <c r="M36" s="87">
        <f>_xlfn.IFERROR(SUM(取值!M36),"")</f>
        <v>338.3408</v>
      </c>
      <c r="N36" s="87">
        <f>_xlfn.IFERROR(SUM(取值!N36),"")</f>
        <v>338.7721</v>
      </c>
      <c r="O36" s="87">
        <f>_xlfn.IFERROR(SUM(取值!O36),"")</f>
        <v>337.7673</v>
      </c>
      <c r="P36" s="87">
        <f>_xlfn.IFERROR(SUM(取值!P36),"")</f>
        <v>336.1243</v>
      </c>
      <c r="Q36" s="73"/>
      <c r="R36" s="73"/>
      <c r="S36" s="73"/>
      <c r="T36" s="73"/>
      <c r="U36" s="73"/>
      <c r="V36" s="73"/>
    </row>
    <row customHeight="1" ht="14.25">
      <c r="A37" s="73"/>
      <c r="B37" s="71"/>
      <c r="C37" s="57" t="s">
        <v>74</v>
      </c>
      <c r="D37" s="57" t="s">
        <v>75</v>
      </c>
      <c r="E37" s="87">
        <f>_xlfn.IFERROR(SUM(取值!E37),"")</f>
        <v>4886.056</v>
      </c>
      <c r="F37" s="87">
        <f>_xlfn.IFERROR(SUM(取值!F37),"")</f>
        <v>4894.98</v>
      </c>
      <c r="G37" s="87">
        <f>_xlfn.IFERROR(SUM(取值!G37),"")</f>
        <v>4909.336</v>
      </c>
      <c r="H37" s="87">
        <f>_xlfn.IFERROR(SUM(取值!H37),"")</f>
        <v>4911.719</v>
      </c>
      <c r="I37" s="87">
        <f>_xlfn.IFERROR(SUM(取值!I37),"")</f>
        <v>4905.127</v>
      </c>
      <c r="J37" s="87">
        <f>_xlfn.IFERROR(SUM(取值!J37),"")</f>
        <v>4915.269</v>
      </c>
      <c r="K37" s="87">
        <f>_xlfn.IFERROR(SUM(取值!K37),"")</f>
        <v>4879.065</v>
      </c>
      <c r="L37" s="87">
        <f>_xlfn.IFERROR(SUM(取值!L37),"")</f>
        <v>4934.285</v>
      </c>
      <c r="M37" s="87">
        <f>_xlfn.IFERROR(SUM(取值!M37),"")</f>
        <v>4890.448</v>
      </c>
      <c r="N37" s="87">
        <f>_xlfn.IFERROR(SUM(取值!N37),"")</f>
        <v>4986.16</v>
      </c>
      <c r="O37" s="87">
        <f>_xlfn.IFERROR(SUM(取值!O37),"")</f>
        <v>5026.828</v>
      </c>
      <c r="P37" s="87">
        <f>_xlfn.IFERROR(SUM(取值!P37),"")</f>
        <v>4986.615</v>
      </c>
      <c r="Q37" s="73"/>
      <c r="R37" s="73"/>
      <c r="S37" s="73"/>
      <c r="T37" s="73"/>
      <c r="U37" s="73"/>
      <c r="V37" s="73"/>
    </row>
    <row customHeight="1" ht="14.25">
      <c r="A38" s="73"/>
      <c r="B38" s="71"/>
      <c r="C38" s="57" t="s">
        <v>76</v>
      </c>
      <c r="D38" s="57" t="s">
        <v>77</v>
      </c>
      <c r="E38" s="87">
        <f>_xlfn.IFERROR(SUM(取值!E38),"")</f>
        <v>16.02656</v>
      </c>
      <c r="F38" s="87">
        <f>_xlfn.IFERROR(SUM(取值!F38),"")</f>
        <v>16.01279</v>
      </c>
      <c r="G38" s="87">
        <f>_xlfn.IFERROR(SUM(取值!G38),"")</f>
        <v>16.05494</v>
      </c>
      <c r="H38" s="87">
        <f>_xlfn.IFERROR(SUM(取值!H38),"")</f>
        <v>16.06004</v>
      </c>
      <c r="I38" s="87">
        <f>_xlfn.IFERROR(SUM(取值!I38),"")</f>
        <v>16.00188</v>
      </c>
      <c r="J38" s="87">
        <f>_xlfn.IFERROR(SUM(取值!J38),"")</f>
        <v>16.07828</v>
      </c>
      <c r="K38" s="87">
        <f>_xlfn.IFERROR(SUM(取值!K38),"")</f>
        <v>16.05605</v>
      </c>
      <c r="L38" s="87">
        <f>_xlfn.IFERROR(SUM(取值!L38),"")</f>
        <v>16.09891</v>
      </c>
      <c r="M38" s="87">
        <f>_xlfn.IFERROR(SUM(取值!M38),"")</f>
        <v>16.06186</v>
      </c>
      <c r="N38" s="87">
        <f>_xlfn.IFERROR(SUM(取值!N38),"")</f>
        <v>16.06139</v>
      </c>
      <c r="O38" s="87">
        <f>_xlfn.IFERROR(SUM(取值!O38),"")</f>
        <v>16.0167</v>
      </c>
      <c r="P38" s="87">
        <f>_xlfn.IFERROR(SUM(取值!P38),"")</f>
        <v>16.04389</v>
      </c>
      <c r="Q38" s="73"/>
      <c r="R38" s="73"/>
      <c r="S38" s="73"/>
      <c r="T38" s="73"/>
      <c r="U38" s="73"/>
      <c r="V38" s="73"/>
    </row>
    <row customHeight="1" ht="14.25">
      <c r="A39" s="73"/>
      <c r="B39" s="71"/>
      <c r="C39" s="57" t="s">
        <v>78</v>
      </c>
      <c r="D39" s="57" t="s">
        <v>79</v>
      </c>
      <c r="E39" s="87">
        <f>_xlfn.IFERROR(SUM(取值!E39),"")</f>
        <v>457.4214</v>
      </c>
      <c r="F39" s="87">
        <f>_xlfn.IFERROR(SUM(取值!F39),"")</f>
        <v>457.4409</v>
      </c>
      <c r="G39" s="87">
        <f>_xlfn.IFERROR(SUM(取值!G39),"")</f>
        <v>456.1681</v>
      </c>
      <c r="H39" s="87">
        <f>_xlfn.IFERROR(SUM(取值!H39),"")</f>
        <v>456.2197</v>
      </c>
      <c r="I39" s="87">
        <f>_xlfn.IFERROR(SUM(取值!I39),"")</f>
        <v>456.4231</v>
      </c>
      <c r="J39" s="87">
        <f>_xlfn.IFERROR(SUM(取值!J39),"")</f>
        <v>456.1841</v>
      </c>
      <c r="K39" s="87">
        <f>_xlfn.IFERROR(SUM(取值!K39),"")</f>
        <v>458.6392</v>
      </c>
      <c r="L39" s="87">
        <f>_xlfn.IFERROR(SUM(取值!L39),"")</f>
        <v>453.2147</v>
      </c>
      <c r="M39" s="87">
        <f>_xlfn.IFERROR(SUM(取值!M39),"")</f>
        <v>456.2177</v>
      </c>
      <c r="N39" s="87">
        <f>_xlfn.IFERROR(SUM(取值!N39),"")</f>
        <v>456.3517</v>
      </c>
      <c r="O39" s="87">
        <f>_xlfn.IFERROR(SUM(取值!O39),"")</f>
        <v>457.2298</v>
      </c>
      <c r="P39" s="87">
        <f>_xlfn.IFERROR(SUM(取值!P39),"")</f>
        <v>457.1262</v>
      </c>
      <c r="Q39" s="73"/>
      <c r="R39" s="73"/>
      <c r="S39" s="73"/>
      <c r="T39" s="73"/>
      <c r="U39" s="73"/>
      <c r="V39" s="73"/>
    </row>
    <row customHeight="1" ht="14.25">
      <c r="A40" s="73"/>
      <c r="B40" s="71"/>
      <c r="C40" s="57" t="s">
        <v>80</v>
      </c>
      <c r="D40" s="57" t="s">
        <v>81</v>
      </c>
      <c r="E40" s="87">
        <f>_xlfn.IFERROR(SUM(取值!E40),"")</f>
        <v>730.493</v>
      </c>
      <c r="F40" s="87">
        <f>_xlfn.IFERROR(SUM(取值!F40),"")</f>
        <v>730.7803</v>
      </c>
      <c r="G40" s="87">
        <f>_xlfn.IFERROR(SUM(取值!G40),"")</f>
        <v>730.0059</v>
      </c>
      <c r="H40" s="87">
        <f>_xlfn.IFERROR(SUM(取值!H40),"")</f>
        <v>730.3513</v>
      </c>
      <c r="I40" s="87">
        <f>_xlfn.IFERROR(SUM(取值!I40),"")</f>
        <v>730.5482</v>
      </c>
      <c r="J40" s="87">
        <f>_xlfn.IFERROR(SUM(取值!J40),"")</f>
        <v>730.3562</v>
      </c>
      <c r="K40" s="87">
        <f>_xlfn.IFERROR(SUM(取值!K40),"")</f>
        <v>730.8309</v>
      </c>
      <c r="L40" s="87">
        <f>_xlfn.IFERROR(SUM(取值!L40),"")</f>
        <v>729.6143</v>
      </c>
      <c r="M40" s="87">
        <f>_xlfn.IFERROR(SUM(取值!M40),"")</f>
        <v>727.0994</v>
      </c>
      <c r="N40" s="87">
        <f>_xlfn.IFERROR(SUM(取值!N40),"")</f>
        <v>726.3113</v>
      </c>
      <c r="O40" s="87">
        <f>_xlfn.IFERROR(SUM(取值!O40),"")</f>
        <v>727.5468</v>
      </c>
      <c r="P40" s="87">
        <f>_xlfn.IFERROR(SUM(取值!P40),"")</f>
        <v>726.2589</v>
      </c>
      <c r="Q40" s="73"/>
      <c r="R40" s="73"/>
      <c r="S40" s="73"/>
      <c r="T40" s="73"/>
      <c r="U40" s="73"/>
      <c r="V40" s="73"/>
    </row>
    <row customHeight="1" ht="14.25">
      <c r="A41" s="73"/>
      <c r="B41" s="71"/>
      <c r="C41" s="57" t="s">
        <v>82</v>
      </c>
      <c r="D41" s="57" t="s">
        <v>83</v>
      </c>
      <c r="E41" s="87">
        <f>_xlfn.IFERROR(SUM(取值!E41),"")</f>
        <v>99.47729</v>
      </c>
      <c r="F41" s="87">
        <f>_xlfn.IFERROR(SUM(取值!F41),"")</f>
        <v>99.25842</v>
      </c>
      <c r="G41" s="87">
        <f>_xlfn.IFERROR(SUM(取值!G41),"")</f>
        <v>99.39027</v>
      </c>
      <c r="H41" s="87">
        <f>_xlfn.IFERROR(SUM(取值!H41),"")</f>
        <v>99.09201</v>
      </c>
      <c r="I41" s="87">
        <f>_xlfn.IFERROR(SUM(取值!I41),"")</f>
        <v>99.00618</v>
      </c>
      <c r="J41" s="87">
        <f>_xlfn.IFERROR(SUM(取值!J41),"")</f>
        <v>99.84875</v>
      </c>
      <c r="K41" s="87">
        <f>_xlfn.IFERROR(SUM(取值!K41),"")</f>
        <v>99.67923</v>
      </c>
      <c r="L41" s="87">
        <f>_xlfn.IFERROR(SUM(取值!L41),"")</f>
        <v>99.9763</v>
      </c>
      <c r="M41" s="87">
        <f>_xlfn.IFERROR(SUM(取值!M41),"")</f>
        <v>99.27106</v>
      </c>
      <c r="N41" s="87">
        <f>_xlfn.IFERROR(SUM(取值!N41),"")</f>
        <v>100.112</v>
      </c>
      <c r="O41" s="87">
        <f>_xlfn.IFERROR(SUM(取值!O41),"")</f>
        <v>99.72072</v>
      </c>
      <c r="P41" s="87">
        <f>_xlfn.IFERROR(SUM(取值!P41),"")</f>
        <v>99.72835</v>
      </c>
      <c r="Q41" s="73"/>
      <c r="R41" s="73"/>
      <c r="S41" s="73"/>
      <c r="T41" s="73"/>
      <c r="U41" s="73"/>
      <c r="V41" s="73"/>
    </row>
    <row customHeight="1" ht="14.25">
      <c r="A42" s="73"/>
      <c r="B42" s="71"/>
      <c r="C42" s="57" t="s">
        <v>84</v>
      </c>
      <c r="D42" s="57" t="s">
        <v>85</v>
      </c>
      <c r="E42" s="87">
        <f>_xlfn.IFERROR(SUM(取值!E42),"")</f>
        <v>381.3848</v>
      </c>
      <c r="F42" s="87">
        <f>_xlfn.IFERROR(SUM(取值!F42),"")</f>
        <v>381.0941</v>
      </c>
      <c r="G42" s="87">
        <f>_xlfn.IFERROR(SUM(取值!G42),"")</f>
        <v>381.1271</v>
      </c>
      <c r="H42" s="87">
        <f>_xlfn.IFERROR(SUM(取值!H42),"")</f>
        <v>381.6003</v>
      </c>
      <c r="I42" s="87">
        <f>_xlfn.IFERROR(SUM(取值!I42),"")</f>
        <v>382.0847</v>
      </c>
      <c r="J42" s="87">
        <f>_xlfn.IFERROR(SUM(取值!J42),"")</f>
        <v>381.0371</v>
      </c>
      <c r="K42" s="87">
        <f>_xlfn.IFERROR(SUM(取值!K42),"")</f>
        <v>381.7992</v>
      </c>
      <c r="L42" s="87">
        <f>_xlfn.IFERROR(SUM(取值!L42),"")</f>
        <v>380.4067</v>
      </c>
      <c r="M42" s="87">
        <f>_xlfn.IFERROR(SUM(取值!M42),"")</f>
        <v>380.3272</v>
      </c>
      <c r="N42" s="87">
        <f>_xlfn.IFERROR(SUM(取值!N42),"")</f>
        <v>380.3484</v>
      </c>
      <c r="O42" s="87">
        <f>_xlfn.IFERROR(SUM(取值!O42),"")</f>
        <v>380.4004</v>
      </c>
      <c r="P42" s="87">
        <f>_xlfn.IFERROR(SUM(取值!P42),"")</f>
        <v>380.1695</v>
      </c>
      <c r="Q42" s="73"/>
      <c r="R42" s="73"/>
      <c r="S42" s="73"/>
      <c r="T42" s="73"/>
      <c r="U42" s="73"/>
      <c r="V42" s="73"/>
    </row>
    <row customHeight="1" ht="14.25">
      <c r="A43" s="73"/>
      <c r="B43" s="71"/>
      <c r="C43" s="57" t="s">
        <v>86</v>
      </c>
      <c r="D43" s="57" t="s">
        <v>87</v>
      </c>
      <c r="E43" s="87">
        <f>_xlfn.IFERROR(SUM(取值!E43),"")</f>
        <v>12686.47</v>
      </c>
      <c r="F43" s="87">
        <f>_xlfn.IFERROR(SUM(取值!F43),"")</f>
        <v>12643.72</v>
      </c>
      <c r="G43" s="87">
        <f>_xlfn.IFERROR(SUM(取值!G43),"")</f>
        <v>12522.22</v>
      </c>
      <c r="H43" s="87">
        <f>_xlfn.IFERROR(SUM(取值!H43),"")</f>
        <v>12530.27</v>
      </c>
      <c r="I43" s="87">
        <f>_xlfn.IFERROR(SUM(取值!I43),"")</f>
        <v>12545.31</v>
      </c>
      <c r="J43" s="87">
        <f>_xlfn.IFERROR(SUM(取值!J43),"")</f>
        <v>12517.04</v>
      </c>
      <c r="K43" s="87">
        <f>_xlfn.IFERROR(SUM(取值!K43),"")</f>
        <v>12839.24</v>
      </c>
      <c r="L43" s="87">
        <f>_xlfn.IFERROR(SUM(取值!L43),"")</f>
        <v>12658.86</v>
      </c>
      <c r="M43" s="87">
        <f>_xlfn.IFERROR(SUM(取值!M43),"")</f>
        <v>12687.89</v>
      </c>
      <c r="N43" s="87">
        <f>_xlfn.IFERROR(SUM(取值!N43),"")</f>
        <v>12532.9</v>
      </c>
      <c r="O43" s="87">
        <f>_xlfn.IFERROR(SUM(取值!O43),"")</f>
        <v>12690.02</v>
      </c>
      <c r="P43" s="87">
        <f>_xlfn.IFERROR(SUM(取值!P43),"")</f>
        <v>12678.65</v>
      </c>
      <c r="Q43" s="73"/>
      <c r="R43" s="73"/>
      <c r="S43" s="73"/>
      <c r="T43" s="73"/>
      <c r="U43" s="73"/>
      <c r="V43" s="73"/>
    </row>
    <row customHeight="1" ht="14.25">
      <c r="A44" s="73"/>
      <c r="B44" s="71" t="s">
        <v>88</v>
      </c>
      <c r="C44" s="57" t="s">
        <v>89</v>
      </c>
      <c r="D44" s="57" t="s">
        <v>90</v>
      </c>
      <c r="E44" s="87">
        <f>_xlfn.IFERROR(SUM(取值!E44),"")</f>
        <v>45.10412</v>
      </c>
      <c r="F44" s="87">
        <f>_xlfn.IFERROR(SUM(取值!F44),"")</f>
        <v>44.99863</v>
      </c>
      <c r="G44" s="87">
        <f>_xlfn.IFERROR(SUM(取值!G44),"")</f>
        <v>44.99743</v>
      </c>
      <c r="H44" s="87">
        <f>_xlfn.IFERROR(SUM(取值!H44),"")</f>
        <v>44.83663</v>
      </c>
      <c r="I44" s="87">
        <f>_xlfn.IFERROR(SUM(取值!I44),"")</f>
        <v>45.11076</v>
      </c>
      <c r="J44" s="87">
        <f>_xlfn.IFERROR(SUM(取值!J44),"")</f>
        <v>24.6969</v>
      </c>
      <c r="K44" s="87">
        <f>_xlfn.IFERROR(SUM(取值!K44),"")</f>
        <v>25.06451</v>
      </c>
      <c r="L44" s="87">
        <f>_xlfn.IFERROR(SUM(取值!L44),"")</f>
        <v>24.49276</v>
      </c>
      <c r="M44" s="87">
        <f>_xlfn.IFERROR(SUM(取值!M44),"")</f>
        <v>24.74059</v>
      </c>
      <c r="N44" s="87">
        <f>_xlfn.IFERROR(SUM(取值!N44),"")</f>
        <v>24.8713</v>
      </c>
      <c r="O44" s="87">
        <f>_xlfn.IFERROR(SUM(取值!O44),"")</f>
        <v>24.82147</v>
      </c>
      <c r="P44" s="87">
        <f>_xlfn.IFERROR(SUM(取值!P44),"")</f>
        <v>24.62029</v>
      </c>
      <c r="Q44" s="73"/>
      <c r="R44" s="73"/>
      <c r="S44" s="73"/>
      <c r="T44" s="73"/>
      <c r="U44" s="73"/>
      <c r="V44" s="73"/>
    </row>
    <row customHeight="1" ht="14.25">
      <c r="A45" s="73"/>
      <c r="B45" s="71"/>
      <c r="C45" s="57" t="s">
        <v>91</v>
      </c>
      <c r="D45" s="57" t="s">
        <v>92</v>
      </c>
      <c r="E45" s="87">
        <f>_xlfn.IFERROR(SUM(取值!E45),"")</f>
        <v>140.7432</v>
      </c>
      <c r="F45" s="87">
        <f>_xlfn.IFERROR(SUM(取值!F45),"")</f>
        <v>140.4339</v>
      </c>
      <c r="G45" s="87">
        <f>_xlfn.IFERROR(SUM(取值!G45),"")</f>
        <v>140.1254</v>
      </c>
      <c r="H45" s="87">
        <f>_xlfn.IFERROR(SUM(取值!H45),"")</f>
        <v>140.6689</v>
      </c>
      <c r="I45" s="87">
        <f>_xlfn.IFERROR(SUM(取值!I45),"")</f>
        <v>140.5471</v>
      </c>
      <c r="J45" s="87">
        <f>_xlfn.IFERROR(SUM(取值!J45),"")</f>
        <v>111.2144</v>
      </c>
      <c r="K45" s="87">
        <f>_xlfn.IFERROR(SUM(取值!K45),"")</f>
        <v>112.01</v>
      </c>
      <c r="L45" s="87">
        <f>_xlfn.IFERROR(SUM(取值!L45),"")</f>
        <v>111.2044</v>
      </c>
      <c r="M45" s="87">
        <f>_xlfn.IFERROR(SUM(取值!M45),"")</f>
        <v>111.9233</v>
      </c>
      <c r="N45" s="87">
        <f>_xlfn.IFERROR(SUM(取值!N45),"")</f>
        <v>111.2625</v>
      </c>
      <c r="O45" s="87">
        <f>_xlfn.IFERROR(SUM(取值!O45),"")</f>
        <v>111.7875</v>
      </c>
      <c r="P45" s="87">
        <f>_xlfn.IFERROR(SUM(取值!P45),"")</f>
        <v>111.2409</v>
      </c>
      <c r="Q45" s="73"/>
      <c r="R45" s="73"/>
      <c r="S45" s="73"/>
      <c r="T45" s="73"/>
      <c r="U45" s="73"/>
      <c r="V45" s="73"/>
    </row>
    <row customHeight="1" ht="14.25">
      <c r="A46" s="73"/>
      <c r="B46" s="71"/>
      <c r="C46" s="57" t="s">
        <v>93</v>
      </c>
      <c r="D46" s="57" t="s">
        <v>94</v>
      </c>
      <c r="E46" s="87">
        <f>_xlfn.IFERROR(SUM(取值!E46),"")</f>
        <v>329.5607</v>
      </c>
      <c r="F46" s="87">
        <f>_xlfn.IFERROR(SUM(取值!F46),"")</f>
        <v>329.7551</v>
      </c>
      <c r="G46" s="87">
        <f>_xlfn.IFERROR(SUM(取值!G46),"")</f>
        <v>328.491</v>
      </c>
      <c r="H46" s="87">
        <f>_xlfn.IFERROR(SUM(取值!H46),"")</f>
        <v>328.7724</v>
      </c>
      <c r="I46" s="87">
        <f>_xlfn.IFERROR(SUM(取值!I46),"")</f>
        <v>329.0837</v>
      </c>
      <c r="J46" s="87">
        <f>_xlfn.IFERROR(SUM(取值!J46),"")</f>
        <v>334.2416</v>
      </c>
      <c r="K46" s="87">
        <f>_xlfn.IFERROR(SUM(取值!K46),"")</f>
        <v>337.4872</v>
      </c>
      <c r="L46" s="87">
        <f>_xlfn.IFERROR(SUM(取值!L46),"")</f>
        <v>338.6969</v>
      </c>
      <c r="M46" s="87">
        <f>_xlfn.IFERROR(SUM(取值!M46),"")</f>
        <v>338.5623</v>
      </c>
      <c r="N46" s="87">
        <f>_xlfn.IFERROR(SUM(取值!N46),"")</f>
        <v>338.7605</v>
      </c>
      <c r="O46" s="87">
        <f>_xlfn.IFERROR(SUM(取值!O46),"")</f>
        <v>339.4861</v>
      </c>
      <c r="P46" s="87">
        <f>_xlfn.IFERROR(SUM(取值!P46),"")</f>
        <v>339.5148</v>
      </c>
      <c r="Q46" s="73"/>
      <c r="R46" s="73"/>
      <c r="S46" s="73"/>
      <c r="T46" s="73"/>
      <c r="U46" s="73"/>
      <c r="V46" s="73"/>
    </row>
    <row customHeight="1" ht="14.25">
      <c r="A47" s="73"/>
      <c r="B47" s="71"/>
      <c r="C47" s="57" t="s">
        <v>95</v>
      </c>
      <c r="D47" s="57" t="s">
        <v>96</v>
      </c>
      <c r="E47" s="87">
        <f>_xlfn.IFERROR(SUM(取值!E47),"")</f>
        <v>371.7365</v>
      </c>
      <c r="F47" s="87">
        <f>_xlfn.IFERROR(SUM(取值!F47),"")</f>
        <v>372.612</v>
      </c>
      <c r="G47" s="87">
        <f>_xlfn.IFERROR(SUM(取值!G47),"")</f>
        <v>371.5726</v>
      </c>
      <c r="H47" s="87">
        <f>_xlfn.IFERROR(SUM(取值!H47),"")</f>
        <v>371.5799</v>
      </c>
      <c r="I47" s="87">
        <f>_xlfn.IFERROR(SUM(取值!I47),"")</f>
        <v>372.2083</v>
      </c>
      <c r="J47" s="87">
        <f>_xlfn.IFERROR(SUM(取值!J47),"")</f>
        <v>372.5881</v>
      </c>
      <c r="K47" s="87">
        <f>_xlfn.IFERROR(SUM(取值!K47),"")</f>
        <v>373.2346</v>
      </c>
      <c r="L47" s="87">
        <f>_xlfn.IFERROR(SUM(取值!L47),"")</f>
        <v>373.9222</v>
      </c>
      <c r="M47" s="87">
        <f>_xlfn.IFERROR(SUM(取值!M47),"")</f>
        <v>376.3033</v>
      </c>
      <c r="N47" s="87">
        <f>_xlfn.IFERROR(SUM(取值!N47),"")</f>
        <v>376.3249</v>
      </c>
      <c r="O47" s="87">
        <f>_xlfn.IFERROR(SUM(取值!O47),"")</f>
        <v>375.9666</v>
      </c>
      <c r="P47" s="87">
        <f>_xlfn.IFERROR(SUM(取值!P47),"")</f>
        <v>376.6501</v>
      </c>
      <c r="Q47" s="73"/>
      <c r="R47" s="73"/>
      <c r="S47" s="73"/>
      <c r="T47" s="73"/>
      <c r="U47" s="73"/>
      <c r="V47" s="73"/>
    </row>
    <row customHeight="1" ht="14.25">
      <c r="A48" s="73"/>
      <c r="B48" s="71"/>
      <c r="C48" s="57" t="s">
        <v>97</v>
      </c>
      <c r="D48" s="57" t="s">
        <v>98</v>
      </c>
      <c r="E48" s="87">
        <f>_xlfn.IFERROR(SUM(取值!E48),"")</f>
        <v>6.452491</v>
      </c>
      <c r="F48" s="87">
        <f>_xlfn.IFERROR(SUM(取值!F48),"")</f>
        <v>6.415092</v>
      </c>
      <c r="G48" s="87">
        <f>_xlfn.IFERROR(SUM(取值!G48),"")</f>
        <v>6.416487</v>
      </c>
      <c r="H48" s="87">
        <f>_xlfn.IFERROR(SUM(取值!H48),"")</f>
        <v>6.476425</v>
      </c>
      <c r="I48" s="87">
        <f>_xlfn.IFERROR(SUM(取值!I48),"")</f>
        <v>6.554429</v>
      </c>
      <c r="J48" s="87">
        <f>_xlfn.IFERROR(SUM(取值!J48),"")</f>
        <v>6.500007</v>
      </c>
      <c r="K48" s="87">
        <f>_xlfn.IFERROR(SUM(取值!K48),"")</f>
        <v>6.460831</v>
      </c>
      <c r="L48" s="87">
        <f>_xlfn.IFERROR(SUM(取值!L48),"")</f>
        <v>6.203252</v>
      </c>
      <c r="M48" s="87">
        <f>_xlfn.IFERROR(SUM(取值!M48),"")</f>
        <v>6.12219</v>
      </c>
      <c r="N48" s="87">
        <f>_xlfn.IFERROR(SUM(取值!N48),"")</f>
        <v>6.144768</v>
      </c>
      <c r="O48" s="87">
        <f>_xlfn.IFERROR(SUM(取值!O48),"")</f>
        <v>6.165781</v>
      </c>
      <c r="P48" s="87">
        <f>_xlfn.IFERROR(SUM(取值!P48),"")</f>
        <v>6.074967</v>
      </c>
      <c r="Q48" s="73"/>
      <c r="R48" s="73"/>
      <c r="S48" s="73"/>
      <c r="T48" s="73"/>
      <c r="U48" s="73"/>
      <c r="V48" s="73"/>
    </row>
    <row customHeight="1" ht="14.25">
      <c r="A49" s="73"/>
      <c r="B49" s="71"/>
      <c r="C49" s="57" t="s">
        <v>99</v>
      </c>
      <c r="D49" s="57" t="s">
        <v>100</v>
      </c>
      <c r="E49" s="87">
        <f>_xlfn.IFERROR(SUM(取值!E49),"")</f>
        <v>1.709052</v>
      </c>
      <c r="F49" s="87">
        <f>_xlfn.IFERROR(SUM(取值!F49),"")</f>
        <v>1.68681</v>
      </c>
      <c r="G49" s="87">
        <f>_xlfn.IFERROR(SUM(取值!G49),"")</f>
        <v>1.701972</v>
      </c>
      <c r="H49" s="87">
        <f>_xlfn.IFERROR(SUM(取值!H49),"")</f>
        <v>1.69185</v>
      </c>
      <c r="I49" s="87">
        <f>_xlfn.IFERROR(SUM(取值!I49),"")</f>
        <v>1.693874</v>
      </c>
      <c r="J49" s="87">
        <f>_xlfn.IFERROR(SUM(取值!J49),"")</f>
        <v>1.689669</v>
      </c>
      <c r="K49" s="87">
        <f>_xlfn.IFERROR(SUM(取值!K49),"")</f>
        <v>1.704437</v>
      </c>
      <c r="L49" s="87">
        <f>_xlfn.IFERROR(SUM(取值!L49),"")</f>
        <v>1.667382</v>
      </c>
      <c r="M49" s="87">
        <f>_xlfn.IFERROR(SUM(取值!M49),"")</f>
        <v>1.649522</v>
      </c>
      <c r="N49" s="87">
        <f>_xlfn.IFERROR(SUM(取值!N49),"")</f>
        <v>1.638316</v>
      </c>
      <c r="O49" s="87">
        <f>_xlfn.IFERROR(SUM(取值!O49),"")</f>
        <v>1.629038</v>
      </c>
      <c r="P49" s="87">
        <f>_xlfn.IFERROR(SUM(取值!P49),"")</f>
        <v>1.647663</v>
      </c>
      <c r="Q49" s="73"/>
      <c r="R49" s="73"/>
      <c r="S49" s="73"/>
      <c r="T49" s="73"/>
      <c r="U49" s="73"/>
      <c r="V49" s="73"/>
    </row>
    <row customHeight="1" ht="14.25">
      <c r="A50" s="73"/>
      <c r="B50" s="71"/>
      <c r="C50" s="57" t="s">
        <v>101</v>
      </c>
      <c r="D50" s="57" t="s">
        <v>102</v>
      </c>
      <c r="E50" s="87">
        <f>_xlfn.IFERROR(SUM(取值!E50),"")</f>
        <v>15787.42</v>
      </c>
      <c r="F50" s="87">
        <f>_xlfn.IFERROR(SUM(取值!F50),"")</f>
        <v>15524.54</v>
      </c>
      <c r="G50" s="87">
        <f>_xlfn.IFERROR(SUM(取值!G50),"")</f>
        <v>15736.26</v>
      </c>
      <c r="H50" s="87">
        <f>_xlfn.IFERROR(SUM(取值!H50),"")</f>
        <v>15156.41</v>
      </c>
      <c r="I50" s="87">
        <f>_xlfn.IFERROR(SUM(取值!I50),"")</f>
        <v>15316.73</v>
      </c>
      <c r="J50" s="87">
        <f>_xlfn.IFERROR(SUM(取值!J50),"")</f>
        <v>15331.91</v>
      </c>
      <c r="K50" s="87">
        <f>_xlfn.IFERROR(SUM(取值!K50),"")</f>
        <v>15757.34</v>
      </c>
      <c r="L50" s="87">
        <f>_xlfn.IFERROR(SUM(取值!L50),"")</f>
        <v>15291.39</v>
      </c>
      <c r="M50" s="87">
        <f>_xlfn.IFERROR(SUM(取值!M50),"")</f>
        <v>15372.28</v>
      </c>
      <c r="N50" s="87">
        <f>_xlfn.IFERROR(SUM(取值!N50),"")</f>
        <v>15613.67</v>
      </c>
      <c r="O50" s="87">
        <f>_xlfn.IFERROR(SUM(取值!O50),"")</f>
        <v>15583.94</v>
      </c>
      <c r="P50" s="87">
        <f>_xlfn.IFERROR(SUM(取值!P50),"")</f>
        <v>15795.25</v>
      </c>
      <c r="Q50" s="73"/>
      <c r="R50" s="73"/>
      <c r="S50" s="73"/>
      <c r="T50" s="73"/>
      <c r="U50" s="73"/>
      <c r="V50" s="73"/>
    </row>
    <row customHeight="1" ht="14.25">
      <c r="A51" s="73"/>
      <c r="B51" s="71"/>
      <c r="C51" s="57" t="s">
        <v>103</v>
      </c>
      <c r="D51" s="57" t="s">
        <v>104</v>
      </c>
      <c r="E51" s="87">
        <f>_xlfn.IFERROR(SUM(取值!E51),"")</f>
        <v>2933.658</v>
      </c>
      <c r="F51" s="87">
        <f>_xlfn.IFERROR(SUM(取值!F51),"")</f>
        <v>3073.454</v>
      </c>
      <c r="G51" s="87">
        <f>_xlfn.IFERROR(SUM(取值!G51),"")</f>
        <v>2798.962</v>
      </c>
      <c r="H51" s="87">
        <f>_xlfn.IFERROR(SUM(取值!H51),"")</f>
        <v>3220.602</v>
      </c>
      <c r="I51" s="87">
        <f>_xlfn.IFERROR(SUM(取值!I51),"")</f>
        <v>3238.288</v>
      </c>
      <c r="J51" s="87">
        <f>_xlfn.IFERROR(SUM(取值!J51),"")</f>
        <v>3071.158</v>
      </c>
      <c r="K51" s="87">
        <f>_xlfn.IFERROR(SUM(取值!K51),"")</f>
        <v>2981.09</v>
      </c>
      <c r="L51" s="87">
        <f>_xlfn.IFERROR(SUM(取值!L51),"")</f>
        <v>3510.368</v>
      </c>
      <c r="M51" s="87">
        <f>_xlfn.IFERROR(SUM(取值!M51),"")</f>
        <v>3516.858</v>
      </c>
      <c r="N51" s="87">
        <f>_xlfn.IFERROR(SUM(取值!N51),"")</f>
        <v>3805.709</v>
      </c>
      <c r="O51" s="87">
        <f>_xlfn.IFERROR(SUM(取值!O51),"")</f>
        <v>3915.101</v>
      </c>
      <c r="P51" s="87">
        <f>_xlfn.IFERROR(SUM(取值!P51),"")</f>
        <v>3514.75</v>
      </c>
      <c r="Q51" s="73"/>
      <c r="R51" s="73"/>
      <c r="S51" s="73"/>
      <c r="T51" s="73"/>
      <c r="U51" s="73"/>
      <c r="V51" s="73"/>
    </row>
    <row customHeight="1" ht="14.25">
      <c r="A52" s="73"/>
      <c r="B52" s="71"/>
      <c r="C52" s="57" t="s">
        <v>105</v>
      </c>
      <c r="D52" s="57" t="s">
        <v>106</v>
      </c>
      <c r="E52" s="87">
        <f>_xlfn.IFERROR(SUM(取值!E52),"")</f>
        <v>119380.7</v>
      </c>
      <c r="F52" s="87">
        <f>_xlfn.IFERROR(SUM(取值!F52),"")</f>
        <v>120143.4</v>
      </c>
      <c r="G52" s="87">
        <f>_xlfn.IFERROR(SUM(取值!G52),"")</f>
        <v>118375.6</v>
      </c>
      <c r="H52" s="87">
        <f>_xlfn.IFERROR(SUM(取值!H52),"")</f>
        <v>116231.7</v>
      </c>
      <c r="I52" s="87">
        <f>_xlfn.IFERROR(SUM(取值!I52),"")</f>
        <v>117163.9</v>
      </c>
      <c r="J52" s="87">
        <f>_xlfn.IFERROR(SUM(取值!J52),"")</f>
        <v>128927.3</v>
      </c>
      <c r="K52" s="87">
        <f>_xlfn.IFERROR(SUM(取值!K52),"")</f>
        <v>128919.5</v>
      </c>
      <c r="L52" s="87">
        <f>_xlfn.IFERROR(SUM(取值!L52),"")</f>
        <v>128480.3</v>
      </c>
      <c r="M52" s="87">
        <f>_xlfn.IFERROR(SUM(取值!M52),"")</f>
        <v>130873.5</v>
      </c>
      <c r="N52" s="87">
        <f>_xlfn.IFERROR(SUM(取值!N52),"")</f>
        <v>131049.4</v>
      </c>
      <c r="O52" s="87">
        <f>_xlfn.IFERROR(SUM(取值!O52),"")</f>
        <v>132244.5</v>
      </c>
      <c r="P52" s="87">
        <f>_xlfn.IFERROR(SUM(取值!P52),"")</f>
        <v>133581.5</v>
      </c>
      <c r="Q52" s="73"/>
      <c r="R52" s="73"/>
      <c r="S52" s="73"/>
      <c r="T52" s="73"/>
      <c r="U52" s="73"/>
      <c r="V52" s="73"/>
    </row>
    <row customHeight="1" ht="14.25">
      <c r="A53" s="73"/>
      <c r="B53" s="71"/>
      <c r="C53" s="57" t="s">
        <v>107</v>
      </c>
      <c r="D53" s="57" t="s">
        <v>108</v>
      </c>
      <c r="E53" s="87">
        <f>_xlfn.IFERROR(SUM(取值!E53),"")</f>
        <v>143.5908</v>
      </c>
      <c r="F53" s="87">
        <f>_xlfn.IFERROR(SUM(取值!F53),"")</f>
        <v>138.7395</v>
      </c>
      <c r="G53" s="87">
        <f>_xlfn.IFERROR(SUM(取值!G53),"")</f>
        <v>137.3889</v>
      </c>
      <c r="H53" s="87">
        <f>_xlfn.IFERROR(SUM(取值!H53),"")</f>
        <v>138.3995</v>
      </c>
      <c r="I53" s="87">
        <f>_xlfn.IFERROR(SUM(取值!I53),"")</f>
        <v>141.5027</v>
      </c>
      <c r="J53" s="87">
        <f>_xlfn.IFERROR(SUM(取值!J53),"")</f>
        <v>143.2401</v>
      </c>
      <c r="K53" s="87">
        <f>_xlfn.IFERROR(SUM(取值!K53),"")</f>
        <v>137.59</v>
      </c>
      <c r="L53" s="87">
        <f>_xlfn.IFERROR(SUM(取值!L53),"")</f>
        <v>133.7796</v>
      </c>
      <c r="M53" s="87">
        <f>_xlfn.IFERROR(SUM(取值!M53),"")</f>
        <v>137.2151</v>
      </c>
      <c r="N53" s="87">
        <f>_xlfn.IFERROR(SUM(取值!N53),"")</f>
        <v>142.8398</v>
      </c>
      <c r="O53" s="87">
        <f>_xlfn.IFERROR(SUM(取值!O53),"")</f>
        <v>142.186</v>
      </c>
      <c r="P53" s="87">
        <f>_xlfn.IFERROR(SUM(取值!P53),"")</f>
        <v>136.5986</v>
      </c>
      <c r="Q53" s="73"/>
      <c r="R53" s="73"/>
      <c r="S53" s="73"/>
      <c r="T53" s="73"/>
      <c r="U53" s="73"/>
      <c r="V53" s="73"/>
    </row>
    <row customHeight="1" ht="14.25">
      <c r="A54" s="73"/>
      <c r="B54" s="71"/>
      <c r="C54" s="57" t="s">
        <v>109</v>
      </c>
      <c r="D54" s="57" t="s">
        <v>110</v>
      </c>
      <c r="E54" s="87">
        <f>_xlfn.IFERROR(SUM(取值!E54),"")</f>
        <v>267.4711</v>
      </c>
      <c r="F54" s="87">
        <f>_xlfn.IFERROR(SUM(取值!F54),"")</f>
        <v>267.3165</v>
      </c>
      <c r="G54" s="87">
        <f>_xlfn.IFERROR(SUM(取值!G54),"")</f>
        <v>266.4144</v>
      </c>
      <c r="H54" s="87">
        <f>_xlfn.IFERROR(SUM(取值!H54),"")</f>
        <v>265.589</v>
      </c>
      <c r="I54" s="87">
        <f>_xlfn.IFERROR(SUM(取值!I54),"")</f>
        <v>271.8555</v>
      </c>
      <c r="J54" s="87">
        <f>_xlfn.IFERROR(SUM(取值!J54),"")</f>
        <v>273.4954</v>
      </c>
      <c r="K54" s="87">
        <f>_xlfn.IFERROR(SUM(取值!K54),"")</f>
        <v>271.9818</v>
      </c>
      <c r="L54" s="87">
        <f>_xlfn.IFERROR(SUM(取值!L54),"")</f>
        <v>272.2873</v>
      </c>
      <c r="M54" s="87">
        <f>_xlfn.IFERROR(SUM(取值!M54),"")</f>
        <v>268.3087</v>
      </c>
      <c r="N54" s="87">
        <f>_xlfn.IFERROR(SUM(取值!N54),"")</f>
        <v>266.8755</v>
      </c>
      <c r="O54" s="87">
        <f>_xlfn.IFERROR(SUM(取值!O54),"")</f>
        <v>265.4616</v>
      </c>
      <c r="P54" s="87">
        <f>_xlfn.IFERROR(SUM(取值!P54),"")</f>
        <v>265.8494</v>
      </c>
      <c r="Q54" s="73"/>
      <c r="R54" s="73"/>
      <c r="S54" s="73"/>
      <c r="T54" s="73"/>
      <c r="U54" s="73"/>
      <c r="V54" s="73"/>
    </row>
    <row customHeight="1" ht="14.25">
      <c r="A55" s="73"/>
      <c r="B55" s="71"/>
      <c r="C55" s="57" t="s">
        <v>111</v>
      </c>
      <c r="D55" s="57" t="s">
        <v>112</v>
      </c>
      <c r="E55" s="87">
        <f>_xlfn.IFERROR(SUM(取值!E55),"")</f>
        <v>141.9744</v>
      </c>
      <c r="F55" s="87">
        <f>_xlfn.IFERROR(SUM(取值!F55),"")</f>
        <v>142.6557</v>
      </c>
      <c r="G55" s="87">
        <f>_xlfn.IFERROR(SUM(取值!G55),"")</f>
        <v>139.1957</v>
      </c>
      <c r="H55" s="87">
        <f>_xlfn.IFERROR(SUM(取值!H55),"")</f>
        <v>139.8653</v>
      </c>
      <c r="I55" s="87">
        <f>_xlfn.IFERROR(SUM(取值!I55),"")</f>
        <v>140.6108</v>
      </c>
      <c r="J55" s="87">
        <f>_xlfn.IFERROR(SUM(取值!J55),"")</f>
        <v>114.477</v>
      </c>
      <c r="K55" s="87">
        <f>_xlfn.IFERROR(SUM(取值!K55),"")</f>
        <v>112.6479</v>
      </c>
      <c r="L55" s="87">
        <f>_xlfn.IFERROR(SUM(取值!L55),"")</f>
        <v>109.6584</v>
      </c>
      <c r="M55" s="87">
        <f>_xlfn.IFERROR(SUM(取值!M55),"")</f>
        <v>107.3387</v>
      </c>
      <c r="N55" s="87">
        <f>_xlfn.IFERROR(SUM(取值!N55),"")</f>
        <v>103.6789</v>
      </c>
      <c r="O55" s="87">
        <f>_xlfn.IFERROR(SUM(取值!O55),"")</f>
        <v>105.0269</v>
      </c>
      <c r="P55" s="87">
        <f>_xlfn.IFERROR(SUM(取值!P55),"")</f>
        <v>95.54882</v>
      </c>
      <c r="Q55" s="73"/>
      <c r="R55" s="73"/>
      <c r="S55" s="73"/>
      <c r="T55" s="73"/>
      <c r="U55" s="73"/>
      <c r="V55" s="73"/>
    </row>
    <row customHeight="1" ht="14.25">
      <c r="A56" s="73"/>
      <c r="B56" s="71" t="s">
        <v>113</v>
      </c>
      <c r="C56" s="57" t="s">
        <v>114</v>
      </c>
      <c r="D56" s="57" t="s">
        <v>115</v>
      </c>
      <c r="E56" s="87">
        <f>_xlfn.IFERROR(SUM(取值!E56),"")</f>
        <v>80.00031</v>
      </c>
      <c r="F56" s="87">
        <f>_xlfn.IFERROR(SUM(取值!F56),"")</f>
        <v>80.00031</v>
      </c>
      <c r="G56" s="87">
        <f>_xlfn.IFERROR(SUM(取值!G56),"")</f>
        <v>80.00031</v>
      </c>
      <c r="H56" s="87">
        <f>_xlfn.IFERROR(SUM(取值!H56),"")</f>
        <v>80.00031</v>
      </c>
      <c r="I56" s="87">
        <f>_xlfn.IFERROR(SUM(取值!I56),"")</f>
        <v>80.00031</v>
      </c>
      <c r="J56" s="87">
        <f>_xlfn.IFERROR(SUM(取值!J56),"")</f>
        <v>80.00031</v>
      </c>
      <c r="K56" s="87">
        <f>_xlfn.IFERROR(SUM(取值!K56),"")</f>
        <v>80.00031</v>
      </c>
      <c r="L56" s="87">
        <f>_xlfn.IFERROR(SUM(取值!L56),"")</f>
        <v>80.00031</v>
      </c>
      <c r="M56" s="87">
        <f>_xlfn.IFERROR(SUM(取值!M56),"")</f>
        <v>80.00031</v>
      </c>
      <c r="N56" s="87">
        <f>_xlfn.IFERROR(SUM(取值!N56),"")</f>
        <v>80.00031</v>
      </c>
      <c r="O56" s="87">
        <f>_xlfn.IFERROR(SUM(取值!O56),"")</f>
        <v>80.00031</v>
      </c>
      <c r="P56" s="87">
        <f>_xlfn.IFERROR(SUM(取值!P56),"")</f>
        <v>80.00031</v>
      </c>
      <c r="Q56" s="73"/>
      <c r="R56" s="73"/>
      <c r="S56" s="73"/>
      <c r="T56" s="73"/>
      <c r="U56" s="73"/>
      <c r="V56" s="73"/>
    </row>
    <row customHeight="1" ht="14.25">
      <c r="A57" s="73"/>
      <c r="B57" s="71"/>
      <c r="C57" s="57" t="s">
        <v>116</v>
      </c>
      <c r="D57" s="57" t="s">
        <v>117</v>
      </c>
      <c r="E57" s="87">
        <f>_xlfn.IFERROR(SUM(取值!E57),"")</f>
        <v>86.40193</v>
      </c>
      <c r="F57" s="87">
        <f>_xlfn.IFERROR(SUM(取值!F57),"")</f>
        <v>86.1154</v>
      </c>
      <c r="G57" s="87">
        <f>_xlfn.IFERROR(SUM(取值!G57),"")</f>
        <v>86.22478</v>
      </c>
      <c r="H57" s="87">
        <f>_xlfn.IFERROR(SUM(取值!H57),"")</f>
        <v>85.77345</v>
      </c>
      <c r="I57" s="87">
        <f>_xlfn.IFERROR(SUM(取值!I57),"")</f>
        <v>85.69383</v>
      </c>
      <c r="J57" s="87">
        <f>_xlfn.IFERROR(SUM(取值!J57),"")</f>
        <v>86.52316</v>
      </c>
      <c r="K57" s="87">
        <f>_xlfn.IFERROR(SUM(取值!K57),"")</f>
        <v>85.67801</v>
      </c>
      <c r="L57" s="87">
        <f>_xlfn.IFERROR(SUM(取值!L57),"")</f>
        <v>86.0904</v>
      </c>
      <c r="M57" s="87">
        <f>_xlfn.IFERROR(SUM(取值!M57),"")</f>
        <v>86.87608</v>
      </c>
      <c r="N57" s="87">
        <f>_xlfn.IFERROR(SUM(取值!N57),"")</f>
        <v>85.90866</v>
      </c>
      <c r="O57" s="87">
        <f>_xlfn.IFERROR(SUM(取值!O57),"")</f>
        <v>85.59821</v>
      </c>
      <c r="P57" s="87">
        <f>_xlfn.IFERROR(SUM(取值!P57),"")</f>
        <v>85.80373</v>
      </c>
      <c r="Q57" s="73"/>
      <c r="R57" s="73"/>
      <c r="S57" s="73"/>
      <c r="T57" s="73"/>
      <c r="U57" s="73"/>
      <c r="V57" s="73"/>
    </row>
    <row customHeight="1" ht="14.25">
      <c r="A58" s="73"/>
      <c r="B58" s="71"/>
      <c r="C58" s="57" t="s">
        <v>105</v>
      </c>
      <c r="D58" s="57" t="s">
        <v>118</v>
      </c>
      <c r="E58" s="87">
        <f>_xlfn.IFERROR(SUM(取值!E58),"")</f>
        <v>7622.646</v>
      </c>
      <c r="F58" s="87">
        <f>_xlfn.IFERROR(SUM(取值!F58),"")</f>
        <v>7219.029</v>
      </c>
      <c r="G58" s="87">
        <f>_xlfn.IFERROR(SUM(取值!G58),"")</f>
        <v>7518.863</v>
      </c>
      <c r="H58" s="87">
        <f>_xlfn.IFERROR(SUM(取值!H58),"")</f>
        <v>7731.428</v>
      </c>
      <c r="I58" s="87">
        <f>_xlfn.IFERROR(SUM(取值!I58),"")</f>
        <v>7353.442</v>
      </c>
      <c r="J58" s="87">
        <f>_xlfn.IFERROR(SUM(取值!J58),"")</f>
        <v>7494.833</v>
      </c>
      <c r="K58" s="87">
        <f>_xlfn.IFERROR(SUM(取值!K58),"")</f>
        <v>7346.456</v>
      </c>
      <c r="L58" s="87">
        <f>_xlfn.IFERROR(SUM(取值!L58),"")</f>
        <v>7610.393</v>
      </c>
      <c r="M58" s="87">
        <f>_xlfn.IFERROR(SUM(取值!M58),"")</f>
        <v>7581.558</v>
      </c>
      <c r="N58" s="87">
        <f>_xlfn.IFERROR(SUM(取值!N58),"")</f>
        <v>7481.429</v>
      </c>
      <c r="O58" s="87">
        <f>_xlfn.IFERROR(SUM(取值!O58),"")</f>
        <v>7425.125</v>
      </c>
      <c r="P58" s="87">
        <f>_xlfn.IFERROR(SUM(取值!P58),"")</f>
        <v>7218.024</v>
      </c>
      <c r="Q58" s="73"/>
      <c r="R58" s="73"/>
      <c r="S58" s="73"/>
      <c r="T58" s="73"/>
      <c r="U58" s="73"/>
      <c r="V58" s="73"/>
    </row>
    <row customHeight="1" ht="14.25">
      <c r="A59" s="73"/>
      <c r="B59" s="71"/>
      <c r="C59" s="57" t="s">
        <v>20</v>
      </c>
      <c r="D59" s="57" t="s">
        <v>119</v>
      </c>
      <c r="E59" s="87">
        <f>_xlfn.IFERROR(SUM(取值!E59),"")</f>
        <v>425.1877</v>
      </c>
      <c r="F59" s="87">
        <f>_xlfn.IFERROR(SUM(取值!F59),"")</f>
        <v>424.9925</v>
      </c>
      <c r="G59" s="87">
        <f>_xlfn.IFERROR(SUM(取值!G59),"")</f>
        <v>425.4366</v>
      </c>
      <c r="H59" s="87">
        <f>_xlfn.IFERROR(SUM(取值!H59),"")</f>
        <v>425.4967</v>
      </c>
      <c r="I59" s="87">
        <f>_xlfn.IFERROR(SUM(取值!I59),"")</f>
        <v>425.1967</v>
      </c>
      <c r="J59" s="87">
        <f>_xlfn.IFERROR(SUM(取值!J59),"")</f>
        <v>426.671</v>
      </c>
      <c r="K59" s="87">
        <f>_xlfn.IFERROR(SUM(取值!K59),"")</f>
        <v>426.4584</v>
      </c>
      <c r="L59" s="87">
        <f>_xlfn.IFERROR(SUM(取值!L59),"")</f>
        <v>422.1349</v>
      </c>
      <c r="M59" s="87">
        <f>_xlfn.IFERROR(SUM(取值!M59),"")</f>
        <v>421.0261</v>
      </c>
      <c r="N59" s="87">
        <f>_xlfn.IFERROR(SUM(取值!N59),"")</f>
        <v>421.4584</v>
      </c>
      <c r="O59" s="87">
        <f>_xlfn.IFERROR(SUM(取值!O59),"")</f>
        <v>421.8778</v>
      </c>
      <c r="P59" s="87">
        <f>_xlfn.IFERROR(SUM(取值!P59),"")</f>
        <v>421.6211</v>
      </c>
      <c r="Q59" s="73"/>
      <c r="R59" s="73"/>
      <c r="S59" s="73"/>
      <c r="T59" s="73"/>
      <c r="U59" s="73"/>
      <c r="V59" s="73"/>
    </row>
    <row customHeight="1" ht="14.25">
      <c r="A60" s="73"/>
      <c r="B60" s="71"/>
      <c r="C60" s="57" t="s">
        <v>120</v>
      </c>
      <c r="D60" s="57" t="s">
        <v>121</v>
      </c>
      <c r="E60" s="87">
        <f>_xlfn.IFERROR(SUM(取值!E60),"")</f>
        <v>2.66839</v>
      </c>
      <c r="F60" s="87">
        <f>_xlfn.IFERROR(SUM(取值!F60),"")</f>
        <v>2.680226</v>
      </c>
      <c r="G60" s="87">
        <f>_xlfn.IFERROR(SUM(取值!G60),"")</f>
        <v>2.675497</v>
      </c>
      <c r="H60" s="87">
        <f>_xlfn.IFERROR(SUM(取值!H60),"")</f>
        <v>2.679502</v>
      </c>
      <c r="I60" s="87">
        <f>_xlfn.IFERROR(SUM(取值!I60),"")</f>
        <v>2.669707</v>
      </c>
      <c r="J60" s="87">
        <f>_xlfn.IFERROR(SUM(取值!J60),"")</f>
        <v>2.678339</v>
      </c>
      <c r="K60" s="87">
        <f>_xlfn.IFERROR(SUM(取值!K60),"")</f>
        <v>2.680186</v>
      </c>
      <c r="L60" s="87">
        <f>_xlfn.IFERROR(SUM(取值!L60),"")</f>
        <v>2.667143</v>
      </c>
      <c r="M60" s="87">
        <f>_xlfn.IFERROR(SUM(取值!M60),"")</f>
        <v>2.671057</v>
      </c>
      <c r="N60" s="87">
        <f>_xlfn.IFERROR(SUM(取值!N60),"")</f>
        <v>2.671091</v>
      </c>
      <c r="O60" s="87">
        <f>_xlfn.IFERROR(SUM(取值!O60),"")</f>
        <v>2.673562</v>
      </c>
      <c r="P60" s="87">
        <f>_xlfn.IFERROR(SUM(取值!P60),"")</f>
        <v>2.670041</v>
      </c>
      <c r="Q60" s="73"/>
      <c r="R60" s="73"/>
      <c r="S60" s="73"/>
      <c r="T60" s="73"/>
      <c r="U60" s="73"/>
      <c r="V60" s="73"/>
    </row>
    <row customHeight="1" ht="14.25">
      <c r="A61" s="73"/>
      <c r="B61" s="71"/>
      <c r="C61" s="57" t="s">
        <v>122</v>
      </c>
      <c r="D61" s="57" t="s">
        <v>123</v>
      </c>
      <c r="E61" s="87">
        <f>_xlfn.IFERROR(SUM(取值!E61),"")</f>
        <v>5.351335</v>
      </c>
      <c r="F61" s="87">
        <f>_xlfn.IFERROR(SUM(取值!F61),"")</f>
        <v>5.42478</v>
      </c>
      <c r="G61" s="87">
        <f>_xlfn.IFERROR(SUM(取值!G61),"")</f>
        <v>5.350367</v>
      </c>
      <c r="H61" s="87">
        <f>_xlfn.IFERROR(SUM(取值!H61),"")</f>
        <v>5.342338</v>
      </c>
      <c r="I61" s="87">
        <f>_xlfn.IFERROR(SUM(取值!I61),"")</f>
        <v>5.348095</v>
      </c>
      <c r="J61" s="87">
        <f>_xlfn.IFERROR(SUM(取值!J61),"")</f>
        <v>5.354749</v>
      </c>
      <c r="K61" s="87">
        <f>_xlfn.IFERROR(SUM(取值!K61),"")</f>
        <v>5.350402</v>
      </c>
      <c r="L61" s="87">
        <f>_xlfn.IFERROR(SUM(取值!L61),"")</f>
        <v>5.366226</v>
      </c>
      <c r="M61" s="87">
        <f>_xlfn.IFERROR(SUM(取值!M61),"")</f>
        <v>5.338021</v>
      </c>
      <c r="N61" s="87">
        <f>_xlfn.IFERROR(SUM(取值!N61),"")</f>
        <v>5.340316</v>
      </c>
      <c r="O61" s="87">
        <f>_xlfn.IFERROR(SUM(取值!O61),"")</f>
        <v>5.342518</v>
      </c>
      <c r="P61" s="87">
        <f>_xlfn.IFERROR(SUM(取值!P61),"")</f>
        <v>5.340227</v>
      </c>
      <c r="Q61" s="73"/>
      <c r="R61" s="73"/>
      <c r="S61" s="73"/>
      <c r="T61" s="73"/>
      <c r="U61" s="73"/>
      <c r="V61" s="73"/>
    </row>
    <row customHeight="1" ht="14.25">
      <c r="A62" s="73"/>
      <c r="B62" s="71"/>
      <c r="C62" s="57" t="s">
        <v>124</v>
      </c>
      <c r="D62" s="57" t="s">
        <v>125</v>
      </c>
      <c r="E62" s="87">
        <f>_xlfn.IFERROR(SUM(取值!E62),"")</f>
        <v>250.6384</v>
      </c>
      <c r="F62" s="87">
        <f>_xlfn.IFERROR(SUM(取值!F62),"")</f>
        <v>248.4179</v>
      </c>
      <c r="G62" s="87">
        <f>_xlfn.IFERROR(SUM(取值!G62),"")</f>
        <v>250.0477</v>
      </c>
      <c r="H62" s="87">
        <f>_xlfn.IFERROR(SUM(取值!H62),"")</f>
        <v>250.6146</v>
      </c>
      <c r="I62" s="87">
        <f>_xlfn.IFERROR(SUM(取值!I62),"")</f>
        <v>250.1508</v>
      </c>
      <c r="J62" s="87">
        <f>_xlfn.IFERROR(SUM(取值!J62),"")</f>
        <v>250.1241</v>
      </c>
      <c r="K62" s="87">
        <f>_xlfn.IFERROR(SUM(取值!K62),"")</f>
        <v>250.6264</v>
      </c>
      <c r="L62" s="87">
        <f>_xlfn.IFERROR(SUM(取值!L62),"")</f>
        <v>249.355</v>
      </c>
      <c r="M62" s="87">
        <f>_xlfn.IFERROR(SUM(取值!M62),"")</f>
        <v>249.3655</v>
      </c>
      <c r="N62" s="87">
        <f>_xlfn.IFERROR(SUM(取值!N62),"")</f>
        <v>250.4136</v>
      </c>
      <c r="O62" s="87">
        <f>_xlfn.IFERROR(SUM(取值!O62),"")</f>
        <v>249.922</v>
      </c>
      <c r="P62" s="87">
        <f>_xlfn.IFERROR(SUM(取值!P62),"")</f>
        <v>249.8791</v>
      </c>
      <c r="Q62" s="73"/>
      <c r="R62" s="73"/>
      <c r="S62" s="73"/>
      <c r="T62" s="73"/>
      <c r="U62" s="73"/>
      <c r="V62" s="73"/>
    </row>
    <row customHeight="1" ht="14.25">
      <c r="A63" s="73"/>
      <c r="B63" s="71"/>
      <c r="C63" s="57" t="s">
        <v>126</v>
      </c>
      <c r="D63" s="57" t="s">
        <v>127</v>
      </c>
      <c r="E63" s="87">
        <f>_xlfn.IFERROR(SUM(取值!E63),"")</f>
        <v>470.4561</v>
      </c>
      <c r="F63" s="87">
        <f>_xlfn.IFERROR(SUM(取值!F63),"")</f>
        <v>472.1995</v>
      </c>
      <c r="G63" s="87">
        <f>_xlfn.IFERROR(SUM(取值!G63),"")</f>
        <v>469.4545</v>
      </c>
      <c r="H63" s="87">
        <f>_xlfn.IFERROR(SUM(取值!H63),"")</f>
        <v>472.4964</v>
      </c>
      <c r="I63" s="87">
        <f>_xlfn.IFERROR(SUM(取值!I63),"")</f>
        <v>472.7542</v>
      </c>
      <c r="J63" s="87">
        <f>_xlfn.IFERROR(SUM(取值!J63),"")</f>
        <v>476.9218</v>
      </c>
      <c r="K63" s="87">
        <f>_xlfn.IFERROR(SUM(取值!K63),"")</f>
        <v>482.8065</v>
      </c>
      <c r="L63" s="87">
        <f>_xlfn.IFERROR(SUM(取值!L63),"")</f>
        <v>480.703</v>
      </c>
      <c r="M63" s="87">
        <f>_xlfn.IFERROR(SUM(取值!M63),"")</f>
        <v>480.6483</v>
      </c>
      <c r="N63" s="87">
        <f>_xlfn.IFERROR(SUM(取值!N63),"")</f>
        <v>478.1708</v>
      </c>
      <c r="O63" s="87">
        <f>_xlfn.IFERROR(SUM(取值!O63),"")</f>
        <v>479.1994</v>
      </c>
      <c r="P63" s="87">
        <f>_xlfn.IFERROR(SUM(取值!P63),"")</f>
        <v>478.6635</v>
      </c>
      <c r="Q63" s="73"/>
      <c r="R63" s="73"/>
      <c r="S63" s="73"/>
      <c r="T63" s="73"/>
      <c r="U63" s="73"/>
      <c r="V63" s="73"/>
    </row>
    <row customHeight="1" ht="14.25">
      <c r="A64" s="73"/>
      <c r="B64" s="71"/>
      <c r="C64" s="57" t="s">
        <v>128</v>
      </c>
      <c r="D64" s="57" t="s">
        <v>129</v>
      </c>
      <c r="E64" s="87">
        <f>_xlfn.IFERROR(SUM(取值!E64),"")</f>
        <v>52.01323</v>
      </c>
      <c r="F64" s="87">
        <f>_xlfn.IFERROR(SUM(取值!F64),"")</f>
        <v>53.32983</v>
      </c>
      <c r="G64" s="87">
        <f>_xlfn.IFERROR(SUM(取值!G64),"")</f>
        <v>53.49004</v>
      </c>
      <c r="H64" s="87">
        <f>_xlfn.IFERROR(SUM(取值!H64),"")</f>
        <v>52.01874</v>
      </c>
      <c r="I64" s="87">
        <f>_xlfn.IFERROR(SUM(取值!I64),"")</f>
        <v>52.65519</v>
      </c>
      <c r="J64" s="87">
        <f>_xlfn.IFERROR(SUM(取值!J64),"")</f>
        <v>48.83958</v>
      </c>
      <c r="K64" s="87">
        <f>_xlfn.IFERROR(SUM(取值!K64),"")</f>
        <v>55.63966</v>
      </c>
      <c r="L64" s="87">
        <f>_xlfn.IFERROR(SUM(取值!L64),"")</f>
        <v>50.34503</v>
      </c>
      <c r="M64" s="87">
        <f>_xlfn.IFERROR(SUM(取值!M64),"")</f>
        <v>50.83679</v>
      </c>
      <c r="N64" s="87">
        <f>_xlfn.IFERROR(SUM(取值!N64),"")</f>
        <v>51.42152</v>
      </c>
      <c r="O64" s="87">
        <f>_xlfn.IFERROR(SUM(取值!O64),"")</f>
        <v>52.99946</v>
      </c>
      <c r="P64" s="87">
        <f>_xlfn.IFERROR(SUM(取值!P64),"")</f>
        <v>52.93867</v>
      </c>
      <c r="Q64" s="73"/>
      <c r="R64" s="73"/>
      <c r="S64" s="73"/>
      <c r="T64" s="73"/>
      <c r="U64" s="73"/>
      <c r="V64" s="73"/>
    </row>
    <row customHeight="1" ht="14.25">
      <c r="A65" s="73"/>
      <c r="B65" s="71"/>
      <c r="C65" s="57" t="s">
        <v>130</v>
      </c>
      <c r="D65" s="57" t="s">
        <v>131</v>
      </c>
      <c r="E65" s="87">
        <f>_xlfn.IFERROR(SUM(取值!E65),"")</f>
        <v>131.6641</v>
      </c>
      <c r="F65" s="87">
        <f>_xlfn.IFERROR(SUM(取值!F65),"")</f>
        <v>133.309</v>
      </c>
      <c r="G65" s="87">
        <f>_xlfn.IFERROR(SUM(取值!G65),"")</f>
        <v>132.8987</v>
      </c>
      <c r="H65" s="87">
        <f>_xlfn.IFERROR(SUM(取值!H65),"")</f>
        <v>130.7961</v>
      </c>
      <c r="I65" s="87">
        <f>_xlfn.IFERROR(SUM(取值!I65),"")</f>
        <v>131.4013</v>
      </c>
      <c r="J65" s="87">
        <f>_xlfn.IFERROR(SUM(取值!J65),"")</f>
        <v>131.1461</v>
      </c>
      <c r="K65" s="87">
        <f>_xlfn.IFERROR(SUM(取值!K65),"")</f>
        <v>131.4323</v>
      </c>
      <c r="L65" s="87">
        <f>_xlfn.IFERROR(SUM(取值!L65),"")</f>
        <v>130.9056</v>
      </c>
      <c r="M65" s="87">
        <f>_xlfn.IFERROR(SUM(取值!M65),"")</f>
        <v>129.9794</v>
      </c>
      <c r="N65" s="87">
        <f>_xlfn.IFERROR(SUM(取值!N65),"")</f>
        <v>129.3303</v>
      </c>
      <c r="O65" s="87">
        <f>_xlfn.IFERROR(SUM(取值!O65),"")</f>
        <v>131.8209</v>
      </c>
      <c r="P65" s="87">
        <f>_xlfn.IFERROR(SUM(取值!P65),"")</f>
        <v>130.9077</v>
      </c>
      <c r="Q65" s="73"/>
      <c r="R65" s="73"/>
      <c r="S65" s="73"/>
      <c r="T65" s="73"/>
      <c r="U65" s="73"/>
      <c r="V65" s="73"/>
    </row>
    <row customHeight="1" ht="14.25">
      <c r="A66" s="73"/>
      <c r="B66" s="71"/>
      <c r="C66" s="57" t="s">
        <v>132</v>
      </c>
      <c r="D66" s="57" t="s">
        <v>133</v>
      </c>
      <c r="E66" s="87">
        <f>_xlfn.IFERROR(SUM(取值!E66),"")</f>
        <v>0.7015272</v>
      </c>
      <c r="F66" s="87">
        <f>_xlfn.IFERROR(SUM(取值!F66),"")</f>
        <v>0.7056257</v>
      </c>
      <c r="G66" s="87">
        <f>_xlfn.IFERROR(SUM(取值!G66),"")</f>
        <v>0.6991361</v>
      </c>
      <c r="H66" s="87">
        <f>_xlfn.IFERROR(SUM(取值!H66),"")</f>
        <v>0.7054661</v>
      </c>
      <c r="I66" s="87">
        <f>_xlfn.IFERROR(SUM(取值!I66),"")</f>
        <v>0.7024021</v>
      </c>
      <c r="J66" s="87">
        <f>_xlfn.IFERROR(SUM(取值!J66),"")</f>
        <v>0.7017047</v>
      </c>
      <c r="K66" s="87">
        <f>_xlfn.IFERROR(SUM(取值!K66),"")</f>
        <v>0.6979815</v>
      </c>
      <c r="L66" s="87">
        <f>_xlfn.IFERROR(SUM(取值!L66),"")</f>
        <v>0.7028764</v>
      </c>
      <c r="M66" s="87">
        <f>_xlfn.IFERROR(SUM(取值!M66),"")</f>
        <v>0.7049142</v>
      </c>
      <c r="N66" s="87">
        <f>_xlfn.IFERROR(SUM(取值!N66),"")</f>
        <v>0.6979579</v>
      </c>
      <c r="O66" s="87">
        <f>_xlfn.IFERROR(SUM(取值!O66),"")</f>
        <v>0.7015911</v>
      </c>
      <c r="P66" s="87">
        <f>_xlfn.IFERROR(SUM(取值!P66),"")</f>
        <v>0.6967905</v>
      </c>
      <c r="Q66" s="73"/>
      <c r="R66" s="73"/>
      <c r="S66" s="73"/>
      <c r="T66" s="73"/>
      <c r="U66" s="73"/>
      <c r="V66" s="73"/>
    </row>
    <row customHeight="1" ht="14.25">
      <c r="A67" s="73"/>
      <c r="B67" s="71"/>
      <c r="C67" s="57" t="s">
        <v>134</v>
      </c>
      <c r="D67" s="57" t="s">
        <v>135</v>
      </c>
      <c r="E67" s="87">
        <f>_xlfn.IFERROR(SUM(取值!E67),"")</f>
        <v>81.96568</v>
      </c>
      <c r="F67" s="87">
        <f>_xlfn.IFERROR(SUM(取值!F67),"")</f>
        <v>89.61543</v>
      </c>
      <c r="G67" s="87">
        <f>_xlfn.IFERROR(SUM(取值!G67),"")</f>
        <v>60.59836</v>
      </c>
      <c r="H67" s="87">
        <f>_xlfn.IFERROR(SUM(取值!H67),"")</f>
        <v>74.24603</v>
      </c>
      <c r="I67" s="87">
        <f>_xlfn.IFERROR(SUM(取值!I67),"")</f>
        <v>91.98913</v>
      </c>
      <c r="J67" s="87">
        <f>_xlfn.IFERROR(SUM(取值!J67),"")</f>
        <v>74.94638</v>
      </c>
      <c r="K67" s="87">
        <f>_xlfn.IFERROR(SUM(取值!K67),"")</f>
        <v>82.15555</v>
      </c>
      <c r="L67" s="87">
        <f>_xlfn.IFERROR(SUM(取值!L67),"")</f>
        <v>83.06088</v>
      </c>
      <c r="M67" s="87">
        <f>_xlfn.IFERROR(SUM(取值!M67),"")</f>
        <v>61.56052</v>
      </c>
      <c r="N67" s="87">
        <f>_xlfn.IFERROR(SUM(取值!N67),"")</f>
        <v>89.56267</v>
      </c>
      <c r="O67" s="87">
        <f>_xlfn.IFERROR(SUM(取值!O67),"")</f>
        <v>86.0916</v>
      </c>
      <c r="P67" s="87">
        <f>_xlfn.IFERROR(SUM(取值!P67),"")</f>
        <v>69.38953</v>
      </c>
      <c r="Q67" s="73"/>
      <c r="R67" s="73"/>
      <c r="S67" s="73"/>
      <c r="T67" s="73"/>
      <c r="U67" s="73"/>
      <c r="V67" s="73"/>
    </row>
    <row customHeight="1" ht="14.25">
      <c r="A68" s="73"/>
      <c r="B68" s="67" t="s">
        <v>136</v>
      </c>
      <c r="C68" s="57" t="s">
        <v>137</v>
      </c>
      <c r="D68" s="57" t="s">
        <v>138</v>
      </c>
      <c r="E68" s="87">
        <f>_xlfn.IFERROR(SUM(取值!E68),"")</f>
        <v>17.35397</v>
      </c>
      <c r="F68" s="87">
        <f>_xlfn.IFERROR(SUM(取值!F68),"")</f>
        <v>17.33077</v>
      </c>
      <c r="G68" s="87">
        <f>_xlfn.IFERROR(SUM(取值!G68),"")</f>
        <v>17.32786</v>
      </c>
      <c r="H68" s="87">
        <f>_xlfn.IFERROR(SUM(取值!H68),"")</f>
        <v>17.36243</v>
      </c>
      <c r="I68" s="87">
        <f>_xlfn.IFERROR(SUM(取值!I68),"")</f>
        <v>17.38067</v>
      </c>
      <c r="J68" s="87">
        <f>_xlfn.IFERROR(SUM(取值!J68),"")</f>
        <v>17.35821</v>
      </c>
      <c r="K68" s="87">
        <f>_xlfn.IFERROR(SUM(取值!K68),"")</f>
        <v>17.30135</v>
      </c>
      <c r="L68" s="87">
        <f>_xlfn.IFERROR(SUM(取值!L68),"")</f>
        <v>17.26384</v>
      </c>
      <c r="M68" s="87">
        <f>_xlfn.IFERROR(SUM(取值!M68),"")</f>
        <v>17.21752</v>
      </c>
      <c r="N68" s="87">
        <f>_xlfn.IFERROR(SUM(取值!N68),"")</f>
        <v>17.24234</v>
      </c>
      <c r="O68" s="87">
        <f>_xlfn.IFERROR(SUM(取值!O68),"")</f>
        <v>17.26571</v>
      </c>
      <c r="P68" s="87">
        <f>_xlfn.IFERROR(SUM(取值!P68),"")</f>
        <v>17.30246</v>
      </c>
      <c r="Q68" s="73"/>
      <c r="R68" s="73"/>
      <c r="S68" s="73"/>
      <c r="T68" s="73"/>
      <c r="U68" s="73"/>
      <c r="V68" s="73"/>
    </row>
    <row customHeight="1" ht="14.25">
      <c r="A69" s="73"/>
      <c r="B69" s="68"/>
      <c r="C69" s="57" t="s">
        <v>137</v>
      </c>
      <c r="D69" s="57" t="s">
        <v>139</v>
      </c>
      <c r="E69" s="87">
        <f>_xlfn.IFERROR(SUM(取值!E69),"")</f>
        <v>19.14076</v>
      </c>
      <c r="F69" s="87">
        <f>_xlfn.IFERROR(SUM(取值!F69),"")</f>
        <v>19.13715</v>
      </c>
      <c r="G69" s="87">
        <f>_xlfn.IFERROR(SUM(取值!G69),"")</f>
        <v>19.13672</v>
      </c>
      <c r="H69" s="87">
        <f>_xlfn.IFERROR(SUM(取值!H69),"")</f>
        <v>19.13837</v>
      </c>
      <c r="I69" s="87">
        <f>_xlfn.IFERROR(SUM(取值!I69),"")</f>
        <v>19.13306</v>
      </c>
      <c r="J69" s="87">
        <f>_xlfn.IFERROR(SUM(取值!J69),"")</f>
        <v>19.13826</v>
      </c>
      <c r="K69" s="87">
        <f>_xlfn.IFERROR(SUM(取值!K69),"")</f>
        <v>19.13898</v>
      </c>
      <c r="L69" s="87">
        <f>_xlfn.IFERROR(SUM(取值!L69),"")</f>
        <v>19.14312</v>
      </c>
      <c r="M69" s="87">
        <f>_xlfn.IFERROR(SUM(取值!M69),"")</f>
        <v>19.14642</v>
      </c>
      <c r="N69" s="87">
        <f>_xlfn.IFERROR(SUM(取值!N69),"")</f>
        <v>19.14891</v>
      </c>
      <c r="O69" s="87">
        <f>_xlfn.IFERROR(SUM(取值!O69),"")</f>
        <v>19.14515</v>
      </c>
      <c r="P69" s="87">
        <f>_xlfn.IFERROR(SUM(取值!P69),"")</f>
        <v>19.15046</v>
      </c>
      <c r="Q69" s="73"/>
      <c r="R69" s="73"/>
      <c r="S69" s="73"/>
      <c r="T69" s="73"/>
      <c r="U69" s="73"/>
      <c r="V69" s="73"/>
    </row>
    <row customHeight="1" ht="14.25">
      <c r="A70" s="73"/>
      <c r="B70" s="91" t="s">
        <v>140</v>
      </c>
      <c r="C70" s="92">
        <f>取值!C70</f>
        <v>0</v>
      </c>
      <c r="D70" s="63"/>
      <c r="E70" s="73"/>
      <c r="F70" s="73"/>
      <c r="G70" s="73"/>
      <c r="H70" s="73"/>
      <c r="I70" s="73"/>
      <c r="J70" s="73"/>
      <c r="K70" s="73"/>
      <c r="L70" s="73"/>
      <c r="M70" s="64" t="s">
        <v>141</v>
      </c>
      <c r="N70" s="64"/>
      <c r="O70" s="95">
        <f>取值!N70</f>
        <v>0</v>
      </c>
      <c r="P70" s="65"/>
      <c r="Q70" s="73"/>
      <c r="R70" s="73"/>
      <c r="S70" s="73"/>
      <c r="T70" s="73"/>
      <c r="U70" s="73"/>
      <c r="V70" s="73"/>
    </row>
    <row customHeight="1" ht="14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</row>
    <row customHeight="1" ht="14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</row>
    <row customHeight="1" ht="14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</row>
    <row customHeight="1" ht="14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</row>
  </sheetData>
  <mergeCells count="15">
    <mergeCell ref="M70:N70"/>
    <mergeCell ref="O70:P70"/>
    <mergeCell ref="B2:P2"/>
    <mergeCell ref="B68:B69"/>
    <mergeCell ref="F3:G3"/>
    <mergeCell ref="L3:O3"/>
    <mergeCell ref="B5:B6"/>
    <mergeCell ref="B7:B8"/>
    <mergeCell ref="B9:B18"/>
    <mergeCell ref="B19:B27"/>
    <mergeCell ref="B28:B33"/>
    <mergeCell ref="B34:B43"/>
    <mergeCell ref="B44:B55"/>
    <mergeCell ref="B56:B67"/>
    <mergeCell ref="D3:E3"/>
  </mergeCells>
  <pageMargins left="0.71" right="0.71" top="0.75" bottom="0.75" header="0.31" footer="0.31"/>
  <pageSetup paperSize="9" scale="65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443A758-DF28-4458-9E98-3276F4F57838}" mc:Ignorable="x14ac xr xr2 xr3">
  <dimension ref="A1:V77"/>
  <sheetViews>
    <sheetView topLeftCell="A64" workbookViewId="0">
      <selection activeCell="E68" sqref="E68"/>
    </sheetView>
  </sheetViews>
  <sheetFormatPr customHeight="1" defaultRowHeight="14.25"/>
  <cols>
    <col min="3" max="4" width="19.7109375" customWidth="1"/>
  </cols>
  <sheetData>
    <row customHeight="1" ht="14.25">
      <c r="A1" s="97">
        <v>4053</v>
      </c>
      <c r="B1" s="98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100" t="s">
        <v>142</v>
      </c>
      <c r="O1" s="100" t="s">
        <v>143</v>
      </c>
      <c r="P1" s="100" t="s">
        <v>144</v>
      </c>
      <c r="Q1" s="99"/>
      <c r="R1" s="99"/>
      <c r="S1" s="99"/>
      <c r="T1" s="99"/>
      <c r="U1" s="99"/>
      <c r="V1" s="99"/>
    </row>
    <row s="101" customFormat="1" customHeight="1" ht="14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</row>
    <row s="102" customFormat="1" customHeight="1" ht="20.25">
      <c r="A3" s="76"/>
      <c r="B3" s="74" t="s">
        <v>0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6"/>
      <c r="R3" s="76"/>
      <c r="S3" s="76"/>
      <c r="T3" s="76"/>
      <c r="U3" s="76"/>
      <c r="V3" s="76"/>
    </row>
    <row s="103" customFormat="1" customHeight="1" ht="14.25">
      <c r="A4" s="76"/>
      <c r="B4" s="57" t="s">
        <v>5</v>
      </c>
      <c r="C4" s="57" t="s">
        <v>6</v>
      </c>
      <c r="D4" s="57" t="s">
        <v>7</v>
      </c>
      <c r="E4" s="85">
        <v>0</v>
      </c>
      <c r="F4" s="85">
        <v>2</v>
      </c>
      <c r="G4" s="85">
        <v>4</v>
      </c>
      <c r="H4" s="85">
        <v>6</v>
      </c>
      <c r="I4" s="85">
        <v>8</v>
      </c>
      <c r="J4" s="85">
        <v>10</v>
      </c>
      <c r="K4" s="85">
        <v>12</v>
      </c>
      <c r="L4" s="85">
        <v>14</v>
      </c>
      <c r="M4" s="85">
        <v>16</v>
      </c>
      <c r="N4" s="85">
        <v>18</v>
      </c>
      <c r="O4" s="85">
        <v>20</v>
      </c>
      <c r="P4" s="85">
        <v>22</v>
      </c>
      <c r="Q4" s="76"/>
      <c r="R4" s="76"/>
      <c r="S4" s="76"/>
      <c r="T4" s="76"/>
      <c r="U4" s="76"/>
      <c r="V4" s="76"/>
    </row>
    <row s="104" customFormat="1" customHeight="1" ht="14.25">
      <c r="A5" s="76"/>
      <c r="B5" s="71" t="s">
        <v>8</v>
      </c>
      <c r="C5" s="57" t="s">
        <v>9</v>
      </c>
      <c r="D5" s="57" t="s">
        <v>145</v>
      </c>
      <c r="E5" s="105">
        <v>367.3615</v>
      </c>
      <c r="F5" s="106">
        <v>367.3615</v>
      </c>
      <c r="G5" s="106">
        <v>367.3615</v>
      </c>
      <c r="H5" s="106">
        <v>367.3615</v>
      </c>
      <c r="I5" s="106">
        <v>367.3615</v>
      </c>
      <c r="J5" s="106">
        <v>367.3615</v>
      </c>
      <c r="K5" s="106">
        <v>367.3615</v>
      </c>
      <c r="L5" s="106">
        <v>367.3615</v>
      </c>
      <c r="M5" s="106">
        <v>366.4898</v>
      </c>
      <c r="N5" s="106">
        <v>364.6256</v>
      </c>
      <c r="O5" s="106">
        <v>364.6256</v>
      </c>
      <c r="P5" s="106">
        <v>364.6256</v>
      </c>
      <c r="Q5" s="76"/>
      <c r="R5" s="76"/>
      <c r="S5" s="76"/>
      <c r="T5" s="76"/>
      <c r="U5" s="76"/>
      <c r="V5" s="76"/>
    </row>
    <row s="107" customFormat="1" customHeight="1" ht="14.25">
      <c r="A6" s="76"/>
      <c r="B6" s="71"/>
      <c r="C6" s="57" t="s">
        <v>11</v>
      </c>
      <c r="D6" s="57" t="s">
        <v>146</v>
      </c>
      <c r="E6" s="105">
        <v>170.3692</v>
      </c>
      <c r="F6" s="106">
        <v>170.3692</v>
      </c>
      <c r="G6" s="106">
        <v>170.3692</v>
      </c>
      <c r="H6" s="106">
        <v>170.3692</v>
      </c>
      <c r="I6" s="106">
        <v>170.3692</v>
      </c>
      <c r="J6" s="106">
        <v>170.3692</v>
      </c>
      <c r="K6" s="106">
        <v>170.3692</v>
      </c>
      <c r="L6" s="106">
        <v>170.3692</v>
      </c>
      <c r="M6" s="106">
        <v>173.028</v>
      </c>
      <c r="N6" s="106">
        <v>175.9752</v>
      </c>
      <c r="O6" s="106">
        <v>175.9752</v>
      </c>
      <c r="P6" s="106">
        <v>175.9752</v>
      </c>
      <c r="Q6" s="76"/>
      <c r="R6" s="76"/>
      <c r="S6" s="76"/>
      <c r="T6" s="76"/>
      <c r="U6" s="76"/>
      <c r="V6" s="76"/>
    </row>
    <row s="108" customFormat="1" customHeight="1" ht="14.25">
      <c r="A7" s="76"/>
      <c r="B7" s="71" t="s">
        <v>13</v>
      </c>
      <c r="C7" s="57" t="s">
        <v>9</v>
      </c>
      <c r="D7" s="57" t="s">
        <v>147</v>
      </c>
      <c r="E7" s="106">
        <v>362.366</v>
      </c>
      <c r="F7" s="106">
        <v>365.0036</v>
      </c>
      <c r="G7" s="106">
        <v>364.0148</v>
      </c>
      <c r="H7" s="106">
        <v>364.0032</v>
      </c>
      <c r="I7" s="106">
        <v>363.8995</v>
      </c>
      <c r="J7" s="106">
        <v>356.3947</v>
      </c>
      <c r="K7" s="106">
        <v>355.3049</v>
      </c>
      <c r="L7" s="106">
        <v>364.0594</v>
      </c>
      <c r="M7" s="106">
        <v>363.9439</v>
      </c>
      <c r="N7" s="106">
        <v>363.6012</v>
      </c>
      <c r="O7" s="106">
        <v>363.0798</v>
      </c>
      <c r="P7" s="106">
        <v>363.7659</v>
      </c>
      <c r="Q7" s="76"/>
      <c r="R7" s="76"/>
      <c r="S7" s="76"/>
      <c r="T7" s="76"/>
      <c r="U7" s="76"/>
      <c r="V7" s="76"/>
    </row>
    <row s="109" customFormat="1" customHeight="1" ht="14.25">
      <c r="A8" s="76"/>
      <c r="B8" s="71"/>
      <c r="C8" s="57" t="s">
        <v>11</v>
      </c>
      <c r="D8" s="57" t="s">
        <v>148</v>
      </c>
      <c r="E8" s="106">
        <v>210.2112</v>
      </c>
      <c r="F8" s="106">
        <v>216.0037</v>
      </c>
      <c r="G8" s="106">
        <v>207.1064</v>
      </c>
      <c r="H8" s="106">
        <v>186.6396</v>
      </c>
      <c r="I8" s="106">
        <v>206.3136</v>
      </c>
      <c r="J8" s="106">
        <v>211.7121</v>
      </c>
      <c r="K8" s="106">
        <v>213.4746</v>
      </c>
      <c r="L8" s="106">
        <v>187.4312</v>
      </c>
      <c r="M8" s="106">
        <v>212.063</v>
      </c>
      <c r="N8" s="106">
        <v>210.6971</v>
      </c>
      <c r="O8" s="106">
        <v>206.5491</v>
      </c>
      <c r="P8" s="106">
        <v>202.6841</v>
      </c>
      <c r="Q8" s="76"/>
      <c r="R8" s="76"/>
      <c r="S8" s="76"/>
      <c r="T8" s="76"/>
      <c r="U8" s="76"/>
      <c r="V8" s="76"/>
    </row>
    <row s="110" customFormat="1" customHeight="1" ht="14.25">
      <c r="A9" s="76"/>
      <c r="B9" s="71" t="s">
        <v>16</v>
      </c>
      <c r="C9" s="57" t="s">
        <v>17</v>
      </c>
      <c r="D9" s="57" t="s">
        <v>149</v>
      </c>
      <c r="E9" s="106">
        <v>148.0433</v>
      </c>
      <c r="F9" s="106">
        <v>148.9989</v>
      </c>
      <c r="G9" s="106">
        <v>150.4255</v>
      </c>
      <c r="H9" s="106">
        <v>148.5032</v>
      </c>
      <c r="I9" s="106">
        <v>140.8297</v>
      </c>
      <c r="J9" s="106">
        <v>143.4034</v>
      </c>
      <c r="K9" s="106">
        <v>144.6214</v>
      </c>
      <c r="L9" s="106">
        <v>146.8824</v>
      </c>
      <c r="M9" s="106">
        <v>148.7398</v>
      </c>
      <c r="N9" s="106">
        <v>153.1131</v>
      </c>
      <c r="O9" s="106">
        <v>142.1313</v>
      </c>
      <c r="P9" s="106">
        <v>144.1833</v>
      </c>
      <c r="Q9" s="76"/>
      <c r="R9" s="76"/>
      <c r="S9" s="76"/>
      <c r="T9" s="76"/>
      <c r="U9" s="76"/>
      <c r="V9" s="76"/>
    </row>
    <row s="111" customFormat="1" customHeight="1" ht="14.25">
      <c r="A10" s="76"/>
      <c r="B10" s="71"/>
      <c r="C10" s="57" t="s">
        <v>17</v>
      </c>
      <c r="D10" s="57" t="s">
        <v>150</v>
      </c>
      <c r="E10" s="106">
        <v>147.9782</v>
      </c>
      <c r="F10" s="106">
        <v>148.9989</v>
      </c>
      <c r="G10" s="106">
        <v>149.9882</v>
      </c>
      <c r="H10" s="106">
        <v>148.1376</v>
      </c>
      <c r="I10" s="106">
        <v>140.5216</v>
      </c>
      <c r="J10" s="106">
        <v>143.4034</v>
      </c>
      <c r="K10" s="106">
        <v>144.6214</v>
      </c>
      <c r="L10" s="106">
        <v>146.8824</v>
      </c>
      <c r="M10" s="106">
        <v>148.4001</v>
      </c>
      <c r="N10" s="106">
        <v>152.6674</v>
      </c>
      <c r="O10" s="106">
        <v>141.2875</v>
      </c>
      <c r="P10" s="106">
        <v>143.8969</v>
      </c>
      <c r="Q10" s="76"/>
      <c r="R10" s="76"/>
      <c r="S10" s="76"/>
      <c r="T10" s="76"/>
      <c r="U10" s="76"/>
      <c r="V10" s="76"/>
    </row>
    <row s="112" customFormat="1" customHeight="1" ht="14.25">
      <c r="A11" s="76"/>
      <c r="B11" s="71"/>
      <c r="C11" s="57" t="s">
        <v>20</v>
      </c>
      <c r="D11" s="57" t="s">
        <v>151</v>
      </c>
      <c r="E11" s="106">
        <v>511.0833</v>
      </c>
      <c r="F11" s="106">
        <v>508.165</v>
      </c>
      <c r="G11" s="106">
        <v>508.1021</v>
      </c>
      <c r="H11" s="106">
        <v>509.1055</v>
      </c>
      <c r="I11" s="106">
        <v>508.7383</v>
      </c>
      <c r="J11" s="106">
        <v>509.4075</v>
      </c>
      <c r="K11" s="106">
        <v>510.95</v>
      </c>
      <c r="L11" s="106">
        <v>510.8574</v>
      </c>
      <c r="M11" s="106">
        <v>509.3898</v>
      </c>
      <c r="N11" s="106">
        <v>508.4846</v>
      </c>
      <c r="O11" s="106">
        <v>510.7469</v>
      </c>
      <c r="P11" s="106">
        <v>508.5659</v>
      </c>
      <c r="Q11" s="76"/>
      <c r="R11" s="76"/>
      <c r="S11" s="76"/>
      <c r="T11" s="76"/>
      <c r="U11" s="76"/>
      <c r="V11" s="76"/>
    </row>
    <row s="113" customFormat="1" customHeight="1" ht="14.25">
      <c r="A12" s="76"/>
      <c r="B12" s="71"/>
      <c r="C12" s="57" t="s">
        <v>22</v>
      </c>
      <c r="D12" s="57" t="s">
        <v>152</v>
      </c>
      <c r="E12" s="106">
        <v>669.0388</v>
      </c>
      <c r="F12" s="106">
        <v>671.5338</v>
      </c>
      <c r="G12" s="106">
        <v>671.593</v>
      </c>
      <c r="H12" s="106">
        <v>673.1566</v>
      </c>
      <c r="I12" s="106">
        <v>670.1186</v>
      </c>
      <c r="J12" s="106">
        <v>670.2256</v>
      </c>
      <c r="K12" s="106">
        <v>670.884</v>
      </c>
      <c r="L12" s="106">
        <v>670.1187</v>
      </c>
      <c r="M12" s="106">
        <v>669.4556</v>
      </c>
      <c r="N12" s="106">
        <v>670.2274</v>
      </c>
      <c r="O12" s="106">
        <v>671.7142</v>
      </c>
      <c r="P12" s="106">
        <v>672.0531</v>
      </c>
      <c r="Q12" s="76"/>
      <c r="R12" s="76"/>
      <c r="S12" s="76"/>
      <c r="T12" s="76"/>
      <c r="U12" s="76"/>
      <c r="V12" s="76"/>
    </row>
    <row s="114" customFormat="1" customHeight="1" ht="14.25">
      <c r="A13" s="76"/>
      <c r="B13" s="71"/>
      <c r="C13" s="57" t="s">
        <v>24</v>
      </c>
      <c r="D13" s="57" t="s">
        <v>153</v>
      </c>
      <c r="E13" s="106">
        <v>78.02948</v>
      </c>
      <c r="F13" s="106">
        <v>78.76244</v>
      </c>
      <c r="G13" s="106">
        <v>77.74912</v>
      </c>
      <c r="H13" s="106">
        <v>78.7143</v>
      </c>
      <c r="I13" s="106">
        <v>78.00824</v>
      </c>
      <c r="J13" s="106">
        <v>78.38966</v>
      </c>
      <c r="K13" s="106">
        <v>79.66066</v>
      </c>
      <c r="L13" s="106">
        <v>79.35944</v>
      </c>
      <c r="M13" s="106">
        <v>80.31715</v>
      </c>
      <c r="N13" s="106">
        <v>80.61673</v>
      </c>
      <c r="O13" s="106">
        <v>78.99202</v>
      </c>
      <c r="P13" s="106">
        <v>79.70379</v>
      </c>
      <c r="Q13" s="76"/>
      <c r="R13" s="76"/>
      <c r="S13" s="76"/>
      <c r="T13" s="76"/>
      <c r="U13" s="76"/>
      <c r="V13" s="76"/>
    </row>
    <row s="115" customFormat="1" customHeight="1" ht="14.25">
      <c r="A14" s="76"/>
      <c r="B14" s="71"/>
      <c r="C14" s="57" t="s">
        <v>26</v>
      </c>
      <c r="D14" s="57" t="s">
        <v>154</v>
      </c>
      <c r="E14" s="106">
        <v>3.285997</v>
      </c>
      <c r="F14" s="106">
        <v>3.273058</v>
      </c>
      <c r="G14" s="106">
        <v>3.280875</v>
      </c>
      <c r="H14" s="106">
        <v>3.273886</v>
      </c>
      <c r="I14" s="106">
        <v>3.272886</v>
      </c>
      <c r="J14" s="106">
        <v>3.281966</v>
      </c>
      <c r="K14" s="106">
        <v>3.271701</v>
      </c>
      <c r="L14" s="106">
        <v>3.286853</v>
      </c>
      <c r="M14" s="106">
        <v>3.260506</v>
      </c>
      <c r="N14" s="106">
        <v>3.259532</v>
      </c>
      <c r="O14" s="106">
        <v>3.279675</v>
      </c>
      <c r="P14" s="106">
        <v>3.282131</v>
      </c>
      <c r="Q14" s="76"/>
      <c r="R14" s="76"/>
      <c r="S14" s="76"/>
      <c r="T14" s="76"/>
      <c r="U14" s="76"/>
      <c r="V14" s="76"/>
    </row>
    <row s="116" customFormat="1" customHeight="1" ht="14.25">
      <c r="A15" s="76"/>
      <c r="B15" s="71"/>
      <c r="C15" s="57" t="s">
        <v>28</v>
      </c>
      <c r="D15" s="57" t="s">
        <v>155</v>
      </c>
      <c r="E15" s="106">
        <v>0.9096271</v>
      </c>
      <c r="F15" s="106">
        <v>0.9232986</v>
      </c>
      <c r="G15" s="106">
        <v>0.9033581</v>
      </c>
      <c r="H15" s="106">
        <v>0.9112934</v>
      </c>
      <c r="I15" s="106">
        <v>0.9006488</v>
      </c>
      <c r="J15" s="106">
        <v>0.8649458</v>
      </c>
      <c r="K15" s="106">
        <v>0.8940718</v>
      </c>
      <c r="L15" s="106">
        <v>0.8641422</v>
      </c>
      <c r="M15" s="106">
        <v>0.8925709</v>
      </c>
      <c r="N15" s="106">
        <v>0.9002503</v>
      </c>
      <c r="O15" s="106">
        <v>0.9077369</v>
      </c>
      <c r="P15" s="106">
        <v>0.9255369</v>
      </c>
      <c r="Q15" s="76"/>
      <c r="R15" s="76"/>
      <c r="S15" s="76"/>
      <c r="T15" s="76"/>
      <c r="U15" s="76"/>
      <c r="V15" s="76"/>
    </row>
    <row s="117" customFormat="1" customHeight="1" ht="14.25">
      <c r="A16" s="76"/>
      <c r="B16" s="71"/>
      <c r="C16" s="57" t="s">
        <v>30</v>
      </c>
      <c r="D16" s="57" t="s">
        <v>156</v>
      </c>
      <c r="E16" s="106">
        <v>0</v>
      </c>
      <c r="F16" s="106">
        <v>0</v>
      </c>
      <c r="G16" s="106">
        <v>0</v>
      </c>
      <c r="H16" s="106">
        <v>0</v>
      </c>
      <c r="I16" s="106">
        <v>0</v>
      </c>
      <c r="J16" s="106">
        <v>0</v>
      </c>
      <c r="K16" s="106">
        <v>0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76"/>
      <c r="R16" s="76"/>
      <c r="S16" s="76"/>
      <c r="T16" s="76"/>
      <c r="U16" s="76"/>
      <c r="V16" s="76"/>
    </row>
    <row s="118" customFormat="1" customHeight="1" ht="14.25">
      <c r="A17" s="76"/>
      <c r="B17" s="71"/>
      <c r="C17" s="57" t="s">
        <v>32</v>
      </c>
      <c r="D17" s="57" t="s">
        <v>157</v>
      </c>
      <c r="E17" s="106">
        <v>35</v>
      </c>
      <c r="F17" s="106">
        <v>35</v>
      </c>
      <c r="G17" s="106">
        <v>35</v>
      </c>
      <c r="H17" s="106">
        <v>35</v>
      </c>
      <c r="I17" s="106">
        <v>35</v>
      </c>
      <c r="J17" s="106">
        <v>35</v>
      </c>
      <c r="K17" s="106">
        <v>35</v>
      </c>
      <c r="L17" s="106">
        <v>35</v>
      </c>
      <c r="M17" s="106">
        <v>35</v>
      </c>
      <c r="N17" s="106">
        <v>35</v>
      </c>
      <c r="O17" s="106">
        <v>35</v>
      </c>
      <c r="P17" s="106">
        <v>35</v>
      </c>
      <c r="Q17" s="76"/>
      <c r="R17" s="76"/>
      <c r="S17" s="76"/>
      <c r="T17" s="76"/>
      <c r="U17" s="76"/>
      <c r="V17" s="76"/>
    </row>
    <row s="119" customFormat="1" customHeight="1" ht="14.25">
      <c r="A18" s="76"/>
      <c r="B18" s="71"/>
      <c r="C18" s="57" t="s">
        <v>34</v>
      </c>
      <c r="D18" s="57" t="s">
        <v>158</v>
      </c>
      <c r="E18" s="106">
        <v>13.83241</v>
      </c>
      <c r="F18" s="106">
        <v>15.29463</v>
      </c>
      <c r="G18" s="106">
        <v>14.64806</v>
      </c>
      <c r="H18" s="106">
        <v>15.11002</v>
      </c>
      <c r="I18" s="106">
        <v>14.89532</v>
      </c>
      <c r="J18" s="106">
        <v>13.30201</v>
      </c>
      <c r="K18" s="106">
        <v>12.72012</v>
      </c>
      <c r="L18" s="106">
        <v>11.43863</v>
      </c>
      <c r="M18" s="106">
        <v>13.24226</v>
      </c>
      <c r="N18" s="106">
        <v>13.48892</v>
      </c>
      <c r="O18" s="106">
        <v>12.56484</v>
      </c>
      <c r="P18" s="106">
        <v>13.35449</v>
      </c>
      <c r="Q18" s="76"/>
      <c r="R18" s="76"/>
      <c r="S18" s="76"/>
      <c r="T18" s="76"/>
      <c r="U18" s="76"/>
      <c r="V18" s="76"/>
    </row>
    <row s="120" customFormat="1" customHeight="1" ht="14.25">
      <c r="A19" s="76"/>
      <c r="B19" s="71" t="s">
        <v>36</v>
      </c>
      <c r="C19" s="57" t="s">
        <v>37</v>
      </c>
      <c r="D19" s="57" t="s">
        <v>159</v>
      </c>
      <c r="E19" s="106">
        <v>17.79634</v>
      </c>
      <c r="F19" s="106">
        <v>18.2812</v>
      </c>
      <c r="G19" s="106">
        <v>17.60827</v>
      </c>
      <c r="H19" s="106">
        <v>17.51852</v>
      </c>
      <c r="I19" s="106">
        <v>24.99651</v>
      </c>
      <c r="J19" s="106">
        <v>16.72508</v>
      </c>
      <c r="K19" s="106">
        <v>19.19778</v>
      </c>
      <c r="L19" s="106">
        <v>16.70713</v>
      </c>
      <c r="M19" s="106">
        <v>16.569</v>
      </c>
      <c r="N19" s="106">
        <v>18.29433</v>
      </c>
      <c r="O19" s="106">
        <v>17.99195</v>
      </c>
      <c r="P19" s="106">
        <v>17.2769</v>
      </c>
      <c r="Q19" s="76"/>
      <c r="R19" s="76"/>
      <c r="S19" s="76"/>
      <c r="T19" s="76"/>
      <c r="U19" s="76"/>
      <c r="V19" s="76"/>
    </row>
    <row s="121" customFormat="1" customHeight="1" ht="14.25">
      <c r="A20" s="76"/>
      <c r="B20" s="71"/>
      <c r="C20" s="57" t="s">
        <v>39</v>
      </c>
      <c r="D20" s="57" t="s">
        <v>160</v>
      </c>
      <c r="E20" s="106">
        <v>16.97565</v>
      </c>
      <c r="F20" s="106">
        <v>16.99318</v>
      </c>
      <c r="G20" s="106">
        <v>16.98606</v>
      </c>
      <c r="H20" s="106">
        <v>16.98517</v>
      </c>
      <c r="I20" s="106">
        <v>16.93231</v>
      </c>
      <c r="J20" s="106">
        <v>17.0403</v>
      </c>
      <c r="K20" s="106">
        <v>17.0421</v>
      </c>
      <c r="L20" s="106">
        <v>17.00335</v>
      </c>
      <c r="M20" s="106">
        <v>16.98937</v>
      </c>
      <c r="N20" s="106">
        <v>16.97254</v>
      </c>
      <c r="O20" s="106">
        <v>17.00001</v>
      </c>
      <c r="P20" s="106">
        <v>16.96708</v>
      </c>
      <c r="Q20" s="76"/>
      <c r="R20" s="76"/>
      <c r="S20" s="76"/>
      <c r="T20" s="76"/>
      <c r="U20" s="76"/>
      <c r="V20" s="76"/>
    </row>
    <row s="122" customFormat="1" customHeight="1" ht="14.25">
      <c r="A21" s="76"/>
      <c r="B21" s="71"/>
      <c r="C21" s="57" t="s">
        <v>41</v>
      </c>
      <c r="D21" s="57" t="s">
        <v>161</v>
      </c>
      <c r="E21" s="106">
        <v>284.7057</v>
      </c>
      <c r="F21" s="106">
        <v>282.8596</v>
      </c>
      <c r="G21" s="106">
        <v>284.6616</v>
      </c>
      <c r="H21" s="106">
        <v>283.2304</v>
      </c>
      <c r="I21" s="106">
        <v>284.2923</v>
      </c>
      <c r="J21" s="106">
        <v>284.644</v>
      </c>
      <c r="K21" s="106">
        <v>285.4602</v>
      </c>
      <c r="L21" s="106">
        <v>284.0402</v>
      </c>
      <c r="M21" s="106">
        <v>283.9051</v>
      </c>
      <c r="N21" s="106">
        <v>283.226</v>
      </c>
      <c r="O21" s="106">
        <v>283.456</v>
      </c>
      <c r="P21" s="106">
        <v>283.3869</v>
      </c>
      <c r="Q21" s="76"/>
      <c r="R21" s="76"/>
      <c r="S21" s="76"/>
      <c r="T21" s="76"/>
      <c r="U21" s="76"/>
      <c r="V21" s="76"/>
    </row>
    <row s="123" customFormat="1" customHeight="1" ht="14.25">
      <c r="A22" s="76"/>
      <c r="B22" s="71"/>
      <c r="C22" s="57" t="s">
        <v>43</v>
      </c>
      <c r="D22" s="57" t="s">
        <v>162</v>
      </c>
      <c r="E22" s="106">
        <v>38.64854</v>
      </c>
      <c r="F22" s="106">
        <v>40.28741</v>
      </c>
      <c r="G22" s="106">
        <v>40.0263</v>
      </c>
      <c r="H22" s="106">
        <v>40.36453</v>
      </c>
      <c r="I22" s="106">
        <v>38.7252</v>
      </c>
      <c r="J22" s="106">
        <v>38.13836</v>
      </c>
      <c r="K22" s="106">
        <v>40.21678</v>
      </c>
      <c r="L22" s="106">
        <v>40.41374</v>
      </c>
      <c r="M22" s="106">
        <v>41.6483</v>
      </c>
      <c r="N22" s="106">
        <v>41.87342</v>
      </c>
      <c r="O22" s="106">
        <v>39.22972</v>
      </c>
      <c r="P22" s="106">
        <v>42.54858</v>
      </c>
      <c r="Q22" s="76"/>
      <c r="R22" s="76"/>
      <c r="S22" s="76"/>
      <c r="T22" s="76"/>
      <c r="U22" s="76"/>
      <c r="V22" s="76"/>
    </row>
    <row s="124" customFormat="1" customHeight="1" ht="14.25">
      <c r="A23" s="76"/>
      <c r="B23" s="71"/>
      <c r="C23" s="57" t="s">
        <v>45</v>
      </c>
      <c r="D23" s="57" t="s">
        <v>163</v>
      </c>
      <c r="E23" s="106">
        <v>472.4089</v>
      </c>
      <c r="F23" s="106">
        <v>472.1727</v>
      </c>
      <c r="G23" s="106">
        <v>472.1069</v>
      </c>
      <c r="H23" s="106">
        <v>472.4383</v>
      </c>
      <c r="I23" s="106">
        <v>472.0801</v>
      </c>
      <c r="J23" s="106">
        <v>471.861</v>
      </c>
      <c r="K23" s="106">
        <v>471.1911</v>
      </c>
      <c r="L23" s="106">
        <v>471.908</v>
      </c>
      <c r="M23" s="106">
        <v>471.3738</v>
      </c>
      <c r="N23" s="106">
        <v>471.8661</v>
      </c>
      <c r="O23" s="106">
        <v>472.8426</v>
      </c>
      <c r="P23" s="106">
        <v>471.6697</v>
      </c>
      <c r="Q23" s="76"/>
      <c r="R23" s="76"/>
      <c r="S23" s="76"/>
      <c r="T23" s="76"/>
      <c r="U23" s="76"/>
      <c r="V23" s="76"/>
    </row>
    <row s="125" customFormat="1" customHeight="1" ht="14.25">
      <c r="A24" s="76"/>
      <c r="B24" s="71"/>
      <c r="C24" s="57" t="s">
        <v>47</v>
      </c>
      <c r="D24" s="57" t="s">
        <v>164</v>
      </c>
      <c r="E24" s="106">
        <v>477.3494</v>
      </c>
      <c r="F24" s="106">
        <v>476.7776</v>
      </c>
      <c r="G24" s="106">
        <v>477.1104</v>
      </c>
      <c r="H24" s="106">
        <v>477.247</v>
      </c>
      <c r="I24" s="106">
        <v>477.5986</v>
      </c>
      <c r="J24" s="106">
        <v>477.5952</v>
      </c>
      <c r="K24" s="106">
        <v>476.3401</v>
      </c>
      <c r="L24" s="106">
        <v>476.2952</v>
      </c>
      <c r="M24" s="106">
        <v>477.1053</v>
      </c>
      <c r="N24" s="106">
        <v>476.9018</v>
      </c>
      <c r="O24" s="106">
        <v>476.6307</v>
      </c>
      <c r="P24" s="106">
        <v>476.8367</v>
      </c>
      <c r="Q24" s="76"/>
      <c r="R24" s="76"/>
      <c r="S24" s="76"/>
      <c r="T24" s="76"/>
      <c r="U24" s="76"/>
      <c r="V24" s="76"/>
    </row>
    <row s="126" customFormat="1" customHeight="1" ht="14.25">
      <c r="A25" s="76"/>
      <c r="B25" s="71"/>
      <c r="C25" s="57" t="s">
        <v>49</v>
      </c>
      <c r="D25" s="57" t="s">
        <v>165</v>
      </c>
      <c r="E25" s="106">
        <v>16740.03</v>
      </c>
      <c r="F25" s="106">
        <v>16684.21</v>
      </c>
      <c r="G25" s="106">
        <v>16643.92</v>
      </c>
      <c r="H25" s="106">
        <v>16634.79</v>
      </c>
      <c r="I25" s="106">
        <v>16617.82</v>
      </c>
      <c r="J25" s="106">
        <v>16553.53</v>
      </c>
      <c r="K25" s="106">
        <v>16680.29</v>
      </c>
      <c r="L25" s="106">
        <v>16660.47</v>
      </c>
      <c r="M25" s="106">
        <v>16729.08</v>
      </c>
      <c r="N25" s="106">
        <v>16973.28</v>
      </c>
      <c r="O25" s="106">
        <v>17049.93</v>
      </c>
      <c r="P25" s="106">
        <v>17035.12</v>
      </c>
      <c r="Q25" s="76"/>
      <c r="R25" s="76"/>
      <c r="S25" s="76"/>
      <c r="T25" s="76"/>
      <c r="U25" s="76"/>
      <c r="V25" s="76"/>
    </row>
    <row s="127" customFormat="1" customHeight="1" ht="14.25">
      <c r="A26" s="76"/>
      <c r="B26" s="71"/>
      <c r="C26" s="57" t="s">
        <v>51</v>
      </c>
      <c r="D26" s="57" t="s">
        <v>166</v>
      </c>
      <c r="E26" s="106">
        <v>15904.26</v>
      </c>
      <c r="F26" s="106">
        <v>15872.3</v>
      </c>
      <c r="G26" s="106">
        <v>15831.81</v>
      </c>
      <c r="H26" s="106">
        <v>15789.04</v>
      </c>
      <c r="I26" s="106">
        <v>15802.98</v>
      </c>
      <c r="J26" s="106">
        <v>15746.13</v>
      </c>
      <c r="K26" s="106">
        <v>15903.06</v>
      </c>
      <c r="L26" s="106">
        <v>15858.16</v>
      </c>
      <c r="M26" s="106">
        <v>15959.3</v>
      </c>
      <c r="N26" s="106">
        <v>16196.96</v>
      </c>
      <c r="O26" s="106">
        <v>16267.51</v>
      </c>
      <c r="P26" s="106">
        <v>16242.75</v>
      </c>
      <c r="Q26" s="76"/>
      <c r="R26" s="76"/>
      <c r="S26" s="76"/>
      <c r="T26" s="76"/>
      <c r="U26" s="76"/>
      <c r="V26" s="76"/>
    </row>
    <row s="128" customFormat="1" customHeight="1" ht="14.25">
      <c r="A27" s="76"/>
      <c r="B27" s="71"/>
      <c r="C27" s="57" t="s">
        <v>53</v>
      </c>
      <c r="D27" s="57" t="s">
        <v>167</v>
      </c>
      <c r="E27" s="106">
        <v>15.09963</v>
      </c>
      <c r="F27" s="106">
        <v>13.84164</v>
      </c>
      <c r="G27" s="106">
        <v>16.63508</v>
      </c>
      <c r="H27" s="106">
        <v>15.41624</v>
      </c>
      <c r="I27" s="106">
        <v>14.72824</v>
      </c>
      <c r="J27" s="106">
        <v>14.25276</v>
      </c>
      <c r="K27" s="106">
        <v>14.70266</v>
      </c>
      <c r="L27" s="106">
        <v>14.08172</v>
      </c>
      <c r="M27" s="106">
        <v>15.13702</v>
      </c>
      <c r="N27" s="106">
        <v>14.94569</v>
      </c>
      <c r="O27" s="106">
        <v>15.2856</v>
      </c>
      <c r="P27" s="106">
        <v>14.94411</v>
      </c>
      <c r="Q27" s="76"/>
      <c r="R27" s="76"/>
      <c r="S27" s="76"/>
      <c r="T27" s="76"/>
      <c r="U27" s="76"/>
      <c r="V27" s="76"/>
    </row>
    <row s="129" customFormat="1" customHeight="1" ht="14.25">
      <c r="A28" s="76"/>
      <c r="B28" s="71" t="s">
        <v>55</v>
      </c>
      <c r="C28" s="57" t="s">
        <v>56</v>
      </c>
      <c r="D28" s="57" t="s">
        <v>168</v>
      </c>
      <c r="E28" s="106">
        <v>19.96645</v>
      </c>
      <c r="F28" s="106">
        <v>19.99748</v>
      </c>
      <c r="G28" s="106">
        <v>19.96302</v>
      </c>
      <c r="H28" s="106">
        <v>20.00477</v>
      </c>
      <c r="I28" s="106">
        <v>19.90705</v>
      </c>
      <c r="J28" s="106">
        <v>19.92171</v>
      </c>
      <c r="K28" s="106">
        <v>19.99587</v>
      </c>
      <c r="L28" s="106">
        <v>19.79097</v>
      </c>
      <c r="M28" s="106">
        <v>20.05231</v>
      </c>
      <c r="N28" s="106">
        <v>20.03573</v>
      </c>
      <c r="O28" s="106">
        <v>20.10132</v>
      </c>
      <c r="P28" s="106">
        <v>20.07153</v>
      </c>
      <c r="Q28" s="76"/>
      <c r="R28" s="76"/>
      <c r="S28" s="76"/>
      <c r="T28" s="76"/>
      <c r="U28" s="76"/>
      <c r="V28" s="76"/>
    </row>
    <row s="130" customFormat="1" customHeight="1" ht="14.25">
      <c r="A29" s="76"/>
      <c r="B29" s="71"/>
      <c r="C29" s="57" t="s">
        <v>20</v>
      </c>
      <c r="D29" s="57" t="s">
        <v>169</v>
      </c>
      <c r="E29" s="105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76"/>
      <c r="R29" s="76"/>
      <c r="S29" s="76"/>
      <c r="T29" s="76"/>
      <c r="U29" s="76"/>
      <c r="V29" s="76"/>
    </row>
    <row s="131" customFormat="1" customHeight="1" ht="14.25">
      <c r="A30" s="76"/>
      <c r="B30" s="71"/>
      <c r="C30" s="57" t="s">
        <v>59</v>
      </c>
      <c r="D30" s="57" t="s">
        <v>170</v>
      </c>
      <c r="E30" s="106">
        <v>1.73473</v>
      </c>
      <c r="F30" s="106">
        <v>1.733075</v>
      </c>
      <c r="G30" s="106">
        <v>1.736275</v>
      </c>
      <c r="H30" s="106">
        <v>1.737021</v>
      </c>
      <c r="I30" s="106">
        <v>1.714893</v>
      </c>
      <c r="J30" s="106">
        <v>1.724872</v>
      </c>
      <c r="K30" s="106">
        <v>1.724222</v>
      </c>
      <c r="L30" s="106">
        <v>1.739725</v>
      </c>
      <c r="M30" s="106">
        <v>1.729104</v>
      </c>
      <c r="N30" s="106">
        <v>1.721812</v>
      </c>
      <c r="O30" s="106">
        <v>1.72956</v>
      </c>
      <c r="P30" s="106">
        <v>1.731572</v>
      </c>
      <c r="Q30" s="76"/>
      <c r="R30" s="76"/>
      <c r="S30" s="76"/>
      <c r="T30" s="76"/>
      <c r="U30" s="76"/>
      <c r="V30" s="76"/>
    </row>
    <row s="132" customFormat="1" customHeight="1" ht="14.25">
      <c r="A31" s="76"/>
      <c r="B31" s="71"/>
      <c r="C31" s="57" t="s">
        <v>61</v>
      </c>
      <c r="D31" s="57" t="s">
        <v>171</v>
      </c>
      <c r="E31" s="106">
        <v>151.2305</v>
      </c>
      <c r="F31" s="106">
        <v>152.261</v>
      </c>
      <c r="G31" s="106">
        <v>153.0492</v>
      </c>
      <c r="H31" s="106">
        <v>152.1515</v>
      </c>
      <c r="I31" s="106">
        <v>150.9187</v>
      </c>
      <c r="J31" s="106">
        <v>152.0392</v>
      </c>
      <c r="K31" s="106">
        <v>152.7689</v>
      </c>
      <c r="L31" s="106">
        <v>152.4096</v>
      </c>
      <c r="M31" s="106">
        <v>153.1664</v>
      </c>
      <c r="N31" s="106">
        <v>150.9076</v>
      </c>
      <c r="O31" s="106">
        <v>149.8868</v>
      </c>
      <c r="P31" s="106">
        <v>150.955</v>
      </c>
      <c r="Q31" s="76"/>
      <c r="R31" s="76"/>
      <c r="S31" s="76"/>
      <c r="T31" s="76"/>
      <c r="U31" s="76"/>
      <c r="V31" s="76"/>
    </row>
    <row s="133" customFormat="1" customHeight="1" ht="14.25">
      <c r="A32" s="76"/>
      <c r="B32" s="71"/>
      <c r="C32" s="57" t="s">
        <v>63</v>
      </c>
      <c r="D32" s="57" t="s">
        <v>172</v>
      </c>
      <c r="E32" s="106">
        <v>229.9201</v>
      </c>
      <c r="F32" s="106">
        <v>229.9142</v>
      </c>
      <c r="G32" s="106">
        <v>230.084</v>
      </c>
      <c r="H32" s="106">
        <v>229.9445</v>
      </c>
      <c r="I32" s="106">
        <v>230.2732</v>
      </c>
      <c r="J32" s="106">
        <v>229.912</v>
      </c>
      <c r="K32" s="106">
        <v>229.9166</v>
      </c>
      <c r="L32" s="106">
        <v>229.5526</v>
      </c>
      <c r="M32" s="106">
        <v>229.764</v>
      </c>
      <c r="N32" s="106">
        <v>230.6621</v>
      </c>
      <c r="O32" s="106">
        <v>231.0779</v>
      </c>
      <c r="P32" s="106">
        <v>230.9865</v>
      </c>
      <c r="Q32" s="76"/>
      <c r="R32" s="76"/>
      <c r="S32" s="76"/>
      <c r="T32" s="76"/>
      <c r="U32" s="76"/>
      <c r="V32" s="76"/>
    </row>
    <row s="134" customFormat="1" customHeight="1" ht="14.25">
      <c r="A33" s="76"/>
      <c r="B33" s="71"/>
      <c r="C33" s="57" t="s">
        <v>65</v>
      </c>
      <c r="D33" s="57" t="s">
        <v>173</v>
      </c>
      <c r="E33" s="106">
        <v>21.75922</v>
      </c>
      <c r="F33" s="106">
        <v>21.3431</v>
      </c>
      <c r="G33" s="106">
        <v>20.2494</v>
      </c>
      <c r="H33" s="106">
        <v>20.51443</v>
      </c>
      <c r="I33" s="106">
        <v>21.1531</v>
      </c>
      <c r="J33" s="106">
        <v>20.93544</v>
      </c>
      <c r="K33" s="106">
        <v>20.35954</v>
      </c>
      <c r="L33" s="106">
        <v>20.54657</v>
      </c>
      <c r="M33" s="106">
        <v>19.90054</v>
      </c>
      <c r="N33" s="106">
        <v>20.24636</v>
      </c>
      <c r="O33" s="106">
        <v>21.24424</v>
      </c>
      <c r="P33" s="106">
        <v>21.4762</v>
      </c>
      <c r="Q33" s="76"/>
      <c r="R33" s="76"/>
      <c r="S33" s="76"/>
      <c r="T33" s="76"/>
      <c r="U33" s="76"/>
      <c r="V33" s="76"/>
    </row>
    <row s="135" customFormat="1" customHeight="1" ht="14.25">
      <c r="A34" s="76"/>
      <c r="B34" s="71" t="s">
        <v>67</v>
      </c>
      <c r="C34" s="57" t="s">
        <v>68</v>
      </c>
      <c r="D34" s="57" t="s">
        <v>174</v>
      </c>
      <c r="E34" s="106">
        <v>0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106">
        <v>0</v>
      </c>
      <c r="L34" s="106">
        <v>0</v>
      </c>
      <c r="M34" s="106">
        <v>0</v>
      </c>
      <c r="N34" s="106">
        <v>0</v>
      </c>
      <c r="O34" s="106">
        <v>0</v>
      </c>
      <c r="P34" s="106">
        <v>0</v>
      </c>
      <c r="Q34" s="76"/>
      <c r="R34" s="76"/>
      <c r="S34" s="76"/>
      <c r="T34" s="76"/>
      <c r="U34" s="76"/>
      <c r="V34" s="76"/>
    </row>
    <row s="136" customFormat="1" customHeight="1" ht="14.25">
      <c r="A35" s="76"/>
      <c r="B35" s="71"/>
      <c r="C35" s="57" t="s">
        <v>70</v>
      </c>
      <c r="D35" s="57" t="s">
        <v>175</v>
      </c>
      <c r="E35" s="106">
        <v>4572.345</v>
      </c>
      <c r="F35" s="106">
        <v>4418.345</v>
      </c>
      <c r="G35" s="106">
        <v>4561.872</v>
      </c>
      <c r="H35" s="106">
        <v>4622.612</v>
      </c>
      <c r="I35" s="106">
        <v>4607.598</v>
      </c>
      <c r="J35" s="106">
        <v>4591.213</v>
      </c>
      <c r="K35" s="106">
        <v>4552.431</v>
      </c>
      <c r="L35" s="106">
        <v>4536.6</v>
      </c>
      <c r="M35" s="106">
        <v>4411.366</v>
      </c>
      <c r="N35" s="106">
        <v>4360.901</v>
      </c>
      <c r="O35" s="106">
        <v>4476.547</v>
      </c>
      <c r="P35" s="106">
        <v>4227.256</v>
      </c>
      <c r="Q35" s="76"/>
      <c r="R35" s="76"/>
      <c r="S35" s="76"/>
      <c r="T35" s="76"/>
      <c r="U35" s="76"/>
      <c r="V35" s="76"/>
    </row>
    <row s="137" customFormat="1" customHeight="1" ht="14.25">
      <c r="A36" s="76"/>
      <c r="B36" s="71"/>
      <c r="C36" s="57" t="s">
        <v>72</v>
      </c>
      <c r="D36" s="57" t="s">
        <v>176</v>
      </c>
      <c r="E36" s="106">
        <v>335.212</v>
      </c>
      <c r="F36" s="106">
        <v>333.9731</v>
      </c>
      <c r="G36" s="106">
        <v>332.2179</v>
      </c>
      <c r="H36" s="106">
        <v>332.9783</v>
      </c>
      <c r="I36" s="106">
        <v>333.2394</v>
      </c>
      <c r="J36" s="106">
        <v>332.6369</v>
      </c>
      <c r="K36" s="106">
        <v>335.2573</v>
      </c>
      <c r="L36" s="106">
        <v>335.2245</v>
      </c>
      <c r="M36" s="106">
        <v>338.3408</v>
      </c>
      <c r="N36" s="106">
        <v>338.7721</v>
      </c>
      <c r="O36" s="106">
        <v>337.7673</v>
      </c>
      <c r="P36" s="106">
        <v>336.1243</v>
      </c>
      <c r="Q36" s="76"/>
      <c r="R36" s="76"/>
      <c r="S36" s="76"/>
      <c r="T36" s="76"/>
      <c r="U36" s="76"/>
      <c r="V36" s="76"/>
    </row>
    <row s="138" customFormat="1" customHeight="1" ht="14.25">
      <c r="A37" s="76"/>
      <c r="B37" s="71"/>
      <c r="C37" s="57" t="s">
        <v>74</v>
      </c>
      <c r="D37" s="57" t="s">
        <v>177</v>
      </c>
      <c r="E37" s="106">
        <v>4886.056</v>
      </c>
      <c r="F37" s="106">
        <v>4894.98</v>
      </c>
      <c r="G37" s="106">
        <v>4909.336</v>
      </c>
      <c r="H37" s="106">
        <v>4911.719</v>
      </c>
      <c r="I37" s="106">
        <v>4905.127</v>
      </c>
      <c r="J37" s="106">
        <v>4915.269</v>
      </c>
      <c r="K37" s="106">
        <v>4879.065</v>
      </c>
      <c r="L37" s="106">
        <v>4934.285</v>
      </c>
      <c r="M37" s="106">
        <v>4890.448</v>
      </c>
      <c r="N37" s="106">
        <v>4986.16</v>
      </c>
      <c r="O37" s="106">
        <v>5026.828</v>
      </c>
      <c r="P37" s="106">
        <v>4986.615</v>
      </c>
      <c r="Q37" s="76"/>
      <c r="R37" s="76"/>
      <c r="S37" s="76"/>
      <c r="T37" s="76"/>
      <c r="U37" s="76"/>
      <c r="V37" s="76"/>
    </row>
    <row s="139" customFormat="1" customHeight="1" ht="14.25">
      <c r="A38" s="76"/>
      <c r="B38" s="71"/>
      <c r="C38" s="57" t="s">
        <v>76</v>
      </c>
      <c r="D38" s="57" t="s">
        <v>178</v>
      </c>
      <c r="E38" s="106">
        <v>16.02656</v>
      </c>
      <c r="F38" s="106">
        <v>16.01279</v>
      </c>
      <c r="G38" s="106">
        <v>16.05494</v>
      </c>
      <c r="H38" s="106">
        <v>16.06004</v>
      </c>
      <c r="I38" s="106">
        <v>16.00188</v>
      </c>
      <c r="J38" s="106">
        <v>16.07828</v>
      </c>
      <c r="K38" s="106">
        <v>16.05605</v>
      </c>
      <c r="L38" s="106">
        <v>16.09891</v>
      </c>
      <c r="M38" s="106">
        <v>16.06186</v>
      </c>
      <c r="N38" s="106">
        <v>16.06139</v>
      </c>
      <c r="O38" s="106">
        <v>16.0167</v>
      </c>
      <c r="P38" s="106">
        <v>16.04389</v>
      </c>
      <c r="Q38" s="76"/>
      <c r="R38" s="76"/>
      <c r="S38" s="76"/>
      <c r="T38" s="76"/>
      <c r="U38" s="76"/>
      <c r="V38" s="76"/>
    </row>
    <row s="140" customFormat="1" customHeight="1" ht="14.25">
      <c r="A39" s="76"/>
      <c r="B39" s="71"/>
      <c r="C39" s="57" t="s">
        <v>78</v>
      </c>
      <c r="D39" s="57" t="s">
        <v>179</v>
      </c>
      <c r="E39" s="106">
        <v>457.4214</v>
      </c>
      <c r="F39" s="106">
        <v>457.4409</v>
      </c>
      <c r="G39" s="106">
        <v>456.1681</v>
      </c>
      <c r="H39" s="106">
        <v>456.2197</v>
      </c>
      <c r="I39" s="106">
        <v>456.4231</v>
      </c>
      <c r="J39" s="106">
        <v>456.1841</v>
      </c>
      <c r="K39" s="106">
        <v>458.6392</v>
      </c>
      <c r="L39" s="106">
        <v>453.2147</v>
      </c>
      <c r="M39" s="106">
        <v>456.2177</v>
      </c>
      <c r="N39" s="106">
        <v>456.3517</v>
      </c>
      <c r="O39" s="106">
        <v>457.2298</v>
      </c>
      <c r="P39" s="106">
        <v>457.1262</v>
      </c>
      <c r="Q39" s="76"/>
      <c r="R39" s="76"/>
      <c r="S39" s="76"/>
      <c r="T39" s="76"/>
      <c r="U39" s="76"/>
      <c r="V39" s="76"/>
    </row>
    <row s="141" customFormat="1" customHeight="1" ht="14.25">
      <c r="A40" s="76"/>
      <c r="B40" s="71"/>
      <c r="C40" s="57" t="s">
        <v>80</v>
      </c>
      <c r="D40" s="57" t="s">
        <v>180</v>
      </c>
      <c r="E40" s="106">
        <v>730.493</v>
      </c>
      <c r="F40" s="106">
        <v>730.7803</v>
      </c>
      <c r="G40" s="106">
        <v>730.0059</v>
      </c>
      <c r="H40" s="106">
        <v>730.3513</v>
      </c>
      <c r="I40" s="106">
        <v>730.5482</v>
      </c>
      <c r="J40" s="106">
        <v>730.3562</v>
      </c>
      <c r="K40" s="106">
        <v>730.8309</v>
      </c>
      <c r="L40" s="106">
        <v>729.6143</v>
      </c>
      <c r="M40" s="106">
        <v>727.0994</v>
      </c>
      <c r="N40" s="106">
        <v>726.3113</v>
      </c>
      <c r="O40" s="106">
        <v>727.5468</v>
      </c>
      <c r="P40" s="106">
        <v>726.2589</v>
      </c>
      <c r="Q40" s="76"/>
      <c r="R40" s="76"/>
      <c r="S40" s="76"/>
      <c r="T40" s="76"/>
      <c r="U40" s="76"/>
      <c r="V40" s="76"/>
    </row>
    <row s="142" customFormat="1" customHeight="1" ht="14.25">
      <c r="A41" s="76"/>
      <c r="B41" s="71"/>
      <c r="C41" s="57" t="s">
        <v>82</v>
      </c>
      <c r="D41" s="57" t="s">
        <v>181</v>
      </c>
      <c r="E41" s="106">
        <v>99.47729</v>
      </c>
      <c r="F41" s="106">
        <v>99.25842</v>
      </c>
      <c r="G41" s="106">
        <v>99.39027</v>
      </c>
      <c r="H41" s="106">
        <v>99.09201</v>
      </c>
      <c r="I41" s="106">
        <v>99.00618</v>
      </c>
      <c r="J41" s="106">
        <v>99.84875</v>
      </c>
      <c r="K41" s="106">
        <v>99.67923</v>
      </c>
      <c r="L41" s="106">
        <v>99.9763</v>
      </c>
      <c r="M41" s="106">
        <v>99.27106</v>
      </c>
      <c r="N41" s="106">
        <v>100.112</v>
      </c>
      <c r="O41" s="106">
        <v>99.72072</v>
      </c>
      <c r="P41" s="106">
        <v>99.72835</v>
      </c>
      <c r="Q41" s="76"/>
      <c r="R41" s="76"/>
      <c r="S41" s="76"/>
      <c r="T41" s="76"/>
      <c r="U41" s="76"/>
      <c r="V41" s="76"/>
    </row>
    <row s="143" customFormat="1" customHeight="1" ht="14.25">
      <c r="A42" s="76"/>
      <c r="B42" s="71"/>
      <c r="C42" s="57" t="s">
        <v>84</v>
      </c>
      <c r="D42" s="57" t="s">
        <v>182</v>
      </c>
      <c r="E42" s="106">
        <v>381.3848</v>
      </c>
      <c r="F42" s="106">
        <v>381.0941</v>
      </c>
      <c r="G42" s="106">
        <v>381.1271</v>
      </c>
      <c r="H42" s="106">
        <v>381.6003</v>
      </c>
      <c r="I42" s="106">
        <v>382.0847</v>
      </c>
      <c r="J42" s="106">
        <v>381.0371</v>
      </c>
      <c r="K42" s="106">
        <v>381.7992</v>
      </c>
      <c r="L42" s="106">
        <v>380.4067</v>
      </c>
      <c r="M42" s="106">
        <v>380.3272</v>
      </c>
      <c r="N42" s="106">
        <v>380.3484</v>
      </c>
      <c r="O42" s="106">
        <v>380.4004</v>
      </c>
      <c r="P42" s="106">
        <v>380.1695</v>
      </c>
      <c r="Q42" s="76"/>
      <c r="R42" s="76"/>
      <c r="S42" s="76"/>
      <c r="T42" s="76"/>
      <c r="U42" s="76"/>
      <c r="V42" s="76"/>
    </row>
    <row s="144" customFormat="1" customHeight="1" ht="14.25">
      <c r="A43" s="76"/>
      <c r="B43" s="71"/>
      <c r="C43" s="57" t="s">
        <v>86</v>
      </c>
      <c r="D43" s="57" t="s">
        <v>183</v>
      </c>
      <c r="E43" s="106">
        <v>12686.47</v>
      </c>
      <c r="F43" s="106">
        <v>12643.72</v>
      </c>
      <c r="G43" s="106">
        <v>12522.22</v>
      </c>
      <c r="H43" s="106">
        <v>12530.27</v>
      </c>
      <c r="I43" s="106">
        <v>12545.31</v>
      </c>
      <c r="J43" s="106">
        <v>12517.04</v>
      </c>
      <c r="K43" s="106">
        <v>12839.24</v>
      </c>
      <c r="L43" s="106">
        <v>12658.86</v>
      </c>
      <c r="M43" s="106">
        <v>12687.89</v>
      </c>
      <c r="N43" s="106">
        <v>12532.9</v>
      </c>
      <c r="O43" s="106">
        <v>12690.02</v>
      </c>
      <c r="P43" s="106">
        <v>12678.65</v>
      </c>
      <c r="Q43" s="76"/>
      <c r="R43" s="76"/>
      <c r="S43" s="76"/>
      <c r="T43" s="76"/>
      <c r="U43" s="76"/>
      <c r="V43" s="76"/>
    </row>
    <row s="145" customFormat="1" customHeight="1" ht="14.25">
      <c r="A44" s="76"/>
      <c r="B44" s="71" t="s">
        <v>88</v>
      </c>
      <c r="C44" s="57" t="s">
        <v>89</v>
      </c>
      <c r="D44" s="57" t="s">
        <v>184</v>
      </c>
      <c r="E44" s="106">
        <v>45.10412</v>
      </c>
      <c r="F44" s="106">
        <v>44.99863</v>
      </c>
      <c r="G44" s="106">
        <v>44.99743</v>
      </c>
      <c r="H44" s="106">
        <v>44.83663</v>
      </c>
      <c r="I44" s="106">
        <v>45.11076</v>
      </c>
      <c r="J44" s="106">
        <v>24.6969</v>
      </c>
      <c r="K44" s="106">
        <v>25.06451</v>
      </c>
      <c r="L44" s="106">
        <v>24.49276</v>
      </c>
      <c r="M44" s="106">
        <v>24.74059</v>
      </c>
      <c r="N44" s="106">
        <v>24.8713</v>
      </c>
      <c r="O44" s="106">
        <v>24.82147</v>
      </c>
      <c r="P44" s="106">
        <v>24.62029</v>
      </c>
      <c r="Q44" s="76"/>
      <c r="R44" s="76"/>
      <c r="S44" s="76"/>
      <c r="T44" s="76"/>
      <c r="U44" s="76"/>
      <c r="V44" s="76"/>
    </row>
    <row s="146" customFormat="1" customHeight="1" ht="14.25">
      <c r="A45" s="76"/>
      <c r="B45" s="71"/>
      <c r="C45" s="57" t="s">
        <v>91</v>
      </c>
      <c r="D45" s="57" t="s">
        <v>185</v>
      </c>
      <c r="E45" s="106">
        <v>140.7432</v>
      </c>
      <c r="F45" s="106">
        <v>140.4339</v>
      </c>
      <c r="G45" s="106">
        <v>140.1254</v>
      </c>
      <c r="H45" s="106">
        <v>140.6689</v>
      </c>
      <c r="I45" s="106">
        <v>140.5471</v>
      </c>
      <c r="J45" s="106">
        <v>111.2144</v>
      </c>
      <c r="K45" s="106">
        <v>112.01</v>
      </c>
      <c r="L45" s="106">
        <v>111.2044</v>
      </c>
      <c r="M45" s="106">
        <v>111.9233</v>
      </c>
      <c r="N45" s="106">
        <v>111.2625</v>
      </c>
      <c r="O45" s="106">
        <v>111.7875</v>
      </c>
      <c r="P45" s="106">
        <v>111.2409</v>
      </c>
      <c r="Q45" s="76"/>
      <c r="R45" s="76"/>
      <c r="S45" s="76"/>
      <c r="T45" s="76"/>
      <c r="U45" s="76"/>
      <c r="V45" s="76"/>
    </row>
    <row s="147" customFormat="1" customHeight="1" ht="14.25">
      <c r="A46" s="76"/>
      <c r="B46" s="71"/>
      <c r="C46" s="57" t="s">
        <v>93</v>
      </c>
      <c r="D46" s="57" t="s">
        <v>186</v>
      </c>
      <c r="E46" s="106">
        <v>329.5607</v>
      </c>
      <c r="F46" s="106">
        <v>329.7551</v>
      </c>
      <c r="G46" s="106">
        <v>328.491</v>
      </c>
      <c r="H46" s="106">
        <v>328.7724</v>
      </c>
      <c r="I46" s="106">
        <v>329.0837</v>
      </c>
      <c r="J46" s="106">
        <v>334.2416</v>
      </c>
      <c r="K46" s="106">
        <v>337.4872</v>
      </c>
      <c r="L46" s="106">
        <v>338.6969</v>
      </c>
      <c r="M46" s="106">
        <v>338.5623</v>
      </c>
      <c r="N46" s="106">
        <v>338.7605</v>
      </c>
      <c r="O46" s="106">
        <v>339.4861</v>
      </c>
      <c r="P46" s="106">
        <v>339.5148</v>
      </c>
      <c r="Q46" s="76"/>
      <c r="R46" s="76"/>
      <c r="S46" s="76"/>
      <c r="T46" s="76"/>
      <c r="U46" s="76"/>
      <c r="V46" s="76"/>
    </row>
    <row s="148" customFormat="1" customHeight="1" ht="14.25">
      <c r="A47" s="76"/>
      <c r="B47" s="71"/>
      <c r="C47" s="57" t="s">
        <v>95</v>
      </c>
      <c r="D47" s="57" t="s">
        <v>187</v>
      </c>
      <c r="E47" s="106">
        <v>371.7365</v>
      </c>
      <c r="F47" s="106">
        <v>372.612</v>
      </c>
      <c r="G47" s="106">
        <v>371.5726</v>
      </c>
      <c r="H47" s="106">
        <v>371.5799</v>
      </c>
      <c r="I47" s="106">
        <v>372.2083</v>
      </c>
      <c r="J47" s="106">
        <v>372.5881</v>
      </c>
      <c r="K47" s="106">
        <v>373.2346</v>
      </c>
      <c r="L47" s="106">
        <v>373.9222</v>
      </c>
      <c r="M47" s="106">
        <v>376.3033</v>
      </c>
      <c r="N47" s="106">
        <v>376.3249</v>
      </c>
      <c r="O47" s="106">
        <v>375.9666</v>
      </c>
      <c r="P47" s="106">
        <v>376.6501</v>
      </c>
      <c r="Q47" s="76"/>
      <c r="R47" s="76"/>
      <c r="S47" s="76"/>
      <c r="T47" s="76"/>
      <c r="U47" s="76"/>
      <c r="V47" s="76"/>
    </row>
    <row s="149" customFormat="1" customHeight="1" ht="14.25">
      <c r="A48" s="76"/>
      <c r="B48" s="71"/>
      <c r="C48" s="57" t="s">
        <v>97</v>
      </c>
      <c r="D48" s="57" t="s">
        <v>188</v>
      </c>
      <c r="E48" s="106">
        <v>6.452491</v>
      </c>
      <c r="F48" s="106">
        <v>6.415092</v>
      </c>
      <c r="G48" s="106">
        <v>6.416487</v>
      </c>
      <c r="H48" s="106">
        <v>6.476425</v>
      </c>
      <c r="I48" s="106">
        <v>6.554429</v>
      </c>
      <c r="J48" s="106">
        <v>6.500007</v>
      </c>
      <c r="K48" s="106">
        <v>6.460831</v>
      </c>
      <c r="L48" s="106">
        <v>6.203252</v>
      </c>
      <c r="M48" s="106">
        <v>6.12219</v>
      </c>
      <c r="N48" s="106">
        <v>6.144768</v>
      </c>
      <c r="O48" s="106">
        <v>6.165781</v>
      </c>
      <c r="P48" s="106">
        <v>6.074967</v>
      </c>
      <c r="Q48" s="76"/>
      <c r="R48" s="76"/>
      <c r="S48" s="76"/>
      <c r="T48" s="76"/>
      <c r="U48" s="76"/>
      <c r="V48" s="76"/>
    </row>
    <row s="150" customFormat="1" customHeight="1" ht="14.25">
      <c r="A49" s="76"/>
      <c r="B49" s="71"/>
      <c r="C49" s="57" t="s">
        <v>99</v>
      </c>
      <c r="D49" s="57" t="s">
        <v>189</v>
      </c>
      <c r="E49" s="106">
        <v>1.709052</v>
      </c>
      <c r="F49" s="106">
        <v>1.68681</v>
      </c>
      <c r="G49" s="106">
        <v>1.701972</v>
      </c>
      <c r="H49" s="106">
        <v>1.69185</v>
      </c>
      <c r="I49" s="106">
        <v>1.693874</v>
      </c>
      <c r="J49" s="106">
        <v>1.689669</v>
      </c>
      <c r="K49" s="106">
        <v>1.704437</v>
      </c>
      <c r="L49" s="106">
        <v>1.667382</v>
      </c>
      <c r="M49" s="106">
        <v>1.649522</v>
      </c>
      <c r="N49" s="106">
        <v>1.638316</v>
      </c>
      <c r="O49" s="106">
        <v>1.629038</v>
      </c>
      <c r="P49" s="106">
        <v>1.647663</v>
      </c>
      <c r="Q49" s="76"/>
      <c r="R49" s="76"/>
      <c r="S49" s="76"/>
      <c r="T49" s="76"/>
      <c r="U49" s="76"/>
      <c r="V49" s="76"/>
    </row>
    <row s="151" customFormat="1" customHeight="1" ht="14.25">
      <c r="A50" s="76"/>
      <c r="B50" s="71"/>
      <c r="C50" s="57" t="s">
        <v>101</v>
      </c>
      <c r="D50" s="57" t="s">
        <v>190</v>
      </c>
      <c r="E50" s="106">
        <v>15787.42</v>
      </c>
      <c r="F50" s="106">
        <v>15524.54</v>
      </c>
      <c r="G50" s="106">
        <v>15736.26</v>
      </c>
      <c r="H50" s="106">
        <v>15156.41</v>
      </c>
      <c r="I50" s="106">
        <v>15316.73</v>
      </c>
      <c r="J50" s="106">
        <v>15331.91</v>
      </c>
      <c r="K50" s="106">
        <v>15757.34</v>
      </c>
      <c r="L50" s="106">
        <v>15291.39</v>
      </c>
      <c r="M50" s="106">
        <v>15372.28</v>
      </c>
      <c r="N50" s="106">
        <v>15613.67</v>
      </c>
      <c r="O50" s="106">
        <v>15583.94</v>
      </c>
      <c r="P50" s="106">
        <v>15795.25</v>
      </c>
      <c r="Q50" s="76"/>
      <c r="R50" s="76"/>
      <c r="S50" s="76"/>
      <c r="T50" s="76"/>
      <c r="U50" s="76"/>
      <c r="V50" s="76"/>
    </row>
    <row s="152" customFormat="1" customHeight="1" ht="14.25">
      <c r="A51" s="76"/>
      <c r="B51" s="71"/>
      <c r="C51" s="57" t="s">
        <v>103</v>
      </c>
      <c r="D51" s="57" t="s">
        <v>191</v>
      </c>
      <c r="E51" s="106">
        <v>2933.658</v>
      </c>
      <c r="F51" s="106">
        <v>3073.454</v>
      </c>
      <c r="G51" s="106">
        <v>2798.962</v>
      </c>
      <c r="H51" s="106">
        <v>3220.602</v>
      </c>
      <c r="I51" s="106">
        <v>3238.288</v>
      </c>
      <c r="J51" s="106">
        <v>3071.158</v>
      </c>
      <c r="K51" s="106">
        <v>2981.09</v>
      </c>
      <c r="L51" s="106">
        <v>3510.368</v>
      </c>
      <c r="M51" s="106">
        <v>3516.858</v>
      </c>
      <c r="N51" s="106">
        <v>3805.709</v>
      </c>
      <c r="O51" s="106">
        <v>3915.101</v>
      </c>
      <c r="P51" s="106">
        <v>3514.75</v>
      </c>
      <c r="Q51" s="76"/>
      <c r="R51" s="76"/>
      <c r="S51" s="76"/>
      <c r="T51" s="76"/>
      <c r="U51" s="76"/>
      <c r="V51" s="76"/>
    </row>
    <row s="153" customFormat="1" customHeight="1" ht="14.25">
      <c r="A52" s="76"/>
      <c r="B52" s="71"/>
      <c r="C52" s="57" t="s">
        <v>105</v>
      </c>
      <c r="D52" s="57" t="s">
        <v>192</v>
      </c>
      <c r="E52" s="106">
        <v>119380.7</v>
      </c>
      <c r="F52" s="106">
        <v>120143.4</v>
      </c>
      <c r="G52" s="106">
        <v>118375.6</v>
      </c>
      <c r="H52" s="106">
        <v>116231.7</v>
      </c>
      <c r="I52" s="106">
        <v>117163.9</v>
      </c>
      <c r="J52" s="106">
        <v>128927.3</v>
      </c>
      <c r="K52" s="106">
        <v>128919.5</v>
      </c>
      <c r="L52" s="106">
        <v>128480.3</v>
      </c>
      <c r="M52" s="106">
        <v>130873.5</v>
      </c>
      <c r="N52" s="106">
        <v>131049.4</v>
      </c>
      <c r="O52" s="106">
        <v>132244.5</v>
      </c>
      <c r="P52" s="106">
        <v>133581.5</v>
      </c>
      <c r="Q52" s="76"/>
      <c r="R52" s="76"/>
      <c r="S52" s="76"/>
      <c r="T52" s="76"/>
      <c r="U52" s="76"/>
      <c r="V52" s="76"/>
    </row>
    <row s="154" customFormat="1" customHeight="1" ht="14.25">
      <c r="A53" s="76"/>
      <c r="B53" s="71"/>
      <c r="C53" s="57" t="s">
        <v>107</v>
      </c>
      <c r="D53" s="57" t="s">
        <v>193</v>
      </c>
      <c r="E53" s="106">
        <v>143.5908</v>
      </c>
      <c r="F53" s="106">
        <v>138.7395</v>
      </c>
      <c r="G53" s="106">
        <v>137.3889</v>
      </c>
      <c r="H53" s="106">
        <v>138.3995</v>
      </c>
      <c r="I53" s="106">
        <v>141.5027</v>
      </c>
      <c r="J53" s="106">
        <v>143.2401</v>
      </c>
      <c r="K53" s="106">
        <v>137.59</v>
      </c>
      <c r="L53" s="106">
        <v>133.7796</v>
      </c>
      <c r="M53" s="106">
        <v>137.2151</v>
      </c>
      <c r="N53" s="106">
        <v>142.8398</v>
      </c>
      <c r="O53" s="106">
        <v>142.186</v>
      </c>
      <c r="P53" s="106">
        <v>136.5986</v>
      </c>
      <c r="Q53" s="76"/>
      <c r="R53" s="76"/>
      <c r="S53" s="76"/>
      <c r="T53" s="76"/>
      <c r="U53" s="76"/>
      <c r="V53" s="76"/>
    </row>
    <row s="155" customFormat="1" customHeight="1" ht="14.25">
      <c r="A54" s="76"/>
      <c r="B54" s="71"/>
      <c r="C54" s="57" t="s">
        <v>109</v>
      </c>
      <c r="D54" s="57" t="s">
        <v>194</v>
      </c>
      <c r="E54" s="106">
        <v>267.4711</v>
      </c>
      <c r="F54" s="106">
        <v>267.3165</v>
      </c>
      <c r="G54" s="106">
        <v>266.4144</v>
      </c>
      <c r="H54" s="106">
        <v>265.589</v>
      </c>
      <c r="I54" s="106">
        <v>271.8555</v>
      </c>
      <c r="J54" s="106">
        <v>273.4954</v>
      </c>
      <c r="K54" s="106">
        <v>271.9818</v>
      </c>
      <c r="L54" s="106">
        <v>272.2873</v>
      </c>
      <c r="M54" s="106">
        <v>268.3087</v>
      </c>
      <c r="N54" s="106">
        <v>266.8755</v>
      </c>
      <c r="O54" s="106">
        <v>265.4616</v>
      </c>
      <c r="P54" s="106">
        <v>265.8494</v>
      </c>
      <c r="Q54" s="76"/>
      <c r="R54" s="76"/>
      <c r="S54" s="76"/>
      <c r="T54" s="76"/>
      <c r="U54" s="76"/>
      <c r="V54" s="76"/>
    </row>
    <row s="156" customFormat="1" customHeight="1" ht="14.25">
      <c r="A55" s="76"/>
      <c r="B55" s="71"/>
      <c r="C55" s="57" t="s">
        <v>111</v>
      </c>
      <c r="D55" s="57" t="s">
        <v>195</v>
      </c>
      <c r="E55" s="106">
        <v>141.9744</v>
      </c>
      <c r="F55" s="106">
        <v>142.6557</v>
      </c>
      <c r="G55" s="106">
        <v>139.1957</v>
      </c>
      <c r="H55" s="106">
        <v>139.8653</v>
      </c>
      <c r="I55" s="106">
        <v>140.6108</v>
      </c>
      <c r="J55" s="106">
        <v>114.477</v>
      </c>
      <c r="K55" s="106">
        <v>112.6479</v>
      </c>
      <c r="L55" s="106">
        <v>109.6584</v>
      </c>
      <c r="M55" s="106">
        <v>107.3387</v>
      </c>
      <c r="N55" s="106">
        <v>103.6789</v>
      </c>
      <c r="O55" s="106">
        <v>105.0269</v>
      </c>
      <c r="P55" s="106">
        <v>95.54882</v>
      </c>
      <c r="Q55" s="76"/>
      <c r="R55" s="76"/>
      <c r="S55" s="76"/>
      <c r="T55" s="76"/>
      <c r="U55" s="76"/>
      <c r="V55" s="76"/>
    </row>
    <row s="157" customFormat="1" customHeight="1" ht="14.25">
      <c r="A56" s="76"/>
      <c r="B56" s="71" t="s">
        <v>113</v>
      </c>
      <c r="C56" s="57" t="s">
        <v>114</v>
      </c>
      <c r="D56" s="57" t="s">
        <v>196</v>
      </c>
      <c r="E56" s="106">
        <v>80.00031</v>
      </c>
      <c r="F56" s="106">
        <v>80.00031</v>
      </c>
      <c r="G56" s="106">
        <v>80.00031</v>
      </c>
      <c r="H56" s="106">
        <v>80.00031</v>
      </c>
      <c r="I56" s="106">
        <v>80.00031</v>
      </c>
      <c r="J56" s="106">
        <v>80.00031</v>
      </c>
      <c r="K56" s="106">
        <v>80.00031</v>
      </c>
      <c r="L56" s="106">
        <v>80.00031</v>
      </c>
      <c r="M56" s="106">
        <v>80.00031</v>
      </c>
      <c r="N56" s="106">
        <v>80.00031</v>
      </c>
      <c r="O56" s="106">
        <v>80.00031</v>
      </c>
      <c r="P56" s="106">
        <v>80.00031</v>
      </c>
      <c r="Q56" s="76"/>
      <c r="R56" s="76"/>
      <c r="S56" s="76"/>
      <c r="T56" s="76"/>
      <c r="U56" s="76"/>
      <c r="V56" s="76"/>
    </row>
    <row s="158" customFormat="1" customHeight="1" ht="14.25">
      <c r="A57" s="76"/>
      <c r="B57" s="71"/>
      <c r="C57" s="57" t="s">
        <v>116</v>
      </c>
      <c r="D57" s="57" t="s">
        <v>197</v>
      </c>
      <c r="E57" s="106">
        <v>86.40193</v>
      </c>
      <c r="F57" s="106">
        <v>86.1154</v>
      </c>
      <c r="G57" s="106">
        <v>86.22478</v>
      </c>
      <c r="H57" s="106">
        <v>85.77345</v>
      </c>
      <c r="I57" s="106">
        <v>85.69383</v>
      </c>
      <c r="J57" s="106">
        <v>86.52316</v>
      </c>
      <c r="K57" s="106">
        <v>85.67801</v>
      </c>
      <c r="L57" s="106">
        <v>86.0904</v>
      </c>
      <c r="M57" s="106">
        <v>86.87608</v>
      </c>
      <c r="N57" s="106">
        <v>85.90866</v>
      </c>
      <c r="O57" s="106">
        <v>85.59821</v>
      </c>
      <c r="P57" s="106">
        <v>85.80373</v>
      </c>
      <c r="Q57" s="76"/>
      <c r="R57" s="76"/>
      <c r="S57" s="76"/>
      <c r="T57" s="76"/>
      <c r="U57" s="76"/>
      <c r="V57" s="76"/>
    </row>
    <row s="159" customFormat="1" customHeight="1" ht="14.25">
      <c r="A58" s="76"/>
      <c r="B58" s="71"/>
      <c r="C58" s="57" t="s">
        <v>105</v>
      </c>
      <c r="D58" s="57" t="s">
        <v>198</v>
      </c>
      <c r="E58" s="106">
        <v>7622.646</v>
      </c>
      <c r="F58" s="106">
        <v>7219.029</v>
      </c>
      <c r="G58" s="106">
        <v>7518.863</v>
      </c>
      <c r="H58" s="106">
        <v>7731.428</v>
      </c>
      <c r="I58" s="106">
        <v>7353.442</v>
      </c>
      <c r="J58" s="106">
        <v>7494.833</v>
      </c>
      <c r="K58" s="106">
        <v>7346.456</v>
      </c>
      <c r="L58" s="106">
        <v>7610.393</v>
      </c>
      <c r="M58" s="106">
        <v>7581.558</v>
      </c>
      <c r="N58" s="106">
        <v>7481.429</v>
      </c>
      <c r="O58" s="106">
        <v>7425.125</v>
      </c>
      <c r="P58" s="106">
        <v>7218.024</v>
      </c>
      <c r="Q58" s="76"/>
      <c r="R58" s="76"/>
      <c r="S58" s="76"/>
      <c r="T58" s="76"/>
      <c r="U58" s="76"/>
      <c r="V58" s="76"/>
    </row>
    <row s="160" customFormat="1" customHeight="1" ht="14.25">
      <c r="A59" s="76"/>
      <c r="B59" s="71"/>
      <c r="C59" s="57" t="s">
        <v>20</v>
      </c>
      <c r="D59" s="57" t="s">
        <v>199</v>
      </c>
      <c r="E59" s="106">
        <v>425.1877</v>
      </c>
      <c r="F59" s="106">
        <v>424.9925</v>
      </c>
      <c r="G59" s="106">
        <v>425.4366</v>
      </c>
      <c r="H59" s="106">
        <v>425.4967</v>
      </c>
      <c r="I59" s="106">
        <v>425.1967</v>
      </c>
      <c r="J59" s="106">
        <v>426.671</v>
      </c>
      <c r="K59" s="106">
        <v>426.4584</v>
      </c>
      <c r="L59" s="106">
        <v>422.1349</v>
      </c>
      <c r="M59" s="106">
        <v>421.0261</v>
      </c>
      <c r="N59" s="106">
        <v>421.4584</v>
      </c>
      <c r="O59" s="106">
        <v>421.8778</v>
      </c>
      <c r="P59" s="106">
        <v>421.6211</v>
      </c>
      <c r="Q59" s="76"/>
      <c r="R59" s="76"/>
      <c r="S59" s="76"/>
      <c r="T59" s="76"/>
      <c r="U59" s="76"/>
      <c r="V59" s="76"/>
    </row>
    <row s="161" customFormat="1" customHeight="1" ht="14.25">
      <c r="A60" s="76"/>
      <c r="B60" s="71"/>
      <c r="C60" s="57" t="s">
        <v>120</v>
      </c>
      <c r="D60" s="57" t="s">
        <v>200</v>
      </c>
      <c r="E60" s="106">
        <v>2.66839</v>
      </c>
      <c r="F60" s="106">
        <v>2.680226</v>
      </c>
      <c r="G60" s="106">
        <v>2.675497</v>
      </c>
      <c r="H60" s="106">
        <v>2.679502</v>
      </c>
      <c r="I60" s="106">
        <v>2.669707</v>
      </c>
      <c r="J60" s="106">
        <v>2.678339</v>
      </c>
      <c r="K60" s="106">
        <v>2.680186</v>
      </c>
      <c r="L60" s="106">
        <v>2.667143</v>
      </c>
      <c r="M60" s="106">
        <v>2.671057</v>
      </c>
      <c r="N60" s="106">
        <v>2.671091</v>
      </c>
      <c r="O60" s="106">
        <v>2.673562</v>
      </c>
      <c r="P60" s="106">
        <v>2.670041</v>
      </c>
      <c r="Q60" s="76"/>
      <c r="R60" s="76"/>
      <c r="S60" s="76"/>
      <c r="T60" s="76"/>
      <c r="U60" s="76"/>
      <c r="V60" s="76"/>
    </row>
    <row s="162" customFormat="1" customHeight="1" ht="14.25">
      <c r="A61" s="76"/>
      <c r="B61" s="71"/>
      <c r="C61" s="57" t="s">
        <v>122</v>
      </c>
      <c r="D61" s="57" t="s">
        <v>201</v>
      </c>
      <c r="E61" s="106">
        <v>5.351335</v>
      </c>
      <c r="F61" s="106">
        <v>5.42478</v>
      </c>
      <c r="G61" s="106">
        <v>5.350367</v>
      </c>
      <c r="H61" s="106">
        <v>5.342338</v>
      </c>
      <c r="I61" s="106">
        <v>5.348095</v>
      </c>
      <c r="J61" s="106">
        <v>5.354749</v>
      </c>
      <c r="K61" s="106">
        <v>5.350402</v>
      </c>
      <c r="L61" s="106">
        <v>5.366226</v>
      </c>
      <c r="M61" s="106">
        <v>5.338021</v>
      </c>
      <c r="N61" s="106">
        <v>5.340316</v>
      </c>
      <c r="O61" s="106">
        <v>5.342518</v>
      </c>
      <c r="P61" s="106">
        <v>5.340227</v>
      </c>
      <c r="Q61" s="76"/>
      <c r="R61" s="76"/>
      <c r="S61" s="76"/>
      <c r="T61" s="76"/>
      <c r="U61" s="76"/>
      <c r="V61" s="76"/>
    </row>
    <row s="163" customFormat="1" customHeight="1" ht="14.25">
      <c r="A62" s="76"/>
      <c r="B62" s="71"/>
      <c r="C62" s="57" t="s">
        <v>124</v>
      </c>
      <c r="D62" s="57" t="s">
        <v>202</v>
      </c>
      <c r="E62" s="106">
        <v>250.6384</v>
      </c>
      <c r="F62" s="106">
        <v>248.4179</v>
      </c>
      <c r="G62" s="106">
        <v>250.0477</v>
      </c>
      <c r="H62" s="106">
        <v>250.6146</v>
      </c>
      <c r="I62" s="106">
        <v>250.1508</v>
      </c>
      <c r="J62" s="106">
        <v>250.1241</v>
      </c>
      <c r="K62" s="106">
        <v>250.6264</v>
      </c>
      <c r="L62" s="106">
        <v>249.355</v>
      </c>
      <c r="M62" s="106">
        <v>249.3655</v>
      </c>
      <c r="N62" s="106">
        <v>250.4136</v>
      </c>
      <c r="O62" s="106">
        <v>249.922</v>
      </c>
      <c r="P62" s="106">
        <v>249.8791</v>
      </c>
      <c r="Q62" s="76"/>
      <c r="R62" s="76"/>
      <c r="S62" s="76"/>
      <c r="T62" s="76"/>
      <c r="U62" s="76"/>
      <c r="V62" s="76"/>
    </row>
    <row s="164" customFormat="1" customHeight="1" ht="14.25">
      <c r="A63" s="76"/>
      <c r="B63" s="71"/>
      <c r="C63" s="57" t="s">
        <v>126</v>
      </c>
      <c r="D63" s="57" t="s">
        <v>203</v>
      </c>
      <c r="E63" s="106">
        <v>470.4561</v>
      </c>
      <c r="F63" s="106">
        <v>472.1995</v>
      </c>
      <c r="G63" s="106">
        <v>469.4545</v>
      </c>
      <c r="H63" s="106">
        <v>472.4964</v>
      </c>
      <c r="I63" s="106">
        <v>472.7542</v>
      </c>
      <c r="J63" s="106">
        <v>476.9218</v>
      </c>
      <c r="K63" s="106">
        <v>482.8065</v>
      </c>
      <c r="L63" s="106">
        <v>480.703</v>
      </c>
      <c r="M63" s="106">
        <v>480.6483</v>
      </c>
      <c r="N63" s="106">
        <v>478.1708</v>
      </c>
      <c r="O63" s="106">
        <v>479.1994</v>
      </c>
      <c r="P63" s="106">
        <v>478.6635</v>
      </c>
      <c r="Q63" s="76"/>
      <c r="R63" s="76"/>
      <c r="S63" s="76"/>
      <c r="T63" s="76"/>
      <c r="U63" s="76"/>
      <c r="V63" s="76"/>
    </row>
    <row s="165" customFormat="1" customHeight="1" ht="14.25">
      <c r="A64" s="76"/>
      <c r="B64" s="71"/>
      <c r="C64" s="57" t="s">
        <v>128</v>
      </c>
      <c r="D64" s="57" t="s">
        <v>204</v>
      </c>
      <c r="E64" s="106">
        <v>52.01323</v>
      </c>
      <c r="F64" s="106">
        <v>53.32983</v>
      </c>
      <c r="G64" s="106">
        <v>53.49004</v>
      </c>
      <c r="H64" s="106">
        <v>52.01874</v>
      </c>
      <c r="I64" s="106">
        <v>52.65519</v>
      </c>
      <c r="J64" s="106">
        <v>48.83958</v>
      </c>
      <c r="K64" s="106">
        <v>55.63966</v>
      </c>
      <c r="L64" s="106">
        <v>50.34503</v>
      </c>
      <c r="M64" s="106">
        <v>50.83679</v>
      </c>
      <c r="N64" s="106">
        <v>51.42152</v>
      </c>
      <c r="O64" s="106">
        <v>52.99946</v>
      </c>
      <c r="P64" s="106">
        <v>52.93867</v>
      </c>
      <c r="Q64" s="76"/>
      <c r="R64" s="76"/>
      <c r="S64" s="76"/>
      <c r="T64" s="76"/>
      <c r="U64" s="76"/>
      <c r="V64" s="76"/>
    </row>
    <row s="166" customFormat="1" customHeight="1" ht="14.25">
      <c r="A65" s="76"/>
      <c r="B65" s="71"/>
      <c r="C65" s="57" t="s">
        <v>130</v>
      </c>
      <c r="D65" s="57" t="s">
        <v>205</v>
      </c>
      <c r="E65" s="106">
        <v>131.6641</v>
      </c>
      <c r="F65" s="106">
        <v>133.309</v>
      </c>
      <c r="G65" s="106">
        <v>132.8987</v>
      </c>
      <c r="H65" s="106">
        <v>130.7961</v>
      </c>
      <c r="I65" s="106">
        <v>131.4013</v>
      </c>
      <c r="J65" s="106">
        <v>131.1461</v>
      </c>
      <c r="K65" s="106">
        <v>131.4323</v>
      </c>
      <c r="L65" s="106">
        <v>130.9056</v>
      </c>
      <c r="M65" s="106">
        <v>129.9794</v>
      </c>
      <c r="N65" s="106">
        <v>129.3303</v>
      </c>
      <c r="O65" s="106">
        <v>131.8209</v>
      </c>
      <c r="P65" s="106">
        <v>130.9077</v>
      </c>
      <c r="Q65" s="76"/>
      <c r="R65" s="76"/>
      <c r="S65" s="76"/>
      <c r="T65" s="76"/>
      <c r="U65" s="76"/>
      <c r="V65" s="76"/>
    </row>
    <row s="167" customFormat="1" customHeight="1" ht="14.25">
      <c r="A66" s="76"/>
      <c r="B66" s="71"/>
      <c r="C66" s="57" t="s">
        <v>132</v>
      </c>
      <c r="D66" s="57" t="s">
        <v>206</v>
      </c>
      <c r="E66" s="106">
        <v>0.7015272</v>
      </c>
      <c r="F66" s="106">
        <v>0.7056257</v>
      </c>
      <c r="G66" s="106">
        <v>0.6991361</v>
      </c>
      <c r="H66" s="106">
        <v>0.7054661</v>
      </c>
      <c r="I66" s="106">
        <v>0.7024021</v>
      </c>
      <c r="J66" s="106">
        <v>0.7017047</v>
      </c>
      <c r="K66" s="106">
        <v>0.6979815</v>
      </c>
      <c r="L66" s="106">
        <v>0.7028764</v>
      </c>
      <c r="M66" s="106">
        <v>0.7049142</v>
      </c>
      <c r="N66" s="106">
        <v>0.6979579</v>
      </c>
      <c r="O66" s="106">
        <v>0.7015911</v>
      </c>
      <c r="P66" s="106">
        <v>0.6967905</v>
      </c>
      <c r="Q66" s="76"/>
      <c r="R66" s="76"/>
      <c r="S66" s="76"/>
      <c r="T66" s="76"/>
      <c r="U66" s="76"/>
      <c r="V66" s="76"/>
    </row>
    <row s="168" customFormat="1" customHeight="1" ht="14.25">
      <c r="A67" s="76"/>
      <c r="B67" s="71"/>
      <c r="C67" s="57" t="s">
        <v>134</v>
      </c>
      <c r="D67" s="57" t="s">
        <v>207</v>
      </c>
      <c r="E67" s="106">
        <v>81.96568</v>
      </c>
      <c r="F67" s="106">
        <v>89.61543</v>
      </c>
      <c r="G67" s="106">
        <v>60.59836</v>
      </c>
      <c r="H67" s="106">
        <v>74.24603</v>
      </c>
      <c r="I67" s="106">
        <v>91.98913</v>
      </c>
      <c r="J67" s="106">
        <v>74.94638</v>
      </c>
      <c r="K67" s="106">
        <v>82.15555</v>
      </c>
      <c r="L67" s="106">
        <v>83.06088</v>
      </c>
      <c r="M67" s="106">
        <v>61.56052</v>
      </c>
      <c r="N67" s="106">
        <v>89.56267</v>
      </c>
      <c r="O67" s="106">
        <v>86.0916</v>
      </c>
      <c r="P67" s="106">
        <v>69.38953</v>
      </c>
      <c r="Q67" s="76"/>
      <c r="R67" s="76"/>
      <c r="S67" s="76"/>
      <c r="T67" s="76"/>
      <c r="U67" s="76"/>
      <c r="V67" s="76"/>
    </row>
    <row s="169" customFormat="1" customHeight="1" ht="14.25">
      <c r="A68" s="76"/>
      <c r="B68" s="67" t="s">
        <v>136</v>
      </c>
      <c r="C68" s="57" t="s">
        <v>137</v>
      </c>
      <c r="D68" s="57" t="s">
        <v>138</v>
      </c>
      <c r="E68" s="106">
        <v>17.35397</v>
      </c>
      <c r="F68" s="106">
        <v>17.33077</v>
      </c>
      <c r="G68" s="106">
        <v>17.32786</v>
      </c>
      <c r="H68" s="106">
        <v>17.36243</v>
      </c>
      <c r="I68" s="106">
        <v>17.38067</v>
      </c>
      <c r="J68" s="106">
        <v>17.35821</v>
      </c>
      <c r="K68" s="106">
        <v>17.30135</v>
      </c>
      <c r="L68" s="106">
        <v>17.26384</v>
      </c>
      <c r="M68" s="106">
        <v>17.21752</v>
      </c>
      <c r="N68" s="106">
        <v>17.24234</v>
      </c>
      <c r="O68" s="106">
        <v>17.26571</v>
      </c>
      <c r="P68" s="106">
        <v>17.30246</v>
      </c>
      <c r="Q68" s="76"/>
      <c r="R68" s="76"/>
      <c r="S68" s="76"/>
      <c r="T68" s="76"/>
      <c r="U68" s="76"/>
      <c r="V68" s="76"/>
    </row>
    <row s="170" customFormat="1" customHeight="1" ht="14.25">
      <c r="A69" s="76"/>
      <c r="B69" s="68"/>
      <c r="C69" s="57" t="s">
        <v>137</v>
      </c>
      <c r="D69" s="57" t="s">
        <v>139</v>
      </c>
      <c r="E69" s="105">
        <v>19.14076</v>
      </c>
      <c r="F69" s="106">
        <v>19.13715</v>
      </c>
      <c r="G69" s="106">
        <v>19.13672</v>
      </c>
      <c r="H69" s="106">
        <v>19.13837</v>
      </c>
      <c r="I69" s="106">
        <v>19.13306</v>
      </c>
      <c r="J69" s="106">
        <v>19.13826</v>
      </c>
      <c r="K69" s="106">
        <v>19.13898</v>
      </c>
      <c r="L69" s="106">
        <v>19.14312</v>
      </c>
      <c r="M69" s="106">
        <v>19.14642</v>
      </c>
      <c r="N69" s="106">
        <v>19.14891</v>
      </c>
      <c r="O69" s="106">
        <v>19.14515</v>
      </c>
      <c r="P69" s="106">
        <v>19.15046</v>
      </c>
      <c r="Q69" s="76"/>
      <c r="R69" s="76"/>
      <c r="S69" s="76"/>
      <c r="T69" s="76"/>
      <c r="U69" s="76"/>
      <c r="V69" s="76"/>
    </row>
    <row customHeight="1" ht="14.25">
      <c r="A70" s="99"/>
      <c r="B70" s="171" t="s">
        <v>140</v>
      </c>
      <c r="C70" s="172"/>
      <c r="D70" s="99"/>
      <c r="E70" s="99"/>
      <c r="F70" s="99"/>
      <c r="G70" s="99"/>
      <c r="H70" s="99"/>
      <c r="I70" s="99"/>
      <c r="J70" s="99"/>
      <c r="K70" s="99"/>
      <c r="L70" s="99"/>
      <c r="M70" s="173" t="s">
        <v>208</v>
      </c>
      <c r="N70" s="172"/>
      <c r="O70" s="99"/>
      <c r="P70" s="99"/>
      <c r="Q70" s="99"/>
      <c r="R70" s="99"/>
      <c r="S70" s="99"/>
      <c r="T70" s="99"/>
      <c r="U70" s="99"/>
      <c r="V70" s="99"/>
    </row>
    <row customHeight="1" ht="14.25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</row>
    <row customHeight="1" ht="14.25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</row>
    <row customHeight="1" ht="14.25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</row>
    <row customHeight="1" ht="14.25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</row>
    <row customHeight="1" ht="14.2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</row>
    <row customHeight="1" ht="14.2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</row>
    <row customHeight="1" ht="14.25">
      <c r="A77" s="99"/>
      <c r="B77" s="99"/>
      <c r="C77" s="99"/>
      <c r="D77" s="99"/>
      <c r="E77" s="99"/>
      <c r="F77" s="174"/>
      <c r="G77" s="175"/>
      <c r="H77" s="176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</row>
  </sheetData>
  <mergeCells count="10">
    <mergeCell ref="B3:P3"/>
    <mergeCell ref="B5:B6"/>
    <mergeCell ref="B7:B8"/>
    <mergeCell ref="B9:B18"/>
    <mergeCell ref="B19:B27"/>
    <mergeCell ref="B28:B33"/>
    <mergeCell ref="B34:B43"/>
    <mergeCell ref="B44:B55"/>
    <mergeCell ref="B56:B67"/>
    <mergeCell ref="B68:B69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调度工艺台账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dhc</cp:lastModifiedBy>
  <cp:lastPrinted>2022-07-18T00:57:53Z</cp:lastPrinted>
  <dcterms:created xsi:type="dcterms:W3CDTF">2015-06-05T18:19:34Z</dcterms:created>
  <dcterms:modified xsi:type="dcterms:W3CDTF">2022-07-25T09:51:00Z</dcterms:modified>
</cp:coreProperties>
</file>