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79"/>
  </bookViews>
  <sheets>
    <sheet name="延安石油化工厂生产调度台帐" sheetId="1" r:id="rId2"/>
    <sheet name="取值" sheetId="2" state="hidden" r:id="rId3"/>
    <sheet name="取值1" sheetId="3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#Input("延安石油化工厂_生产调度_120万重整_原油加工量",":key{{dw}}")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#Input("延安石油化工厂_生产调度_140万加氢_原油加工量",":key{{dw}}")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#Input("延安石油化工厂_生产调度_20万苯抽提_原油加工量",":key{{dw}}")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#Input("延安石油化工厂_生产调度_180万汽油精制_原油加工量",":key{{dw}}")</t>
        </r>
      </text>
    </comment>
    <comment ref="O6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#Input("延安石油化工厂_生产调度_240万柴油精制_原油加工量",":key{{dw}}")</t>
        </r>
      </text>
    </comment>
    <comment ref="R6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#Input("延安石油化工厂_生产调度_20万烷基化装置_原油加工量",":key{{dw}}")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#Input("延安石油化工厂_生产调度_120万重整_重整汽油产出量",":key{{dw}}")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#Input("延安石油化工厂_生产调度_140万加氢_加氢柴油产出量",":key{{dw}}")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#Input("延安石油化工厂_生产调度_20万苯抽提_苯产出量",":key{{dw}}")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#Input("延安石油化工厂_生产调度_180万汽油精制_精制汽油产出量",":key{{dw}}")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#Input("延安石油化工厂_生产调度_240万柴油精制_精制柴油产出量",":key{{dw}}")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#Input("延安石油化工厂_生产调度_20万烷基化装置_烷基化C4产出量",":key{{dw}}")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#Input("延安石油化工厂_生产调度_120万重整_重整C6产出量",":key{{dw}}")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#Input("延安石油化工厂_生产调度_140万加氢_粗汽油产出量",":key{{dw}}")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#Input("延安石油化工厂_生产调度_20万苯抽提_抽余油产出量",":key{{dw}}")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#Input("延安石油化工厂_生产调度_240万柴油精制_粗汽油产出量",":key{{dw}}")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#Input("延安石油化工厂_生产调度_20万烷基化装置_烷基化油产出量",":key{{dw}}")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#Input("延安石油化工厂_生产调度_120万重整_轻汽油产出量",":key{{dw}}")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#Input("延安石油化工厂_生产调度_140万加氢_液化气产出量",":key{{dw}}")</t>
        </r>
      </text>
    </comment>
    <comment ref="O9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#Input("延安石油化工厂_生产调度_240万柴油精制_轻烃产出量",":key{{dw}}")</t>
        </r>
      </text>
    </comment>
    <comment ref="R9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#Input("延安石油化工厂_生产调度_20万烷基化装置_正丁烷产出量",":key{{dw}}")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#Input("延安石油化工厂_生产调度_120万重整_液化气产出量",":key{{dw}}")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#Input("延安石油化工厂_生产调度_25万MTBE_原油加工量",":key{{dw}}")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#Input("延安石油化工厂_生产调度_12万MTBE_原油加工量",":key{{dw}}")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#Input("延安石油化工厂_生产调度_60万气分_原油加工量",":key{{dw}}")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#Input("延安石油化工厂_生产调度_20万聚丙烯_原油加工量",":key{{dw}}")</t>
        </r>
      </text>
    </comment>
    <comment ref="O13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#Input("延安石油化工厂_生产调度_30万混合脱氢装置_原油加工量",":key{{dw}}")</t>
        </r>
      </text>
    </comment>
    <comment ref="Q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#Input("延安石油化工厂_生产调度_液化气精制_原油加工量",":key{{dw}}")</t>
        </r>
      </text>
    </comment>
    <comment ref="R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#Input("延安石油化工厂_生产调度_液化气精制_产品产量",":key{{dw}}")</t>
        </r>
      </text>
    </comment>
    <comment ref="S13" authorId="0">
      <text>
        <r>
          <rPr>
            <b/>
            <sz val="9"/>
            <color indexed="81"/>
            <rFont val="宋体"/>
            <family val="2"/>
          </rPr>
          <t>#Input("延安石油化工厂_生产调度_碱渣处理量",":key{{dw}}")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#Input("延安石油化工厂_生产调度_25万MTBE_C4原料产量",":key{{dw}}")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#Input("延安石油化工厂_生产调度_12万MTBE_C4原料产量",":key{{dw}}")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#Input("延安石油化工厂_生产调度_60万气分_丙烯产量",":key{{dw}}")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#Input("延安石油化工厂_生产调度_聚丙烯产量",":key{{dw}}")</t>
        </r>
      </text>
    </comment>
    <comment ref="O14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#Input("延安石油化工厂_生产调度_30万混合脱氢装置_烷基化C4产量",":key{{dw}}")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#Input("延安石油化工厂_生产调度_25万MTBE_再生C4产量",":key{{dw}}")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#Input("延安石油化工厂_生产调度_12万MTBE_再生C4产量",":key{{dw}}")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#Input("延安石油化工厂_生产调度_60万气分_丙烷产量",":key{{dw}}")</t>
        </r>
      </text>
    </comment>
    <comment ref="O15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#Input("延安石油化工厂_生产调度_30万混合脱氢装置_饱和液化气产量",":key{{dw}}")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#Input("延安石油化工厂_生产调度_25万MTBE_甲醇原料产量",":key{{dw}}")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#Input("延安石油化工厂_生产调度_12万MTBE_甲醇原料产量",":key{{dw}}")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#Input("延安石油化工厂_生产调度_60万气分_C4馏分产量",":key{{dw}}")</t>
        </r>
      </text>
    </comment>
    <comment ref="O16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#Input("延安石油化工厂_生产调度_30万混合脱氢装置_丙烷产量",":key{{dw}}")</t>
        </r>
      </text>
    </comment>
    <comment ref="Q16" authorId="0">
      <text>
        <r>
          <rPr>
            <b/>
            <sz val="9"/>
            <color indexed="81"/>
            <rFont val="宋体"/>
            <family val="2"/>
          </rPr>
          <t>#Input("延安石油化工厂_生产调度_硫磺回收_产品产量",":key{{dw}}")</t>
        </r>
      </text>
    </comment>
    <comment ref="R16" authorId="0">
      <text>
        <r>
          <rPr>
            <b/>
            <sz val="9"/>
            <color indexed="81"/>
            <rFont val="宋体"/>
            <family val="2"/>
          </rPr>
          <t>#Input("延安石油化工厂_生产调度_硫磺精制_加工量",":key{{dw}}")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#Input("延安石油化工厂_生产调度_25万MTBE_MTBE产量",":key{{dw}}")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#Input("延安石油化工厂_生产调度_12万MTBE_MTBE产量",":key{{dw}}")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#Input("延安石油化工厂_生产调度_60万气分_戊烷产量",":key{{dw}}")</t>
        </r>
      </text>
    </comment>
    <comment ref="O17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#Input("延安石油化工厂_生产调度_30万混合脱氢装置_醚后碳四产量",":key{{dw}}")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#Input("延安石油化工厂_生产调度_25万MTBE_剩余C4产量",":key{{dw}}")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#Input("延安石油化工厂_生产调度_12万MTBE_剩余C4产量",":key{{dw}}")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#Input("延安石油化工厂_生产调度_30万混合脱氢装置_正丁烷产量",":key{{dw}}")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#Input("延安石油化工厂_生产调度_30万混合脱氢装置_富异丁烯产量",":key{{dw}}")</t>
        </r>
      </text>
    </comment>
    <comment ref="Q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#Input("延安石油化工厂_生产调度_废酸单元加工量",":key{{dw}}")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#Input("延安石油化工厂_生产调度_废酸单元产量",":key{{dw}}")</t>
        </r>
      </text>
    </comment>
    <comment ref="O20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#Input("延安石油化工厂_生产调度_30万混合脱氢装置_丙烯产量",":key{{dw}}")</t>
        </r>
      </text>
    </comment>
    <comment ref="C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#Input("延安石油化工厂_生产调度_永炼石脑油调入",":key{{dw}}")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#Input("延安石油化工厂_生产调度_永炼石脑油调出",":key{{dw}}")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#Input("延安石油化工厂_生产调度_重整原料转入",":key{{dw}}")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#Input("延安石油化工厂_生产调度_重整原料转出",":key{{dw}}")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#Input("延安石油化工厂_生产调度_聚丙烯销售",":key{{dw}}")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#Input("延安石油化工厂_生产调度_聚丙烯库存",":key{{dw}}")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#Input("延安石油化工厂_生产调度_重整原料当日库存",":key{{dw}}")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#Input("延安石油化工厂_生产调度_重整原料安全库存",":key{{dw}}")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#Input("延安石油化工厂_生产调度_永炼常柴调入",":key{{dw}}")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#Input("延安石油化工厂_生产调度_永炼常柴调出",":key{{dw}}")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#Input("延安石油化工厂_生产调度_加氢原料转入",":key{{dw}}")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#Input("延安石油化工厂_生产调度_加氢原料转出",":key{{dw}}")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#Input("延安石油化工厂_生产调度_石化厂MTBE销售",":key{{dw}}")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#Input("延安石油化工厂_生产调度_石化厂MTBE库存",":key{{dw}}")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#Input("延安石油化工厂_生产调度_加氢原料当日库存",":key{{dw}}")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#Input("延安石油化工厂_生产调度_加氢原料安全库存",":key{{dw}}")</t>
        </r>
      </text>
    </comment>
    <comment ref="S24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#Input("延安石油化工厂_生产调度_污水排放_COD",":key{{dw}}")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#Input("延安石油化工厂_生产调度_榆能化轻油调入",":key{{dw}}")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#Input("延安石油化工厂_生产调度_榆能化轻油调出",":key{{dw}}")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#Input("延安石油化工厂_生产调度_催化汽油转入",":key{{dw}}")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#Input("延安石油化工厂_生产调度_催化汽油转出",":key{{dw}}")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#Input("延安石油化工厂_生产调度_烷基化油销售",":key{{dw}}")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#Input("延安石油化工厂_生产调度_烷基化油库存",":key{{dw}}")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#Input("延安石油化工厂_生产调度_催化汽油当日库存",":key{{dw}}")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#Input("延安石油化工厂_生产调度_催化汽油安全库存",":key{{dw}}")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#Input("延安石油化工厂_生产调度_污水排放_氨氮",":key{{dw}}")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#Input("延安石油化工厂_生产调度_碱渣调入",":key{{dw}}")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#Input("延安石油化工厂_生产调度_碱渣调出",":key{{dw}}")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#Input("延安石油化工厂_生产调度_常压柴油转入",":key{{dw}}")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#Input("延安石油化工厂_生产调度_常压柴油转出",":key{{dw}}")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#Input("延安石油化工厂_生产调度_轻烃中心MTBE销售",":key{{dw}}")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#Input("延安石油化工厂_生产调度_轻烃中心MTBE库存",":key{{dw}}")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#Input("延安石油化工厂_生产调度_常压柴油当日库存",":key{{dw}}")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#Input("延安石油化工厂_生产调度_常压柴油安全库存",":key{{dw}}")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#Input("延安石油化工厂_生产调度_污水排放_总氮",":key{{dw}}")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#Input("延安石油化工厂_生产调度_粗硫磺调入",":key{{dw}}")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#Input("延安石油化工厂_生产调度_粗硫磺调出",":key{{dw}}")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#Input("延安石油化工厂_生产调度_原料液化气转入",":key{{dw}}")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#Input("延安石油化工厂_生产调度_原料液化气转出",":key{{dw}}")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#Input("延安石油化工厂_生产调度_精制硫磺销售",":key{{dw}}")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#Input("延安石油化工厂_生产调度_精制硫磺库存",":key{{dw}}")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#Input("延安石油化工厂_生产调度_气分原料当日库存",":key{{dw}}")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#Input("延安石油化工厂_生产调度_气分原料安全库存",":key{{dw}}")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#Input("延安石油化工厂_生产调度_污水排放_总磷",":key{{dw}}")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#Input("延安石油化工厂_生产调度_0#柴油调入",":key{{dw}}")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#Input("延安石油化工厂_生产调度_0#柴油调出",":key{{dw}}")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#Input("延安石油化工厂_生产调度_饱和液化气转入",":key{{dw}}")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#Input("延安石油化工厂_生产调度_饱和液化气转出",":key{{dw}}")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#Input("延安石油化工厂_生产调度_粗硫磺销售",":key{{dw}}")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#Input("延安石油化工厂_生产调度_粗硫磺库存",":key{{dw}}")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#Input("延安石油化工厂_生产调度_丙烯原料当日库存",":key{{dw}}")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#Input("延安石油化工厂_生产调度_丙烯原料安全库存",":key{{dw}}")</t>
        </r>
      </text>
    </comment>
    <comment ref="S28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#Input("延安石油化工厂_生产调度_锅炉烟气_SO2",":key{{dw}}")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#Input("延安石油化工厂_生产调度_永炼烷基化油调入",":key{{dw}}")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#Input("延安石油化工厂_生产调度_永炼烷基化油调出",":key{{dw}}")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#Input("延安石油化工厂_生产调度_醚后脂后碳四转入",":key{{dw}}")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#Input("延安石油化工厂_生产调度_醚后脂后碳四转出",":key{{dw}}")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#Input("延安石油化工厂_生产调度_废酸销售",":key{{dw}}")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#Input("延安石油化工厂_生产调度_废酸库存",":key{{dw}}")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#Input("延安石油化工厂_生产调度_MTBE原料当日库存",":key{{dw}}")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#Input("延安石油化工厂_生产调度_MTBE原料安全库存",":key{{dw}}")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#Input("延安石油化工厂_生产调度_锅炉烟气_NOX",":key{{dw}}")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#Input("延安石油化工厂_生产调度_榆炼烷基化油调入",":key{{dw}}")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#Input("延安石油化工厂_生产调度_榆炼烷基化油调出",":key{{dw}}")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#Input("延安石油化工厂_生产调度_MTBE转入",":key{{dw}}")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#Input("延安石油化工厂_生产调度_MTBE转出",":key{{dw}}")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#Input("延安石油化工厂_生产调度_石化厂甲醇当日库存",":key{{dw}}")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#Input("延安石油化工厂_生产调度_石化厂甲醇安全库存",":key{{dw}}")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#Input("延安石油化工厂_生产调度_锅炉烟气_颗粒物",":key{{dw}}")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#Input("延安石油化工厂_生产调度_永炼MTBE轻烃调入",":key{{dw}}")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#Input("延安石油化工厂_生产调度_永炼MTBE轻烃调出",":key{{dw}}")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#Input("延安石油化工厂_生产调度_苯转入",":key{{dw}}")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#Input("延安石油化工厂_生产调度_苯转出",":key{{dw}}")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#Input("延安石油化工厂_生产调度_粗硫磺当日库存",":key{{dw}}")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#Input("延安石油化工厂_生产调度_粗硫磺安全库存",":key{{dw}}")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#Input("延安石油化工厂_生产调度台账_备注",":key{{dw}}")</t>
        </r>
      </text>
    </comment>
    <comment ref="C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#Input("延安石油化工厂_生产调度_榆炼MTBE轻烃调入",":key{{dw}}")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#Input("延安石油化工厂_生产调度_榆炼MTBE轻烃调出",":key{{dw}}")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#Input("延安石油化工厂_生产调度_烷基化油转入",":key{{dw}}")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#Input("延安石油化工厂_生产调度_烷基化油转出",":key{{dw}}")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#Input("延安石油化工厂_生产调度_碱渣当日库存",":key{{dw}}")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#Input("延安石油化工厂_生产调度_碱渣安全库存",":key{{dw}}")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#Input("延安石油化工厂_生产调度_丙烯转入",":key{{dw}}")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#Input("延安石油化工厂_生产调度_丙烯转出",":key{{dw}}")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#Input("延安石油化工厂_生产调度_精制油当日库存",":key{{dw}}")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#Input("延安石油化工厂_生产调度_精制油安全库存",":key{{dw}}")</t>
        </r>
      </text>
    </comment>
    <comment ref="C34" authorId="0">
      <text>
        <r>
          <rPr>
            <b/>
            <sz val="9"/>
            <color indexed="81"/>
            <rFont val="宋体"/>
            <family val="2"/>
          </rPr>
          <t>#Input("延安石油化工厂_生产调度_外购石化厂甲醇",":key{{dw}}")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#Input("延安石油化工厂_生产调度_丙烷转入",":key{{dw}}")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#Input("延安石油化工厂_生产调度_丙烷转出",":key{{dw}}")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#Input("延安石油化工厂_生产调度_榆能化轻油当日库存",":key{{dw}}")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#Input("延安石油化工厂_生产调度_榆能化轻油安全库存",":key{{dw}}")</t>
        </r>
      </text>
    </comment>
    <comment ref="C35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#Input("延安石油化工厂_生产调度_外购轻烃中心甲醇",":key{{dw}}")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#Input("延安石油化工厂_生产调度_碳四原料转入",":key{{dw}}")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#Input("延安石油化工厂_生产调度_碳四原料转出",":key{{dw}}")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#Input("延安石油化工厂_生产调度_新酸当日库存",":key{{dw}}")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#Input("延安石油化工厂_生产调度_新酸安全库存",":key{{dw}}")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#Input("延安石油化工厂_生产调度_外购轻烃中心异丁烷",":key{{dw}}")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#Input("延安石油化工厂_生产调度_脂后碳四转入",":key{{dw}}")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#Input("延安石油化工厂_生产调度_脂后碳四转出",":key{{dw}}")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#Input("延安石油化工厂_生产调度_轻烃中心甲醇当日库存",":key{{dw}}")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#Input("延安石油化工厂_生产调度_轻烃中心甲醇安全库存",":key{{dw}}")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#Input("延安石油化工厂_生产调度_轻烃中心新酸",":key{{dw}}")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#Input("延安石油化工厂_生产调度_轻烃中心MTBE转入",":key{{dw}}")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#Input("延安石油化工厂_生产调度_轻烃中心MTBE转出",":key{{dw}}")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#Input("延安石油化工厂_生产调度_饱和液化气当日库存",":key{{dw}}")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#Input("延安石油化工厂_生产调度_饱和液化气安全库存",":key{{dw}}")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#Input("延安石油化工厂_生产调度_醚后脂后碳四当日库存",":key{{dw}}")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#Input("延安石油化工厂_生产调度_醚后脂后碳四安全库存",":key{{dw}}")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#Input("延安石油化工厂_生产调度_丙烷当日库存",":key{{dw}}")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#Input("延安石油化工厂_生产调度_丙烷安全库存",":key{{dw}}")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#Input("延安石油化工厂_生产调度_苯当日库存",":key{{dw}}")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#Input("延安石油化工厂_生产调度_苯安全库存",":key{{dw}}")</t>
        </r>
      </text>
    </comment>
    <comment ref="C41" authorId="0">
      <text>
        <r>
          <rPr>
            <b/>
            <sz val="9"/>
            <color indexed="81"/>
            <rFont val="宋体"/>
            <family val="2"/>
          </rPr>
          <t>#Input("延安石油化工厂_生产调度_单位负责人",":key{{dw}}")</t>
        </r>
      </text>
    </comment>
    <comment ref="I41" authorId="0">
      <text>
        <r>
          <rPr>
            <b/>
            <sz val="9"/>
            <color indexed="81"/>
            <rFont val="宋体"/>
            <family val="2"/>
          </rPr>
          <t>#Input("延安石油化工厂_生产调度_审核人",":key{{dw}}")</t>
        </r>
      </text>
    </comment>
    <comment ref="R41" authorId="0">
      <text>
        <r>
          <rPr>
            <b/>
            <sz val="9"/>
            <color indexed="81"/>
            <rFont val="宋体"/>
            <family val="2"/>
          </rPr>
          <t>#Input("延安石油化工厂_生产调度_填报人",":key{{dw}}")</t>
        </r>
      </text>
    </comment>
  </commentList>
</comments>
</file>

<file path=xl/sharedStrings.xml><?xml version="1.0" encoding="utf-8"?>
<sst xmlns="http://schemas.openxmlformats.org/spreadsheetml/2006/main" count="391" uniqueCount="156">
  <si>
    <t>延安石油化工厂生产调度台帐</t>
  </si>
  <si>
    <t>填报单位：延安石油化工厂</t>
  </si>
  <si>
    <t>日期:</t>
  </si>
  <si>
    <t>2026-01-06</t>
  </si>
  <si>
    <t>规模</t>
  </si>
  <si>
    <t>120万吨/重整</t>
  </si>
  <si>
    <t>140万吨/年加氢</t>
  </si>
  <si>
    <t>20万吨/年苯抽提</t>
  </si>
  <si>
    <t>180万吨/年汽油精制</t>
  </si>
  <si>
    <t>240万吨/年柴油精制</t>
  </si>
  <si>
    <t>20万吨/年烷基化装置</t>
  </si>
  <si>
    <t>加工量</t>
  </si>
  <si>
    <t>产量</t>
  </si>
  <si>
    <t>收率</t>
  </si>
  <si>
    <t>原料油</t>
  </si>
  <si>
    <t>原料</t>
  </si>
  <si>
    <t>重整汽油</t>
  </si>
  <si>
    <t>加氢柴油</t>
  </si>
  <si>
    <t>苯</t>
  </si>
  <si>
    <t>精制汽油</t>
  </si>
  <si>
    <t>精制柴油</t>
  </si>
  <si>
    <r>
      <rPr>
        <charset val="134"/>
        <color theme="1"/>
        <rFont val="等线"/>
        <sz val="10"/>
      </rPr>
      <t>烷基化C</t>
    </r>
    <r>
      <rPr>
        <charset val="134"/>
        <color theme="1"/>
        <rFont val="等线"/>
        <sz val="10"/>
        <vertAlign val="subscript"/>
      </rPr>
      <t>4</t>
    </r>
  </si>
  <si>
    <r>
      <rPr>
        <charset val="134"/>
        <color theme="1"/>
        <rFont val="等线"/>
        <sz val="10"/>
      </rPr>
      <t>重整C</t>
    </r>
    <r>
      <rPr>
        <charset val="134"/>
        <color theme="1"/>
        <rFont val="等线"/>
        <sz val="10"/>
        <vertAlign val="subscript"/>
      </rPr>
      <t>6</t>
    </r>
  </si>
  <si>
    <t>粗汽油</t>
  </si>
  <si>
    <t>抽余油</t>
  </si>
  <si>
    <t>烷基化油</t>
  </si>
  <si>
    <t>轻汽油</t>
  </si>
  <si>
    <t>液化气</t>
  </si>
  <si>
    <t>轻烃</t>
  </si>
  <si>
    <t>正丁烷</t>
  </si>
  <si>
    <t xml:space="preserve">            </t>
  </si>
  <si>
    <t>25万吨/年MTBE</t>
  </si>
  <si>
    <t>12万吨/年MTBE</t>
  </si>
  <si>
    <t>合  计</t>
  </si>
  <si>
    <t>60万吨/年气分</t>
  </si>
  <si>
    <t>20万吨/年聚丙烯</t>
  </si>
  <si>
    <t>30万吨/年混合脱氢装置</t>
  </si>
  <si>
    <t>液化气精制</t>
  </si>
  <si>
    <t>碱渣处理</t>
  </si>
  <si>
    <t>加工量(产量）</t>
  </si>
  <si>
    <t>处理量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</si>
  <si>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原料</t>
    </r>
  </si>
  <si>
    <t>丙烯</t>
  </si>
  <si>
    <t>聚丙烯</t>
  </si>
  <si>
    <t>硫磺回收</t>
  </si>
  <si>
    <t>硫磺精制</t>
  </si>
  <si>
    <r>
      <rPr>
        <charset val="134"/>
        <color theme="1"/>
        <rFont val="等线"/>
        <sz val="10"/>
      </rPr>
      <t>再生C</t>
    </r>
    <r>
      <rPr>
        <charset val="134"/>
        <color theme="1"/>
        <rFont val="等线"/>
        <sz val="10"/>
        <vertAlign val="subscript"/>
      </rPr>
      <t>4</t>
    </r>
  </si>
  <si>
    <t>丙烷</t>
  </si>
  <si>
    <t>聚丙烯收率</t>
  </si>
  <si>
    <t>饱和液化气</t>
  </si>
  <si>
    <t>甲醇原料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</si>
  <si>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馏分</t>
    </r>
  </si>
  <si>
    <t>MTBE</t>
  </si>
  <si>
    <t>戊烷</t>
  </si>
  <si>
    <t>醚后碳四</t>
  </si>
  <si>
    <t>废酸单元</t>
  </si>
  <si>
    <r>
      <rPr>
        <charset val="134"/>
        <color theme="1"/>
        <rFont val="等线"/>
        <sz val="10"/>
      </rPr>
      <t>剩余C</t>
    </r>
    <r>
      <rPr>
        <charset val="134"/>
        <color theme="1"/>
        <rFont val="等线"/>
        <sz val="10"/>
        <vertAlign val="subscript"/>
      </rPr>
      <t>4</t>
    </r>
  </si>
  <si>
    <t xml:space="preserve">                                                                                                  </t>
  </si>
  <si>
    <t>富异丁烯</t>
  </si>
  <si>
    <t>丙  烯</t>
  </si>
  <si>
    <t>原料油气内部调拨（1）</t>
  </si>
  <si>
    <t>原料油气内部调拨（2）</t>
  </si>
  <si>
    <t>销售及成品库存</t>
  </si>
  <si>
    <t>原料库存</t>
  </si>
  <si>
    <t>炼化公司环保信息</t>
  </si>
  <si>
    <t>车辆调运</t>
  </si>
  <si>
    <t>调入</t>
  </si>
  <si>
    <t>调出</t>
  </si>
  <si>
    <t>管道输转</t>
  </si>
  <si>
    <t>转入</t>
  </si>
  <si>
    <t>转出</t>
  </si>
  <si>
    <t>成品</t>
  </si>
  <si>
    <t>销售</t>
  </si>
  <si>
    <t>库存</t>
  </si>
  <si>
    <t>安全库存</t>
  </si>
  <si>
    <t>原    料</t>
  </si>
  <si>
    <t>当日</t>
  </si>
  <si>
    <t>名称</t>
  </si>
  <si>
    <t>项目/单位</t>
  </si>
  <si>
    <t>标准值</t>
  </si>
  <si>
    <t>实际值</t>
  </si>
  <si>
    <t>永炼石脑油</t>
  </si>
  <si>
    <t>重整原料</t>
  </si>
  <si>
    <t>聚 丙 烯</t>
  </si>
  <si>
    <t>污水排放</t>
  </si>
  <si>
    <t>永炼常柴</t>
  </si>
  <si>
    <t>加氢原料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</si>
  <si>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（石化厂)</t>
    </r>
  </si>
  <si>
    <t>COD/mg/L</t>
  </si>
  <si>
    <t>≤50</t>
  </si>
  <si>
    <t>延能化裂解汽油</t>
  </si>
  <si>
    <t>催化汽油</t>
  </si>
  <si>
    <t>氨氮/mg/L</t>
  </si>
  <si>
    <t>≤8</t>
  </si>
  <si>
    <t>碱  渣</t>
  </si>
  <si>
    <t>常压柴油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</si>
  <si>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</si>
  <si>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t>总氮/mg/L</t>
  </si>
  <si>
    <t>≤15</t>
  </si>
  <si>
    <t>粗硫磺</t>
  </si>
  <si>
    <t>原料液化气</t>
  </si>
  <si>
    <t>精制硫磺</t>
  </si>
  <si>
    <t>/</t>
  </si>
  <si>
    <t>气分原料</t>
  </si>
  <si>
    <t>总磷/mg/L</t>
  </si>
  <si>
    <t>≤0.5</t>
  </si>
  <si>
    <t>0#柴油</t>
  </si>
  <si>
    <t xml:space="preserve"> 粗 硫 磺</t>
  </si>
  <si>
    <t>丙烯原料</t>
  </si>
  <si>
    <t>锅炉烟气</t>
  </si>
  <si>
    <r>
      <rPr>
        <b/>
        <charset val="134"/>
        <color theme="1"/>
        <rFont val="等线"/>
        <sz val="10"/>
      </rPr>
      <t>SO</t>
    </r>
    <r>
      <rPr>
        <b/>
        <charset val="134"/>
        <color theme="1"/>
        <rFont val="等线"/>
        <sz val="10"/>
        <vertAlign val="subscript"/>
      </rPr>
      <t>2</t>
    </r>
    <r>
      <rPr>
        <b/>
        <charset val="134"/>
        <color theme="1"/>
        <rFont val="等线"/>
        <sz val="10"/>
      </rPr>
      <t>/mg/m3</t>
    </r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</si>
  <si>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（永）</t>
    </r>
  </si>
  <si>
    <r>
      <rPr>
        <charset val="134"/>
        <color theme="1"/>
        <rFont val="等线"/>
        <sz val="10"/>
      </rPr>
      <t>醚后/酯后C</t>
    </r>
    <r>
      <rPr>
        <charset val="134"/>
        <color theme="1"/>
        <rFont val="等线"/>
        <sz val="10"/>
        <vertAlign val="subscript"/>
      </rPr>
      <t>4</t>
    </r>
  </si>
  <si>
    <t>废    酸</t>
  </si>
  <si>
    <t>MTBE原料</t>
  </si>
  <si>
    <t>Nox/mg/m3</t>
  </si>
  <si>
    <t>≤100</t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</si>
  <si>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（榆)</t>
    </r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</si>
  <si>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（石化厂）</t>
    </r>
  </si>
  <si>
    <t>颗粒物/mg/m3</t>
  </si>
  <si>
    <t>≤10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</si>
  <si>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（永）</t>
    </r>
  </si>
  <si>
    <t>粗 硫 磺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</si>
  <si>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（榆）</t>
    </r>
  </si>
  <si>
    <t>碱    渣</t>
  </si>
  <si>
    <t>外购原料</t>
  </si>
  <si>
    <t>丙    烯</t>
  </si>
  <si>
    <t>精 制 油</t>
  </si>
  <si>
    <t>丙    烷</t>
  </si>
  <si>
    <t>榆能化轻油</t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</si>
  <si>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</si>
  <si>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6"/>
      </rPr>
      <t>4</t>
    </r>
    <r>
      <rPr>
        <charset val="134"/>
        <color theme="1"/>
        <rFont val="等线"/>
        <sz val="10"/>
      </rPr>
      <t>原料</t>
    </r>
  </si>
  <si>
    <t>新酸</t>
  </si>
  <si>
    <r>
      <rPr>
        <charset val="134"/>
        <color theme="1"/>
        <rFont val="等线"/>
        <sz val="10"/>
      </rPr>
      <t>异丁烷</t>
    </r>
    <r>
      <rPr>
        <charset val="134"/>
        <color theme="1"/>
        <rFont val="等线"/>
        <sz val="10"/>
        <vertAlign val="superscript"/>
      </rPr>
      <t>（轻烃）</t>
    </r>
  </si>
  <si>
    <t>酯后C4</t>
  </si>
  <si>
    <r>
      <rPr>
        <charset val="134"/>
        <color theme="1"/>
        <rFont val="等线"/>
        <sz val="10"/>
      </rPr>
      <t>新酸</t>
    </r>
    <r>
      <rPr>
        <charset val="134"/>
        <color theme="1"/>
        <rFont val="等线"/>
        <sz val="8"/>
      </rPr>
      <t>（轻烃）</t>
    </r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</si>
  <si>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（轻烃）</t>
    </r>
  </si>
  <si>
    <t>单位负责人:</t>
  </si>
  <si>
    <t>温铜川</t>
  </si>
  <si>
    <t>审核人:</t>
  </si>
  <si>
    <t>吴小科</t>
  </si>
  <si>
    <t>填报人:</t>
  </si>
  <si>
    <t>惠亚琦</t>
  </si>
  <si>
    <t>报表生成时间：</t>
  </si>
  <si>
    <t>2026-01-07</t>
  </si>
  <si>
    <t xml:space="preserve"> 8:00:00</t>
  </si>
  <si>
    <t>SH_PM_Bydate</t>
  </si>
  <si>
    <t>SH_DDTZ_KC</t>
  </si>
  <si>
    <t>MTBE（石化厂)</t>
  </si>
  <si>
    <t xml:space="preserve">MTBE（轻烃) </t>
  </si>
  <si>
    <t>甲醇（石化厂）</t>
  </si>
  <si>
    <t>榆能化轻柴油(DCC)</t>
  </si>
  <si>
    <t xml:space="preserve">甲醇（轻烃) </t>
  </si>
  <si>
    <t>醚后/酯后C4</t>
  </si>
  <si>
    <t>王斌</t>
  </si>
  <si>
    <t>马印玲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</si>
</sst>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1" formatCode="0_);[Red]\(0\)"/>
    <numFmt numFmtId="172" formatCode="0.0%"/>
    <numFmt numFmtId="173" formatCode="0_ "/>
    <numFmt numFmtId="174" formatCode="0.00_);[Red]\(0.00\)"/>
    <numFmt numFmtId="175" formatCode="yyyy&quot;年&quot;m&quot;月&quot;d&quot;日&quot;;@"/>
    <numFmt numFmtId="176" formatCode="0;\-0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34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b/>
      <sz val="10"/>
      <color theme="1"/>
      <name val="等线"/>
    </font>
    <font>
      <sz val="10"/>
      <color theme="1"/>
      <name val="等线"/>
    </font>
    <font>
      <sz val="10"/>
      <color rgb="FF000000"/>
      <name val="Times New Roman"/>
    </font>
    <font>
      <sz val="11"/>
      <color rgb="FF000000"/>
      <name val="Calibri"/>
    </font>
    <font>
      <sz val="22"/>
      <color auto="1"/>
      <name val="宋体"/>
    </font>
    <font>
      <b/>
      <sz val="10"/>
      <color auto="1"/>
      <name val="宋体"/>
    </font>
    <font>
      <sz val="10"/>
      <color auto="1"/>
      <name val="宋体"/>
    </font>
    <font>
      <b/>
      <sz val="22"/>
      <color auto="1"/>
      <name val="等线"/>
    </font>
    <font>
      <b/>
      <sz val="12"/>
      <color auto="1"/>
      <name val="等线"/>
    </font>
    <font>
      <b/>
      <sz val="10"/>
      <color auto="1"/>
      <name val="等线"/>
    </font>
    <font>
      <sz val="10"/>
      <color auto="1"/>
      <name val="等线"/>
    </font>
    <font>
      <b/>
      <sz val="12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92D050"/>
      </patternFill>
    </fill>
  </fills>
  <borders count="5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</borders>
  <cellStyleXfs count="50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7" fontId="6" fillId="0" borderId="0" applyFont="0" applyFill="0" applyBorder="0" applyNumberFormat="1">
      <alignment vertical="top"/>
    </xf>
    <xf numFmtId="178" fontId="6" fillId="0" borderId="0" applyFont="0" applyFill="0" applyBorder="0" applyNumberFormat="1">
      <alignment vertical="top"/>
    </xf>
    <xf numFmtId="179" fontId="6" fillId="0" borderId="0" applyFont="0" applyFill="0" applyBorder="0" applyNumberFormat="1">
      <alignment vertical="top"/>
    </xf>
    <xf numFmtId="180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  <xf numFmtId="0" fontId="21" fillId="0" borderId="0" applyFont="1" applyFill="0" applyBorder="0"/>
  </cellStyleXfs>
  <cellXfs count="404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7" fontId="6" fillId="0" borderId="0" xfId="28" applyFont="0" applyNumberFormat="1">
      <alignment vertical="top"/>
    </xf>
    <xf numFmtId="178" fontId="6" fillId="0" borderId="0" xfId="29" applyFont="0" applyNumberFormat="1">
      <alignment vertical="top"/>
    </xf>
    <xf numFmtId="179" fontId="6" fillId="0" borderId="0" xfId="30" applyFont="0" applyNumberFormat="1">
      <alignment vertical="top"/>
    </xf>
    <xf numFmtId="180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21" fillId="0" borderId="0" xfId="49" applyFont="1"/>
    <xf numFmtId="0" fontId="22" fillId="0" borderId="10" xfId="0" applyFont="1" applyBorder="1">
      <alignment horizontal="center" vertical="center"/>
    </xf>
    <xf numFmtId="0" fontId="22" fillId="0" borderId="10" xfId="49" applyFont="1" applyBorder="1">
      <alignment horizontal="center" vertical="center"/>
    </xf>
    <xf numFmtId="0" fontId="22" fillId="0" borderId="10" xfId="49" applyFont="1" applyBorder="1">
      <alignment horizontal="center" vertical="center" wrapText="1"/>
    </xf>
    <xf numFmtId="0" fontId="23" fillId="0" borderId="11" xfId="0" applyFont="1" applyBorder="1">
      <alignment horizontal="center" vertical="center"/>
    </xf>
    <xf numFmtId="0" fontId="0" fillId="0" borderId="0" xfId="0" applyFont="1">
      <alignment horizontal="right" vertical="center"/>
    </xf>
    <xf numFmtId="0" fontId="0" fillId="33" borderId="0" xfId="0" applyFont="1" applyFill="1">
      <alignment horizontal="right" vertical="center"/>
    </xf>
    <xf numFmtId="0" fontId="1" fillId="0" borderId="0" xfId="0" applyFont="1"/>
    <xf numFmtId="0" fontId="0" fillId="0" borderId="0" xfId="0" applyFont="1"/>
    <xf numFmtId="171" fontId="23" fillId="34" borderId="11" xfId="49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3" fillId="0" borderId="11" xfId="49" applyFont="1" applyBorder="1">
      <alignment horizontal="center" vertical="center"/>
    </xf>
    <xf numFmtId="0" fontId="21" fillId="0" borderId="0" xfId="0" applyFont="1">
      <alignment shrinkToFit="1"/>
    </xf>
    <xf numFmtId="0" fontId="23" fillId="34" borderId="11" xfId="0" applyFont="1" applyFill="1" applyBorder="1">
      <alignment horizontal="center" vertical="center"/>
    </xf>
    <xf numFmtId="0" fontId="22" fillId="34" borderId="11" xfId="0" applyFont="1" applyFill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top" wrapText="1"/>
    </xf>
    <xf numFmtId="0" fontId="21" fillId="0" borderId="0" xfId="0" applyFont="1">
      <alignment vertical="center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/>
    </xf>
    <xf numFmtId="0" fontId="23" fillId="0" borderId="16" xfId="0" applyFont="1" applyBorder="1">
      <alignment horizontal="center" vertical="center" wrapText="1"/>
    </xf>
    <xf numFmtId="0" fontId="21" fillId="0" borderId="0" xfId="0" applyFont="1">
      <alignment horizontal="left" vertical="center"/>
    </xf>
    <xf numFmtId="0" fontId="21" fillId="0" borderId="0" xfId="49" applyFont="1"/>
    <xf numFmtId="172" fontId="23" fillId="0" borderId="11" xfId="0" applyFont="1" applyBorder="1" applyNumberFormat="1">
      <alignment horizontal="center" vertical="center"/>
    </xf>
    <xf numFmtId="0" fontId="23" fillId="0" borderId="17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/>
    </xf>
    <xf numFmtId="0" fontId="23" fillId="0" borderId="19" xfId="0" applyFont="1" applyBorder="1">
      <alignment horizontal="center" vertical="center"/>
    </xf>
    <xf numFmtId="172" fontId="23" fillId="0" borderId="19" xfId="0" applyFont="1" applyBorder="1" applyNumberFormat="1">
      <alignment horizontal="center" vertical="center"/>
    </xf>
    <xf numFmtId="0" fontId="22" fillId="0" borderId="20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3" fillId="0" borderId="16" xfId="0" applyFont="1" applyBorder="1">
      <alignment horizontal="center" vertical="center"/>
    </xf>
    <xf numFmtId="172" fontId="23" fillId="0" borderId="11" xfId="0" applyFont="1" applyBorder="1" applyNumberFormat="1">
      <alignment horizontal="center" vertical="center" wrapText="1"/>
    </xf>
    <xf numFmtId="173" fontId="23" fillId="0" borderId="11" xfId="0" applyFont="1" applyBorder="1" applyNumberFormat="1">
      <alignment horizontal="center" vertical="center" wrapText="1"/>
    </xf>
    <xf numFmtId="0" fontId="21" fillId="0" borderId="0" xfId="0" applyFont="1">
      <alignment horizontal="left" vertical="center" shrinkToFit="1"/>
    </xf>
    <xf numFmtId="0" fontId="21" fillId="0" borderId="0" xfId="0" applyFont="1">
      <alignment horizontal="left" vertical="top" shrinkToFit="1"/>
    </xf>
    <xf numFmtId="0" fontId="21" fillId="0" borderId="0" xfId="0" applyFont="1">
      <alignment vertical="center" shrinkToFit="1"/>
    </xf>
    <xf numFmtId="0" fontId="23" fillId="0" borderId="17" xfId="0" applyFont="1" applyBorder="1">
      <alignment horizontal="center" vertical="center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/>
    </xf>
    <xf numFmtId="0" fontId="23" fillId="0" borderId="18" xfId="0" applyFont="1" applyBorder="1">
      <alignment horizontal="center" vertical="center" wrapText="1"/>
    </xf>
    <xf numFmtId="0" fontId="21" fillId="0" borderId="11" xfId="0" applyFont="1" applyBorder="1">
      <alignment vertical="center"/>
    </xf>
    <xf numFmtId="174" fontId="23" fillId="34" borderId="11" xfId="49" applyFont="1" applyFill="1" applyBorder="1" applyNumberFormat="1">
      <alignment horizontal="center" vertical="center"/>
    </xf>
    <xf numFmtId="0" fontId="22" fillId="0" borderId="16" xfId="0" applyFont="1" applyBorder="1">
      <alignment horizontal="center" vertical="center"/>
    </xf>
    <xf numFmtId="0" fontId="22" fillId="0" borderId="11" xfId="0" applyFont="1" applyBorder="1">
      <alignment horizontal="center" vertical="center"/>
    </xf>
    <xf numFmtId="0" fontId="21" fillId="0" borderId="11" xfId="0" applyFont="1" applyBorder="1">
      <alignment vertical="center" shrinkToFit="1"/>
    </xf>
    <xf numFmtId="0" fontId="23" fillId="0" borderId="16" xfId="0" applyFont="1" applyBorder="1">
      <alignment horizontal="left" vertical="center"/>
    </xf>
    <xf numFmtId="0" fontId="23" fillId="0" borderId="11" xfId="0" applyFont="1" applyBorder="1">
      <alignment vertical="center"/>
    </xf>
    <xf numFmtId="0" fontId="23" fillId="0" borderId="16" xfId="49" applyFont="1" applyBorder="1">
      <alignment horizontal="left" vertical="center"/>
    </xf>
    <xf numFmtId="171" fontId="23" fillId="34" borderId="11" xfId="0" applyFont="1" applyFill="1" applyBorder="1" applyNumberFormat="1">
      <alignment horizontal="center" vertical="center"/>
    </xf>
    <xf numFmtId="0" fontId="21" fillId="0" borderId="11" xfId="0" applyFont="1" applyBorder="1">
      <alignment horizontal="center" vertical="center"/>
    </xf>
    <xf numFmtId="0" fontId="22" fillId="0" borderId="22" xfId="49" applyFont="1" applyBorder="1">
      <alignment horizontal="center" vertical="center" wrapText="1"/>
    </xf>
    <xf numFmtId="0" fontId="23" fillId="0" borderId="16" xfId="49" applyFont="1" applyBorder="1">
      <alignment horizontal="center" vertical="center" wrapText="1"/>
    </xf>
    <xf numFmtId="0" fontId="23" fillId="34" borderId="11" xfId="49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/>
    </xf>
    <xf numFmtId="0" fontId="22" fillId="34" borderId="11" xfId="49" applyFont="1" applyFill="1" applyBorder="1">
      <alignment horizontal="center" vertical="center" wrapText="1"/>
    </xf>
    <xf numFmtId="49" fontId="23" fillId="0" borderId="16" xfId="0" applyFont="1" applyBorder="1" applyNumberFormat="1">
      <alignment horizontal="center" vertical="center"/>
    </xf>
    <xf numFmtId="0" fontId="23" fillId="0" borderId="23" xfId="0" applyFont="1" applyBorder="1">
      <alignment horizontal="left" vertical="center"/>
    </xf>
    <xf numFmtId="0" fontId="22" fillId="0" borderId="13" xfId="49" applyFont="1" applyBorder="1">
      <alignment horizontal="center" vertical="center" wrapText="1"/>
    </xf>
    <xf numFmtId="0" fontId="23" fillId="0" borderId="15" xfId="49" applyFont="1" applyBorder="1">
      <alignment horizontal="center" vertical="center" wrapText="1"/>
    </xf>
    <xf numFmtId="0" fontId="23" fillId="0" borderId="15" xfId="49" applyFont="1" applyBorder="1">
      <alignment horizontal="center" vertical="center"/>
    </xf>
    <xf numFmtId="0" fontId="23" fillId="0" borderId="11" xfId="49" applyFont="1" applyBorder="1">
      <alignment horizontal="center" vertical="center" wrapText="1"/>
    </xf>
    <xf numFmtId="172" fontId="23" fillId="0" borderId="11" xfId="49" applyFont="1" applyBorder="1" applyNumberFormat="1">
      <alignment horizontal="center" vertical="center" wrapText="1"/>
    </xf>
    <xf numFmtId="0" fontId="22" fillId="0" borderId="21" xfId="49" applyFont="1" applyBorder="1">
      <alignment horizontal="center" vertical="center" wrapText="1"/>
    </xf>
    <xf numFmtId="0" fontId="24" fillId="0" borderId="0" xfId="0" applyFont="1"/>
    <xf numFmtId="0" fontId="21" fillId="0" borderId="11" xfId="0" applyFont="1" applyBorder="1">
      <alignment shrinkToFit="1"/>
    </xf>
    <xf numFmtId="0" fontId="22" fillId="0" borderId="21" xfId="0" applyFont="1" applyBorder="1">
      <alignment horizontal="center" vertical="center"/>
    </xf>
    <xf numFmtId="0" fontId="1" fillId="0" borderId="0" xfId="0" applyFont="1">
      <alignment shrinkToFit="1"/>
    </xf>
    <xf numFmtId="172" fontId="23" fillId="0" borderId="18" xfId="0" applyFont="1" applyBorder="1" applyNumberFormat="1">
      <alignment horizontal="center" vertical="center" wrapText="1"/>
    </xf>
    <xf numFmtId="0" fontId="21" fillId="0" borderId="11" xfId="0" applyFont="1" applyBorder="1"/>
    <xf numFmtId="0" fontId="23" fillId="0" borderId="23" xfId="0" applyFont="1" applyBorder="1">
      <alignment horizontal="center" vertical="center"/>
    </xf>
    <xf numFmtId="0" fontId="25" fillId="35" borderId="0" xfId="0" applyFont="1" applyFill="1"/>
    <xf numFmtId="0" fontId="22" fillId="0" borderId="24" xfId="49" applyFont="1" applyBorder="1">
      <alignment horizontal="center" vertical="center" wrapText="1"/>
    </xf>
    <xf numFmtId="0" fontId="23" fillId="0" borderId="25" xfId="0" applyFont="1" applyBorder="1">
      <alignment horizontal="center" vertical="center"/>
    </xf>
    <xf numFmtId="10" fontId="23" fillId="0" borderId="23" xfId="0" applyFont="1" applyBorder="1" applyNumberFormat="1">
      <alignment horizontal="center" vertical="center"/>
    </xf>
    <xf numFmtId="0" fontId="23" fillId="0" borderId="26" xfId="0" applyFont="1" applyBorder="1">
      <alignment vertical="center"/>
    </xf>
    <xf numFmtId="0" fontId="22" fillId="0" borderId="27" xfId="0" applyFont="1" applyBorder="1">
      <alignment horizontal="center" vertical="center"/>
    </xf>
    <xf numFmtId="0" fontId="22" fillId="0" borderId="23" xfId="0" applyFont="1" applyBorder="1">
      <alignment vertical="center" wrapText="1"/>
    </xf>
    <xf numFmtId="0" fontId="22" fillId="0" borderId="23" xfId="0" applyFont="1" applyBorder="1">
      <alignment vertical="center"/>
    </xf>
    <xf numFmtId="0" fontId="23" fillId="0" borderId="26" xfId="0" applyFont="1" applyBorder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28" xfId="49" applyFont="1" applyBorder="1">
      <alignment horizontal="center" vertical="center"/>
    </xf>
    <xf numFmtId="0" fontId="29" fillId="0" borderId="29" xfId="49" applyFont="1" applyBorder="1">
      <alignment horizontal="center" vertical="center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49" applyFont="1" applyBorder="1">
      <alignment vertical="center" wrapText="1"/>
    </xf>
    <xf numFmtId="175" fontId="30" fillId="0" borderId="31" xfId="49" applyFont="1" applyBorder="1" applyNumberFormat="1">
      <alignment horizontal="right" vertical="center"/>
    </xf>
    <xf numFmtId="0" fontId="31" fillId="0" borderId="31" xfId="49" applyFont="1" applyBorder="1">
      <alignment horizontal="left" vertical="center"/>
    </xf>
    <xf numFmtId="0" fontId="23" fillId="4" borderId="11" xfId="0" applyFont="1" applyFill="1" applyBorder="1">
      <alignment horizontal="center" vertical="center"/>
    </xf>
    <xf numFmtId="0" fontId="23" fillId="4" borderId="19" xfId="0" applyFont="1" applyFill="1" applyBorder="1">
      <alignment horizontal="center" vertical="center"/>
    </xf>
    <xf numFmtId="0" fontId="23" fillId="4" borderId="11" xfId="0" applyFont="1" applyFill="1" applyBorder="1">
      <alignment horizontal="center" vertical="center" wrapText="1"/>
    </xf>
    <xf numFmtId="0" fontId="22" fillId="0" borderId="32" xfId="49" applyFont="1" applyBorder="1">
      <alignment horizontal="center" vertical="center" wrapText="1"/>
    </xf>
    <xf numFmtId="0" fontId="22" fillId="0" borderId="33" xfId="49" applyFont="1" applyBorder="1">
      <alignment horizontal="center" vertical="center" wrapText="1"/>
    </xf>
    <xf numFmtId="0" fontId="22" fillId="0" borderId="33" xfId="0" applyFont="1" applyBorder="1">
      <alignment horizontal="center" vertical="center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vertical="center"/>
    </xf>
    <xf numFmtId="171" fontId="23" fillId="34" borderId="11" xfId="49" applyFont="1" applyFill="1" applyBorder="1" applyNumberFormat="1">
      <alignment horizontal="center" vertical="center"/>
    </xf>
    <xf numFmtId="0" fontId="23" fillId="34" borderId="11" xfId="0" applyFont="1" applyFill="1" applyBorder="1">
      <alignment horizontal="center" vertical="top" wrapText="1"/>
    </xf>
    <xf numFmtId="0" fontId="23" fillId="34" borderId="0" xfId="0" applyFont="1" applyFill="1">
      <alignment horizontal="center" vertical="center"/>
    </xf>
    <xf numFmtId="0" fontId="23" fillId="0" borderId="34" xfId="49" applyFont="1" applyBorder="1">
      <alignment horizontal="left" vertical="center"/>
    </xf>
    <xf numFmtId="171" fontId="23" fillId="0" borderId="18" xfId="0" applyFont="1" applyBorder="1" applyNumberFormat="1">
      <alignment horizontal="center" vertical="center"/>
    </xf>
    <xf numFmtId="171" fontId="23" fillId="0" borderId="19" xfId="0" applyFont="1" applyBorder="1" applyNumberFormat="1">
      <alignment horizontal="center" vertical="center"/>
    </xf>
    <xf numFmtId="0" fontId="23" fillId="0" borderId="21" xfId="49" applyFont="1" applyBorder="1">
      <alignment horizontal="center" vertical="center"/>
    </xf>
    <xf numFmtId="0" fontId="27" fillId="0" borderId="0" xfId="0" applyFont="1">
      <alignment horizontal="right" vertical="center"/>
    </xf>
    <xf numFmtId="0" fontId="27" fillId="0" borderId="0" xfId="0" applyFont="1">
      <alignment horizontal="left" vertical="center"/>
    </xf>
    <xf numFmtId="175" fontId="30" fillId="0" borderId="31" xfId="49" applyFont="1" applyBorder="1" applyNumberFormat="1"/>
    <xf numFmtId="0" fontId="32" fillId="0" borderId="31" xfId="49" applyFont="1" applyBorder="1">
      <alignment vertical="center" wrapText="1"/>
    </xf>
    <xf numFmtId="0" fontId="32" fillId="0" borderId="31" xfId="0" applyFont="1" applyBorder="1">
      <alignment vertical="center"/>
    </xf>
    <xf numFmtId="176" fontId="23" fillId="4" borderId="11" xfId="0" applyFont="1" applyFill="1" applyBorder="1" applyNumberFormat="1">
      <alignment horizontal="center" vertical="center"/>
    </xf>
    <xf numFmtId="173" fontId="23" fillId="4" borderId="11" xfId="0" applyFont="1" applyFill="1" applyBorder="1" applyNumberFormat="1">
      <alignment horizontal="center" vertical="center"/>
    </xf>
    <xf numFmtId="0" fontId="23" fillId="4" borderId="11" xfId="26" applyFont="1" applyFill="1" applyBorder="1">
      <alignment horizontal="center" vertical="center"/>
    </xf>
    <xf numFmtId="0" fontId="23" fillId="4" borderId="18" xfId="0" applyFont="1" applyFill="1" applyBorder="1">
      <alignment horizontal="center" vertical="center"/>
    </xf>
    <xf numFmtId="0" fontId="22" fillId="0" borderId="35" xfId="0" applyFont="1" applyBorder="1">
      <alignment horizontal="center" vertical="center"/>
    </xf>
    <xf numFmtId="0" fontId="22" fillId="0" borderId="28" xfId="0" applyFont="1" applyBorder="1">
      <alignment horizontal="center" vertical="center"/>
    </xf>
    <xf numFmtId="0" fontId="22" fillId="0" borderId="29" xfId="0" applyFont="1" applyBorder="1">
      <alignment horizontal="center" vertical="center"/>
    </xf>
    <xf numFmtId="0" fontId="22" fillId="0" borderId="36" xfId="0" applyFont="1" applyBorder="1">
      <alignment horizontal="center" vertical="center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/>
    </xf>
    <xf numFmtId="0" fontId="23" fillId="0" borderId="23" xfId="49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173" fontId="23" fillId="0" borderId="11" xfId="0" applyFont="1" applyBorder="1" applyNumberFormat="1">
      <alignment horizontal="center" vertical="center"/>
    </xf>
    <xf numFmtId="173" fontId="23" fillId="34" borderId="11" xfId="49" applyFont="1" applyFill="1" applyBorder="1" applyNumberFormat="1">
      <alignment horizontal="center" vertical="center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/>
    </xf>
    <xf numFmtId="171" fontId="23" fillId="0" borderId="11" xfId="0" applyFont="1" applyBorder="1" applyNumberFormat="1">
      <alignment horizontal="center" vertical="center"/>
    </xf>
    <xf numFmtId="0" fontId="33" fillId="0" borderId="28" xfId="0" applyFont="1" applyBorder="1">
      <alignment horizontal="left" vertical="top" wrapText="1"/>
    </xf>
    <xf numFmtId="0" fontId="33" fillId="0" borderId="29" xfId="0" applyFont="1" applyBorder="1">
      <alignment horizontal="left" vertical="top" wrapText="1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173" fontId="23" fillId="34" borderId="11" xfId="49" applyFont="1" applyFill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</xf>
    <xf numFmtId="0" fontId="23" fillId="0" borderId="21" xfId="0" applyFont="1" applyBorder="1">
      <alignment horizontal="center" vertical="center"/>
    </xf>
    <xf numFmtId="173" fontId="23" fillId="34" borderId="21" xfId="0" applyFont="1" applyFill="1" applyBorder="1" applyNumberFormat="1">
      <alignment horizontal="center" vertical="center"/>
    </xf>
    <xf numFmtId="0" fontId="23" fillId="0" borderId="27" xfId="0" applyFont="1" applyBorder="1">
      <alignment horizontal="center" vertical="center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29" fillId="0" borderId="48" xfId="49" applyFont="1" applyBorder="1">
      <alignment horizontal="center" vertical="center"/>
    </xf>
    <xf numFmtId="0" fontId="31" fillId="0" borderId="31" xfId="0" applyFont="1" applyBorder="1">
      <alignment horizontal="center" vertical="center"/>
    </xf>
    <xf numFmtId="0" fontId="31" fillId="0" borderId="49" xfId="0" applyFont="1" applyBorder="1">
      <alignment horizontal="center" vertical="center"/>
    </xf>
    <xf numFmtId="0" fontId="23" fillId="4" borderId="11" xfId="0" applyFont="1" applyFill="1" applyBorder="1">
      <alignment horizontal="right" vertical="center"/>
    </xf>
    <xf numFmtId="176" fontId="23" fillId="34" borderId="23" xfId="0" applyFont="1" applyFill="1" applyBorder="1" applyNumberFormat="1">
      <alignment horizontal="center" vertical="center"/>
    </xf>
    <xf numFmtId="0" fontId="23" fillId="4" borderId="19" xfId="0" applyFont="1" applyFill="1" applyBorder="1">
      <alignment horizontal="right" vertical="center"/>
    </xf>
    <xf numFmtId="176" fontId="23" fillId="34" borderId="11" xfId="0" applyFont="1" applyFill="1" applyBorder="1" applyNumberFormat="1">
      <alignment horizontal="center" vertical="center"/>
    </xf>
    <xf numFmtId="0" fontId="23" fillId="0" borderId="50" xfId="0" applyFont="1" applyBorder="1">
      <alignment horizontal="center" vertical="center"/>
    </xf>
    <xf numFmtId="0" fontId="22" fillId="0" borderId="48" xfId="0" applyFont="1" applyBorder="1">
      <alignment horizontal="center" vertical="center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</xf>
    <xf numFmtId="0" fontId="33" fillId="0" borderId="48" xfId="0" applyFont="1" applyBorder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8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6" fillId="0" borderId="0" xfId="0" applyFont="1">
      <alignment vertical="center" wrapText="1"/>
    </xf>
    <xf numFmtId="0" fontId="29" fillId="0" borderId="28" xfId="0" applyFont="1" applyBorder="1">
      <alignment horizontal="center" vertical="center" wrapText="1"/>
    </xf>
    <xf numFmtId="0" fontId="29" fillId="0" borderId="29" xfId="0" applyFont="1" applyBorder="1">
      <alignment horizontal="center" vertical="center" wrapText="1"/>
    </xf>
    <xf numFmtId="0" fontId="29" fillId="0" borderId="48" xfId="0" applyFont="1" applyBorder="1">
      <alignment horizontal="center" vertical="center" wrapText="1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0" applyFont="1" applyBorder="1">
      <alignment vertical="center" wrapText="1"/>
    </xf>
    <xf numFmtId="175" fontId="30" fillId="0" borderId="31" xfId="0" applyFont="1" applyBorder="1" applyNumberFormat="1">
      <alignment horizontal="right" vertical="center" wrapText="1"/>
    </xf>
    <xf numFmtId="0" fontId="31" fillId="0" borderId="31" xfId="0" applyFont="1" applyBorder="1">
      <alignment horizontal="left" vertical="center" wrapText="1"/>
    </xf>
    <xf numFmtId="175" fontId="30" fillId="0" borderId="31" xfId="0" applyFont="1" applyBorder="1" applyNumberFormat="1">
      <alignment wrapText="1"/>
    </xf>
    <xf numFmtId="0" fontId="32" fillId="0" borderId="31" xfId="0" applyFont="1" applyBorder="1">
      <alignment vertical="center" wrapText="1"/>
    </xf>
    <xf numFmtId="0" fontId="32" fillId="0" borderId="31" xfId="0" applyFont="1" applyBorder="1">
      <alignment vertical="center" wrapText="1"/>
    </xf>
    <xf numFmtId="0" fontId="31" fillId="0" borderId="31" xfId="0" applyFont="1" applyBorder="1">
      <alignment horizontal="center" vertical="center" wrapText="1"/>
    </xf>
    <xf numFmtId="0" fontId="31" fillId="0" borderId="49" xfId="0" applyFont="1" applyBorder="1">
      <alignment horizontal="center" vertical="center" wrapText="1"/>
    </xf>
    <xf numFmtId="0" fontId="27" fillId="0" borderId="0" xfId="0" applyFont="1">
      <alignment vertical="center" wrapText="1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24" xfId="0" applyFont="1" applyBorder="1">
      <alignment horizontal="center" vertical="center" wrapText="1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25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6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11" xfId="0" applyFont="1" applyBorder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173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</xf>
    <xf numFmtId="10" fontId="23" fillId="0" borderId="23" xfId="0" applyFont="1" applyBorder="1" applyNumberFormat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4" borderId="19" xfId="0" applyFont="1" applyFill="1" applyBorder="1">
      <alignment horizontal="center" vertical="center" wrapText="1"/>
      <protection locked="0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26" xfId="0" applyFont="1" applyBorder="1">
      <alignment vertical="center" wrapText="1"/>
    </xf>
    <xf numFmtId="0" fontId="22" fillId="0" borderId="20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7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0" fontId="23" fillId="4" borderId="11" xfId="0" applyFont="1" applyFill="1" applyBorder="1">
      <alignment horizontal="right" vertical="center" wrapText="1"/>
      <protection locked="0"/>
    </xf>
    <xf numFmtId="176" fontId="23" fillId="34" borderId="23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3" fillId="4" borderId="11" xfId="0" applyFont="1" applyFill="1" applyBorder="1">
      <alignment horizontal="center" vertical="center" wrapText="1"/>
      <protection locked="0"/>
    </xf>
    <xf numFmtId="0" fontId="22" fillId="0" borderId="1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0" fontId="23" fillId="4" borderId="19" xfId="0" applyFont="1" applyFill="1" applyBorder="1">
      <alignment horizontal="right" vertical="center" wrapText="1"/>
      <protection locked="0"/>
    </xf>
    <xf numFmtId="0" fontId="22" fillId="0" borderId="2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176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7" xfId="0" applyFont="1" applyBorder="1">
      <alignment horizontal="center" vertical="center" wrapText="1"/>
    </xf>
    <xf numFmtId="0" fontId="23" fillId="4" borderId="18" xfId="0" applyFont="1" applyFill="1" applyBorder="1">
      <alignment horizontal="center" vertical="center" wrapText="1"/>
      <protection locked="0"/>
    </xf>
    <xf numFmtId="172" fontId="23" fillId="0" borderId="18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50" xfId="0" applyFont="1" applyBorder="1">
      <alignment horizontal="center" vertical="center" wrapText="1"/>
    </xf>
    <xf numFmtId="0" fontId="22" fillId="0" borderId="32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5" xfId="0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29" xfId="0" applyFont="1" applyBorder="1">
      <alignment horizontal="center" vertical="center" wrapText="1"/>
    </xf>
    <xf numFmtId="0" fontId="22" fillId="0" borderId="48" xfId="0" applyFont="1" applyBorder="1">
      <alignment horizontal="center" vertical="center" wrapText="1"/>
    </xf>
    <xf numFmtId="0" fontId="22" fillId="0" borderId="22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  <protection locked="0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2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49" fontId="23" fillId="0" borderId="16" xfId="0" applyFont="1" applyBorder="1" applyNumberFormat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 wrapText="1"/>
    </xf>
    <xf numFmtId="171" fontId="23" fillId="0" borderId="11" xfId="0" applyFont="1" applyBorder="1" applyNumberFormat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  <protection locked="0"/>
    </xf>
    <xf numFmtId="0" fontId="23" fillId="0" borderId="11" xfId="0" applyFont="1" applyBorder="1">
      <alignment vertical="center" wrapText="1"/>
    </xf>
    <xf numFmtId="0" fontId="23" fillId="0" borderId="23" xfId="0" applyFont="1" applyBorder="1">
      <alignment horizontal="center" vertical="center" wrapText="1"/>
      <protection locked="0"/>
    </xf>
    <xf numFmtId="0" fontId="33" fillId="0" borderId="28" xfId="0" applyFont="1" applyBorder="1">
      <alignment horizontal="left" vertical="top" wrapText="1"/>
      <protection locked="0"/>
    </xf>
    <xf numFmtId="0" fontId="33" fillId="0" borderId="29" xfId="0" applyFont="1" applyBorder="1">
      <alignment horizontal="left" vertical="top" wrapText="1"/>
    </xf>
    <xf numFmtId="0" fontId="33" fillId="0" borderId="48" xfId="0" applyFont="1" applyBorder="1">
      <alignment horizontal="left" vertical="top" wrapText="1"/>
    </xf>
    <xf numFmtId="0" fontId="23" fillId="34" borderId="11" xfId="0" applyFont="1" applyFill="1" applyBorder="1">
      <alignment horizontal="center" vertical="top" wrapText="1"/>
      <protection locked="0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22" fillId="0" borderId="16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0" fontId="23" fillId="0" borderId="11" xfId="0" applyFont="1" applyBorder="1">
      <alignment horizontal="center" vertical="top" wrapText="1"/>
    </xf>
    <xf numFmtId="0" fontId="22" fillId="34" borderId="11" xfId="0" applyFont="1" applyFill="1" applyBorder="1">
      <alignment horizontal="center" vertical="center" wrapText="1"/>
      <protection locked="0"/>
    </xf>
    <xf numFmtId="0" fontId="23" fillId="34" borderId="0" xfId="0" applyFont="1" applyFill="1">
      <alignment horizontal="center" vertical="center" wrapText="1"/>
      <protection locked="0"/>
    </xf>
    <xf numFmtId="171" fontId="23" fillId="0" borderId="18" xfId="0" applyFont="1" applyBorder="1" applyNumberFormat="1">
      <alignment horizontal="center" vertical="center" wrapText="1"/>
    </xf>
    <xf numFmtId="0" fontId="23" fillId="0" borderId="34" xfId="0" applyFont="1" applyBorder="1">
      <alignment horizontal="left" vertical="center" wrapText="1"/>
    </xf>
    <xf numFmtId="171" fontId="23" fillId="0" borderId="19" xfId="0" applyFont="1" applyBorder="1" applyNumberFormat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173" fontId="23" fillId="34" borderId="21" xfId="0" applyFont="1" applyFill="1" applyBorder="1" applyNumberFormat="1">
      <alignment horizontal="center" vertical="center" wrapText="1"/>
      <protection locked="0"/>
    </xf>
    <xf numFmtId="0" fontId="23" fillId="0" borderId="27" xfId="0" applyFont="1" applyBorder="1">
      <alignment horizontal="center" vertical="center" wrapText="1"/>
      <protection locked="0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7" fillId="0" borderId="0" xfId="0" applyFont="1">
      <alignment horizontal="right" vertical="center" wrapText="1"/>
    </xf>
    <xf numFmtId="0" fontId="27" fillId="0" borderId="0" xfId="0" applyFont="1">
      <alignment horizontal="left" vertical="center" wrapText="1"/>
      <protection locked="0"/>
    </xf>
    <xf numFmtId="0" fontId="27" fillId="0" borderId="0" xfId="0" applyFont="1">
      <alignment horizontal="left" vertical="center" wrapText="1"/>
    </xf>
    <xf numFmtId="0" fontId="27" fillId="0" borderId="0" xfId="0" applyFont="1">
      <alignment vertical="center" wrapText="1"/>
    </xf>
    <xf numFmtId="0" fontId="21" fillId="0" borderId="0" xfId="0" applyFont="1">
      <alignment wrapText="1"/>
    </xf>
    <xf numFmtId="0" fontId="21" fillId="0" borderId="0" xfId="0" applyFont="1">
      <alignment horizontal="left" vertical="center" wrapText="1"/>
    </xf>
    <xf numFmtId="0" fontId="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 shrinkToFit="1"/>
    </xf>
    <xf numFmtId="0" fontId="21" fillId="0" borderId="0" xfId="0" applyFont="1">
      <alignment horizontal="left" vertical="center" wrapText="1" shrinkToFit="1"/>
    </xf>
    <xf numFmtId="0" fontId="21" fillId="0" borderId="0" xfId="0" applyFont="1">
      <alignment horizontal="left" vertical="top" wrapText="1" shrinkToFit="1"/>
    </xf>
    <xf numFmtId="0" fontId="24" fillId="0" borderId="0" xfId="0" applyFont="1">
      <alignment wrapText="1"/>
    </xf>
    <xf numFmtId="0" fontId="21" fillId="0" borderId="11" xfId="0" applyFont="1" applyBorder="1">
      <alignment wrapText="1" shrinkToFit="1"/>
    </xf>
    <xf numFmtId="0" fontId="21" fillId="0" borderId="0" xfId="0" applyFont="1">
      <alignment vertical="center" wrapText="1" shrinkToFit="1"/>
    </xf>
    <xf numFmtId="0" fontId="1" fillId="0" borderId="0" xfId="0" applyFont="1">
      <alignment wrapText="1" shrinkToFit="1"/>
    </xf>
    <xf numFmtId="0" fontId="23" fillId="0" borderId="18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1" fillId="0" borderId="11" xfId="0" applyFont="1" applyBorder="1">
      <alignment vertical="center" wrapText="1"/>
    </xf>
    <xf numFmtId="0" fontId="21" fillId="0" borderId="11" xfId="0" applyFont="1" applyBorder="1">
      <alignment wrapText="1"/>
    </xf>
    <xf numFmtId="174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vertical="center" wrapText="1" shrinkToFit="1"/>
    </xf>
    <xf numFmtId="0" fontId="23" fillId="34" borderId="11" xfId="0" applyFont="1" applyFill="1" applyBorder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25" fillId="35" borderId="0" xfId="0" applyFont="1" applyFill="1">
      <alignment wrapText="1"/>
    </xf>
    <xf numFmtId="0" fontId="21" fillId="0" borderId="0" xfId="0" applyFont="1">
      <alignment vertical="center" wrapText="1"/>
    </xf>
    <xf numFmtId="0" fontId="23" fillId="0" borderId="23" xfId="0" applyFont="1" applyBorder="1">
      <alignment horizontal="left" vertical="center" wrapText="1"/>
    </xf>
    <xf numFmtId="0" fontId="0" fillId="0" borderId="0" xfId="0" applyFont="1">
      <alignment horizontal="right" vertical="center" wrapText="1"/>
    </xf>
    <xf numFmtId="0" fontId="0" fillId="33" borderId="0" xfId="0" applyFont="1" applyFill="1">
      <alignment horizontal="right" vertical="center" wrapText="1"/>
    </xf>
    <xf numFmtId="0" fontId="0" fillId="0" borderId="0" xfId="0" applyFont="1">
      <alignment wrapText="1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_Sheet1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5D07958-29D4-C8D9-D5B4-4BFDAC96E048}" mc:Ignorable="x14ac xr xr2 xr3">
  <dimension ref="A1:U43"/>
  <sheetViews>
    <sheetView defaultGridColor="0" colorId="31" topLeftCell="A1" showGridLines="0" zoomScale="80" workbookViewId="0" tabSelected="1">
      <selection activeCell="A1" sqref="A1"/>
    </sheetView>
  </sheetViews>
  <sheetFormatPr defaultColWidth="9.00390625" customHeight="1" defaultRowHeight="12.9525"/>
  <cols>
    <col min="1" max="1" style="137" width="2.625" customWidth="1"/>
    <col min="2" max="2" style="137" width="19.625" customWidth="1"/>
    <col min="3" max="3" style="137" width="9.50390625" customWidth="1"/>
    <col min="4" max="4" style="137" width="7.50390625" customWidth="1"/>
    <col min="5" max="5" style="137" width="11.625" customWidth="1"/>
    <col min="6" max="6" style="137" width="9.50390625" customWidth="1"/>
    <col min="7" max="7" style="137" width="9.125" customWidth="1"/>
    <col min="8" max="8" style="137" width="13.625" customWidth="1"/>
    <col min="9" max="10" style="137" width="8.125" customWidth="1"/>
    <col min="11" max="11" style="137" width="10.125" customWidth="1"/>
    <col min="12" max="12" style="137" width="15.875" customWidth="1"/>
    <col min="13" max="14" style="137" width="9.125" customWidth="1"/>
    <col min="15" max="15" style="137" width="7.625" customWidth="1"/>
    <col min="16" max="16" style="137" width="9.00390625"/>
    <col min="17" max="17" style="137" width="11.125" customWidth="1"/>
    <col min="18" max="18" style="137" width="10.625" customWidth="1"/>
    <col min="19" max="19" style="137" width="10.875" customWidth="1"/>
  </cols>
  <sheetData>
    <row customHeight="1" ht="2.25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9"/>
      <c r="U1" s="219"/>
    </row>
    <row s="135" customFormat="1" customHeight="1" ht="27.75">
      <c r="A2" s="220"/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3"/>
      <c r="T2" s="220"/>
      <c r="U2" s="220"/>
    </row>
    <row customHeight="1" ht="15.75">
      <c r="A3" s="218"/>
      <c r="B3" s="140" t="s">
        <v>1</v>
      </c>
      <c r="C3" s="141"/>
      <c r="D3" s="141"/>
      <c r="E3" s="142"/>
      <c r="F3" s="227" t="s">
        <v>2</v>
      </c>
      <c r="G3" s="228" t="s">
        <v>3</v>
      </c>
      <c r="H3" s="228"/>
      <c r="I3" s="229"/>
      <c r="J3" s="229"/>
      <c r="K3" s="229"/>
      <c r="L3" s="229"/>
      <c r="M3" s="229"/>
      <c r="N3" s="163"/>
      <c r="O3" s="163"/>
      <c r="P3" s="231"/>
      <c r="Q3" s="232" t="str">
        <f>取值!S1&amp;取值!T1&amp;取值!U1</f>
        <v>报表生成时间：2026-01-07 8:00:00</v>
      </c>
      <c r="R3" s="232"/>
      <c r="S3" s="233"/>
      <c r="T3" s="219"/>
      <c r="U3" s="219"/>
    </row>
    <row s="136" customFormat="1" customHeight="1" ht="18">
      <c r="A4" s="234"/>
      <c r="B4" s="67" t="s">
        <v>4</v>
      </c>
      <c r="C4" s="68" t="s">
        <v>5</v>
      </c>
      <c r="D4" s="68"/>
      <c r="E4" s="237" t="s">
        <v>6</v>
      </c>
      <c r="F4" s="237"/>
      <c r="G4" s="237"/>
      <c r="H4" s="237" t="s">
        <v>7</v>
      </c>
      <c r="I4" s="237"/>
      <c r="J4" s="237"/>
      <c r="K4" s="237" t="s">
        <v>8</v>
      </c>
      <c r="L4" s="237"/>
      <c r="M4" s="237"/>
      <c r="N4" s="113" t="s">
        <v>9</v>
      </c>
      <c r="O4" s="113"/>
      <c r="P4" s="113"/>
      <c r="Q4" s="113" t="s">
        <v>10</v>
      </c>
      <c r="R4" s="113"/>
      <c r="S4" s="127"/>
      <c r="T4" s="234"/>
      <c r="U4" s="234"/>
    </row>
    <row customHeight="1" ht="18">
      <c r="A5" s="218"/>
      <c r="B5" s="70" t="s">
        <v>11</v>
      </c>
      <c r="C5" s="71" t="s">
        <v>12</v>
      </c>
      <c r="D5" s="242" t="s">
        <v>13</v>
      </c>
      <c r="E5" s="71" t="s">
        <v>11</v>
      </c>
      <c r="F5" s="71" t="s">
        <v>12</v>
      </c>
      <c r="G5" s="242" t="s">
        <v>13</v>
      </c>
      <c r="H5" s="71" t="s">
        <v>11</v>
      </c>
      <c r="I5" s="71" t="s">
        <v>12</v>
      </c>
      <c r="J5" s="71" t="s">
        <v>13</v>
      </c>
      <c r="K5" s="242" t="s">
        <v>11</v>
      </c>
      <c r="L5" s="242" t="s">
        <v>12</v>
      </c>
      <c r="M5" s="242" t="s">
        <v>13</v>
      </c>
      <c r="N5" s="114" t="s">
        <v>11</v>
      </c>
      <c r="O5" s="114" t="s">
        <v>12</v>
      </c>
      <c r="P5" s="114" t="s">
        <v>13</v>
      </c>
      <c r="Q5" s="244" t="s">
        <v>11</v>
      </c>
      <c r="R5" s="244" t="s">
        <v>12</v>
      </c>
      <c r="S5" s="245" t="s">
        <v>13</v>
      </c>
      <c r="T5" s="219"/>
      <c r="U5" s="219"/>
    </row>
    <row customHeight="1" ht="18">
      <c r="A6" s="218"/>
      <c r="B6" s="73" t="s">
        <v>14</v>
      </c>
      <c r="C6" s="247">
        <v>4280</v>
      </c>
      <c r="D6" s="248"/>
      <c r="E6" s="64" t="s">
        <v>14</v>
      </c>
      <c r="F6" s="247">
        <v>2156</v>
      </c>
      <c r="G6" s="248"/>
      <c r="H6" s="250" t="s">
        <v>14</v>
      </c>
      <c r="I6" s="247">
        <v>559</v>
      </c>
      <c r="J6" s="248"/>
      <c r="K6" s="250" t="s">
        <v>14</v>
      </c>
      <c r="L6" s="251">
        <v>4135</v>
      </c>
      <c r="M6" s="116"/>
      <c r="N6" s="116" t="s">
        <v>14</v>
      </c>
      <c r="O6" s="247">
        <v>4871</v>
      </c>
      <c r="P6" s="117"/>
      <c r="Q6" s="250" t="s">
        <v>15</v>
      </c>
      <c r="R6" s="254">
        <v>995.0001</v>
      </c>
      <c r="S6" s="255"/>
      <c r="T6" s="219"/>
      <c r="U6" s="219"/>
    </row>
    <row customHeight="1" ht="18">
      <c r="A7" s="218"/>
      <c r="B7" s="73" t="s">
        <v>16</v>
      </c>
      <c r="C7" s="247">
        <v>2435</v>
      </c>
      <c r="D7" s="248">
        <f>_xlfn.IFERROR(C7/C6,"error")</f>
        <v>0.56892523364486</v>
      </c>
      <c r="E7" s="64" t="s">
        <v>17</v>
      </c>
      <c r="F7" s="247">
        <v>1785</v>
      </c>
      <c r="G7" s="248">
        <f>_xlfn.IFERROR(F7/F6,"error")</f>
        <v>0.827922077922078</v>
      </c>
      <c r="H7" s="250" t="s">
        <v>18</v>
      </c>
      <c r="I7" s="247">
        <v>183</v>
      </c>
      <c r="J7" s="248">
        <f>_xlfn.IFERROR(I7/I6,"error")</f>
        <v>0.32737030411449</v>
      </c>
      <c r="K7" s="250" t="s">
        <v>19</v>
      </c>
      <c r="L7" s="251">
        <v>4106</v>
      </c>
      <c r="M7" s="117">
        <f>_xlfn.IFERROR(L7/L6,"error")</f>
        <v>0.992986698911729</v>
      </c>
      <c r="N7" s="116" t="s">
        <v>20</v>
      </c>
      <c r="O7" s="247">
        <v>4620</v>
      </c>
      <c r="P7" s="117">
        <f>_xlfn.IFERROR(O7/O6,"error")</f>
        <v>0.948470539930199</v>
      </c>
      <c r="Q7" s="250" t="s">
        <v>21</v>
      </c>
      <c r="R7" s="254">
        <v>226</v>
      </c>
      <c r="S7" s="256">
        <f>_xlfn.IFERROR(R7/R6,"error")</f>
        <v>0.227135655564256</v>
      </c>
      <c r="T7" s="219"/>
      <c r="U7" s="219"/>
    </row>
    <row customHeight="1" ht="18">
      <c r="A8" s="218"/>
      <c r="B8" s="73" t="s">
        <v>22</v>
      </c>
      <c r="C8" s="247">
        <v>559</v>
      </c>
      <c r="D8" s="248">
        <f>_xlfn.IFERROR(C8/C6,"error")</f>
        <v>0.130607476635514</v>
      </c>
      <c r="E8" s="64" t="s">
        <v>23</v>
      </c>
      <c r="F8" s="247">
        <v>379</v>
      </c>
      <c r="G8" s="248">
        <f>_xlfn.IFERROR(F8/F6,"error")</f>
        <v>0.175788497217069</v>
      </c>
      <c r="H8" s="250" t="s">
        <v>24</v>
      </c>
      <c r="I8" s="247">
        <v>373</v>
      </c>
      <c r="J8" s="248">
        <f>_xlfn.IFERROR(I8/I6,"error")</f>
        <v>0.667262969588551</v>
      </c>
      <c r="K8" s="250"/>
      <c r="L8" s="248"/>
      <c r="M8" s="116"/>
      <c r="N8" s="116" t="s">
        <v>23</v>
      </c>
      <c r="O8" s="247">
        <v>138</v>
      </c>
      <c r="P8" s="117">
        <f>_xlfn.IFERROR(O8/O6,"error")</f>
        <v>0.0283309382057072</v>
      </c>
      <c r="Q8" s="250" t="s">
        <v>25</v>
      </c>
      <c r="R8" s="254">
        <v>604</v>
      </c>
      <c r="S8" s="256">
        <f>_xlfn.IFERROR(R8/R6,"error")</f>
        <v>0.607035114870843</v>
      </c>
      <c r="T8" s="219"/>
      <c r="U8" s="219"/>
    </row>
    <row customHeight="1" ht="18">
      <c r="A9" s="218"/>
      <c r="B9" s="73" t="s">
        <v>26</v>
      </c>
      <c r="C9" s="247">
        <v>785</v>
      </c>
      <c r="D9" s="248">
        <f>_xlfn.IFERROR(C9/C6,"error")</f>
        <v>0.183411214953271</v>
      </c>
      <c r="E9" s="250" t="s">
        <v>27</v>
      </c>
      <c r="F9" s="247">
        <v>125</v>
      </c>
      <c r="G9" s="248">
        <f>_xlfn.IFERROR(F9/F6,"error")</f>
        <v>0.0579777365491651</v>
      </c>
      <c r="H9" s="250"/>
      <c r="I9" s="250"/>
      <c r="J9" s="248"/>
      <c r="K9" s="64"/>
      <c r="L9" s="85"/>
      <c r="M9" s="248"/>
      <c r="N9" s="248" t="s">
        <v>28</v>
      </c>
      <c r="O9" s="247">
        <v>79</v>
      </c>
      <c r="P9" s="117">
        <f>_xlfn.IFERROR(O9/O6,"error")</f>
        <v>0.0162184356394991</v>
      </c>
      <c r="Q9" s="258" t="s">
        <v>29</v>
      </c>
      <c r="R9" s="254">
        <v>141</v>
      </c>
      <c r="S9" s="256">
        <f>_xlfn.IFERROR(R9/R6,"error")</f>
        <v>0.141708528471505</v>
      </c>
      <c r="T9" s="219"/>
      <c r="U9" s="219"/>
    </row>
    <row customHeight="1" ht="18">
      <c r="A10" s="218"/>
      <c r="B10" s="77" t="s">
        <v>27</v>
      </c>
      <c r="C10" s="260">
        <v>212</v>
      </c>
      <c r="D10" s="248">
        <f>_xlfn.IFERROR(C10/C6,"error")</f>
        <v>0.0495327102803738</v>
      </c>
      <c r="E10" s="261"/>
      <c r="F10" s="261"/>
      <c r="G10" s="262"/>
      <c r="H10" s="261"/>
      <c r="I10" s="261"/>
      <c r="J10" s="262"/>
      <c r="K10" s="91" t="s">
        <v>30</v>
      </c>
      <c r="L10" s="92"/>
      <c r="M10" s="262"/>
      <c r="N10" s="262"/>
      <c r="O10" s="91"/>
      <c r="P10" s="92"/>
      <c r="Q10" s="261"/>
      <c r="R10" s="262"/>
      <c r="S10" s="265"/>
      <c r="T10" s="219"/>
      <c r="U10" s="219"/>
    </row>
    <row s="136" customFormat="1" customHeight="1" ht="18">
      <c r="A11" s="234"/>
      <c r="B11" s="81" t="s">
        <v>4</v>
      </c>
      <c r="C11" s="83" t="s">
        <v>31</v>
      </c>
      <c r="D11" s="83"/>
      <c r="E11" s="83" t="s">
        <v>32</v>
      </c>
      <c r="F11" s="83"/>
      <c r="G11" s="83" t="s">
        <v>33</v>
      </c>
      <c r="H11" s="83"/>
      <c r="I11" s="83" t="s">
        <v>34</v>
      </c>
      <c r="J11" s="83"/>
      <c r="K11" s="83"/>
      <c r="L11" s="83" t="s">
        <v>35</v>
      </c>
      <c r="M11" s="83"/>
      <c r="N11" s="118" t="s">
        <v>36</v>
      </c>
      <c r="O11" s="118"/>
      <c r="P11" s="118"/>
      <c r="Q11" s="83" t="s">
        <v>37</v>
      </c>
      <c r="R11" s="83"/>
      <c r="S11" s="269" t="s">
        <v>38</v>
      </c>
      <c r="T11" s="234"/>
      <c r="U11" s="234"/>
    </row>
    <row customHeight="1" ht="18">
      <c r="A12" s="218"/>
      <c r="B12" s="70" t="s">
        <v>11</v>
      </c>
      <c r="C12" s="71" t="s">
        <v>12</v>
      </c>
      <c r="D12" s="71" t="s">
        <v>13</v>
      </c>
      <c r="E12" s="71" t="s">
        <v>12</v>
      </c>
      <c r="F12" s="71" t="s">
        <v>13</v>
      </c>
      <c r="G12" s="71" t="s">
        <v>12</v>
      </c>
      <c r="H12" s="71" t="s">
        <v>13</v>
      </c>
      <c r="I12" s="71" t="s">
        <v>11</v>
      </c>
      <c r="J12" s="71" t="s">
        <v>12</v>
      </c>
      <c r="K12" s="71" t="s">
        <v>13</v>
      </c>
      <c r="L12" s="71" t="s">
        <v>39</v>
      </c>
      <c r="M12" s="71"/>
      <c r="N12" s="244" t="s">
        <v>11</v>
      </c>
      <c r="O12" s="244" t="s">
        <v>12</v>
      </c>
      <c r="P12" s="242" t="s">
        <v>13</v>
      </c>
      <c r="Q12" s="242" t="s">
        <v>11</v>
      </c>
      <c r="R12" s="242" t="s">
        <v>12</v>
      </c>
      <c r="S12" s="245" t="s">
        <v>40</v>
      </c>
      <c r="T12" s="219"/>
      <c r="U12" s="219"/>
    </row>
    <row customHeight="1" ht="18">
      <c r="A13" s="218"/>
      <c r="B13" s="270" t="s">
        <v>15</v>
      </c>
      <c r="C13" s="271">
        <v>1382</v>
      </c>
      <c r="D13" s="85"/>
      <c r="E13" s="271">
        <v>1043</v>
      </c>
      <c r="F13" s="85"/>
      <c r="G13" s="86">
        <f>_xlfn.IFERROR(SUM(C13,E13),"error")</f>
        <v>2425</v>
      </c>
      <c r="H13" s="85"/>
      <c r="I13" s="64" t="s">
        <v>15</v>
      </c>
      <c r="J13" s="247">
        <v>1730</v>
      </c>
      <c r="K13" s="85"/>
      <c r="L13" s="64" t="s">
        <v>15</v>
      </c>
      <c r="M13" s="254">
        <v>627</v>
      </c>
      <c r="N13" s="250" t="s">
        <v>15</v>
      </c>
      <c r="O13" s="247">
        <v>1701</v>
      </c>
      <c r="P13" s="248"/>
      <c r="Q13" s="247">
        <v>1757</v>
      </c>
      <c r="R13" s="273">
        <v>1736</v>
      </c>
      <c r="S13" s="274">
        <v>0</v>
      </c>
      <c r="T13" s="219"/>
      <c r="U13" s="219"/>
    </row>
    <row customHeight="1" ht="18">
      <c r="A14" s="218"/>
      <c r="B14" s="73" t="s">
        <v>41</v>
      </c>
      <c r="C14" s="247">
        <v>957</v>
      </c>
      <c r="D14" s="85"/>
      <c r="E14" s="271">
        <v>981</v>
      </c>
      <c r="F14" s="85"/>
      <c r="G14" s="86">
        <f>_xlfn.IFERROR(SUM(C14,E14),"error")</f>
        <v>1938</v>
      </c>
      <c r="H14" s="85"/>
      <c r="I14" s="64" t="s">
        <v>42</v>
      </c>
      <c r="J14" s="247">
        <v>465</v>
      </c>
      <c r="K14" s="248">
        <f>_xlfn.IFERROR(J14/J13,"error")</f>
        <v>0.26878612716763</v>
      </c>
      <c r="L14" s="64" t="s">
        <v>43</v>
      </c>
      <c r="M14" s="275">
        <v>592</v>
      </c>
      <c r="N14" s="250" t="s">
        <v>21</v>
      </c>
      <c r="O14" s="276">
        <v>449</v>
      </c>
      <c r="P14" s="248"/>
      <c r="Q14" s="82" t="s">
        <v>44</v>
      </c>
      <c r="R14" s="82" t="s">
        <v>45</v>
      </c>
      <c r="S14" s="132"/>
      <c r="T14" s="219"/>
      <c r="U14" s="219"/>
    </row>
    <row customHeight="1" ht="18">
      <c r="A15" s="218"/>
      <c r="B15" s="73" t="s">
        <v>46</v>
      </c>
      <c r="C15" s="247">
        <v>184</v>
      </c>
      <c r="D15" s="85"/>
      <c r="E15" s="271"/>
      <c r="F15" s="85"/>
      <c r="G15" s="86">
        <f>_xlfn.IFERROR(SUM(C15,E15),"error")</f>
        <v>184</v>
      </c>
      <c r="H15" s="85"/>
      <c r="I15" s="64" t="s">
        <v>47</v>
      </c>
      <c r="J15" s="247">
        <v>217</v>
      </c>
      <c r="K15" s="248">
        <f>_xlfn.IFERROR(J15/J13,"error")</f>
        <v>0.125433526011561</v>
      </c>
      <c r="L15" s="64" t="s">
        <v>48</v>
      </c>
      <c r="M15" s="248">
        <f>_xlfn.IFERROR(M14/M13,"error")</f>
        <v>0.944178628389155</v>
      </c>
      <c r="N15" s="250" t="s">
        <v>49</v>
      </c>
      <c r="O15" s="247">
        <v>311</v>
      </c>
      <c r="P15" s="248"/>
      <c r="Q15" s="250" t="s">
        <v>12</v>
      </c>
      <c r="R15" s="250" t="s">
        <v>11</v>
      </c>
      <c r="S15" s="255"/>
      <c r="T15" s="219"/>
      <c r="U15" s="219"/>
    </row>
    <row s="136" customFormat="1" customHeight="1" ht="18">
      <c r="A16" s="234"/>
      <c r="B16" s="73" t="s">
        <v>50</v>
      </c>
      <c r="C16" s="247">
        <v>241</v>
      </c>
      <c r="D16" s="85"/>
      <c r="E16" s="271">
        <v>62</v>
      </c>
      <c r="F16" s="85"/>
      <c r="G16" s="86">
        <f>_xlfn.IFERROR(SUM(C16,E16),"error")</f>
        <v>303</v>
      </c>
      <c r="H16" s="85"/>
      <c r="I16" s="64" t="s">
        <v>51</v>
      </c>
      <c r="J16" s="247">
        <v>993</v>
      </c>
      <c r="K16" s="248">
        <f>_xlfn.IFERROR(J16/J13,"error")</f>
        <v>0.573988439306358</v>
      </c>
      <c r="L16" s="248"/>
      <c r="M16" s="250"/>
      <c r="N16" s="250" t="s">
        <v>47</v>
      </c>
      <c r="O16" s="247">
        <v>304</v>
      </c>
      <c r="P16" s="248"/>
      <c r="Q16" s="279">
        <v>0</v>
      </c>
      <c r="R16" s="279">
        <v>0</v>
      </c>
      <c r="S16" s="255"/>
      <c r="T16" s="234"/>
      <c r="U16" s="234"/>
    </row>
    <row customHeight="1" ht="18">
      <c r="A17" s="218"/>
      <c r="B17" s="73" t="s">
        <v>52</v>
      </c>
      <c r="C17" s="247">
        <v>671</v>
      </c>
      <c r="D17" s="248">
        <f>_xlfn.IFERROR(C17/C13,"error")</f>
        <v>0.485528219971056</v>
      </c>
      <c r="E17" s="271">
        <v>164</v>
      </c>
      <c r="F17" s="85">
        <f>_xlfn.IFERROR(E17/E13,"error")</f>
        <v>0.157238734419942</v>
      </c>
      <c r="G17" s="86">
        <f>_xlfn.IFERROR(SUM(C17,E17),"error")</f>
        <v>835</v>
      </c>
      <c r="H17" s="85">
        <f>_xlfn.IFERROR(G17/G13,"error")</f>
        <v>0.344329896907216</v>
      </c>
      <c r="I17" s="64" t="s">
        <v>53</v>
      </c>
      <c r="J17" s="247">
        <v>17</v>
      </c>
      <c r="K17" s="248">
        <f>_xlfn.IFERROR(J17/J13,"error")</f>
        <v>0.00982658959537572</v>
      </c>
      <c r="L17" s="85"/>
      <c r="M17" s="250"/>
      <c r="N17" s="250" t="s">
        <v>54</v>
      </c>
      <c r="O17" s="247">
        <v>637</v>
      </c>
      <c r="P17" s="248"/>
      <c r="Q17" s="280" t="s">
        <v>55</v>
      </c>
      <c r="R17" s="280"/>
      <c r="S17" s="281"/>
      <c r="T17" s="219"/>
      <c r="U17" s="219"/>
    </row>
    <row customHeight="1" ht="18">
      <c r="A18" s="218"/>
      <c r="B18" s="73" t="s">
        <v>56</v>
      </c>
      <c r="C18" s="247">
        <v>697</v>
      </c>
      <c r="D18" s="248">
        <f>_xlfn.IFERROR(C18/C13,"error")</f>
        <v>0.504341534008683</v>
      </c>
      <c r="E18" s="271">
        <v>870</v>
      </c>
      <c r="F18" s="85">
        <f>_xlfn.IFERROR(E18/E13,"error")</f>
        <v>0.834132310642378</v>
      </c>
      <c r="G18" s="86">
        <f>_xlfn.IFERROR(SUM(C18,E18),"error")</f>
        <v>1567</v>
      </c>
      <c r="H18" s="85">
        <f>_xlfn.IFERROR(G18/G13,"error")</f>
        <v>0.646185567010309</v>
      </c>
      <c r="I18" s="64"/>
      <c r="J18" s="248"/>
      <c r="K18" s="64"/>
      <c r="L18" s="85"/>
      <c r="M18" s="250"/>
      <c r="N18" s="250" t="s">
        <v>29</v>
      </c>
      <c r="O18" s="247">
        <v>164</v>
      </c>
      <c r="P18" s="248">
        <f>_xlfn.IFERROR(O18/O13,"error")</f>
        <v>0.096413874191652</v>
      </c>
      <c r="Q18" s="242" t="s">
        <v>11</v>
      </c>
      <c r="R18" s="242" t="s">
        <v>12</v>
      </c>
      <c r="S18" s="255"/>
      <c r="T18" s="219"/>
      <c r="U18" s="219"/>
    </row>
    <row customHeight="1" ht="18">
      <c r="A19" s="218"/>
      <c r="B19" s="73"/>
      <c r="C19" s="64"/>
      <c r="D19" s="248"/>
      <c r="E19" s="64"/>
      <c r="F19" s="248"/>
      <c r="G19" s="86"/>
      <c r="H19" s="85"/>
      <c r="I19" s="64"/>
      <c r="J19" s="248"/>
      <c r="K19" s="64"/>
      <c r="L19" s="85" t="s">
        <v>57</v>
      </c>
      <c r="M19" s="250"/>
      <c r="N19" s="250" t="s">
        <v>58</v>
      </c>
      <c r="O19" s="247">
        <v>928</v>
      </c>
      <c r="P19" s="248">
        <f>_xlfn.IFERROR(O19/O13,"error")</f>
        <v>0.545561434450323</v>
      </c>
      <c r="Q19" s="282">
        <v>58.9</v>
      </c>
      <c r="R19" s="282">
        <v>57.1</v>
      </c>
      <c r="S19" s="255"/>
      <c r="T19" s="219"/>
      <c r="U19" s="219"/>
    </row>
    <row customHeight="1" ht="18">
      <c r="A20" s="218"/>
      <c r="B20" s="283"/>
      <c r="C20" s="91"/>
      <c r="D20" s="92"/>
      <c r="E20" s="261"/>
      <c r="F20" s="91"/>
      <c r="G20" s="92"/>
      <c r="H20" s="261"/>
      <c r="I20" s="91"/>
      <c r="J20" s="92"/>
      <c r="K20" s="261"/>
      <c r="L20" s="92"/>
      <c r="M20" s="261"/>
      <c r="N20" s="261" t="s">
        <v>59</v>
      </c>
      <c r="O20" s="284">
        <v>352</v>
      </c>
      <c r="P20" s="285">
        <f>_xlfn.IFERROR(O20/O13,"error")</f>
        <v>0.206937095825985</v>
      </c>
      <c r="Q20" s="286"/>
      <c r="R20" s="286"/>
      <c r="S20" s="287"/>
      <c r="T20" s="219"/>
      <c r="U20" s="219"/>
    </row>
    <row customHeight="1" ht="18">
      <c r="A21" s="218"/>
      <c r="B21" s="148" t="s">
        <v>60</v>
      </c>
      <c r="C21" s="149"/>
      <c r="D21" s="149"/>
      <c r="E21" s="149" t="s">
        <v>61</v>
      </c>
      <c r="F21" s="149"/>
      <c r="G21" s="149"/>
      <c r="H21" s="290" t="s">
        <v>62</v>
      </c>
      <c r="I21" s="290"/>
      <c r="J21" s="290"/>
      <c r="K21" s="290"/>
      <c r="L21" s="290" t="s">
        <v>63</v>
      </c>
      <c r="M21" s="290"/>
      <c r="N21" s="291"/>
      <c r="O21" s="292" t="s">
        <v>64</v>
      </c>
      <c r="P21" s="293"/>
      <c r="Q21" s="293"/>
      <c r="R21" s="293"/>
      <c r="S21" s="294"/>
      <c r="T21" s="219"/>
      <c r="U21" s="219"/>
    </row>
    <row customHeight="1" ht="18">
      <c r="A22" s="218"/>
      <c r="B22" s="105" t="s">
        <v>65</v>
      </c>
      <c r="C22" s="52" t="s">
        <v>66</v>
      </c>
      <c r="D22" s="52" t="s">
        <v>67</v>
      </c>
      <c r="E22" s="297" t="s">
        <v>68</v>
      </c>
      <c r="F22" s="298" t="s">
        <v>69</v>
      </c>
      <c r="G22" s="52" t="s">
        <v>70</v>
      </c>
      <c r="H22" s="297" t="s">
        <v>71</v>
      </c>
      <c r="I22" s="297" t="s">
        <v>72</v>
      </c>
      <c r="J22" s="297" t="s">
        <v>73</v>
      </c>
      <c r="K22" s="297" t="s">
        <v>74</v>
      </c>
      <c r="L22" s="297" t="s">
        <v>75</v>
      </c>
      <c r="M22" s="297" t="s">
        <v>76</v>
      </c>
      <c r="N22" s="299" t="s">
        <v>74</v>
      </c>
      <c r="O22" s="173" t="s">
        <v>77</v>
      </c>
      <c r="P22" s="174"/>
      <c r="Q22" s="209" t="s">
        <v>78</v>
      </c>
      <c r="R22" s="209" t="s">
        <v>79</v>
      </c>
      <c r="S22" s="210" t="s">
        <v>80</v>
      </c>
      <c r="T22" s="219"/>
      <c r="U22" s="219"/>
    </row>
    <row customHeight="1" ht="12.75">
      <c r="A23" s="218"/>
      <c r="B23" s="106" t="s">
        <v>81</v>
      </c>
      <c r="C23" s="275">
        <v>667.36</v>
      </c>
      <c r="D23" s="305"/>
      <c r="E23" s="250" t="s">
        <v>82</v>
      </c>
      <c r="F23" s="306">
        <v>2988</v>
      </c>
      <c r="G23" s="305"/>
      <c r="H23" s="250" t="s">
        <v>83</v>
      </c>
      <c r="I23" s="275">
        <v>801</v>
      </c>
      <c r="J23" s="307">
        <v>597</v>
      </c>
      <c r="K23" s="250">
        <v>3000</v>
      </c>
      <c r="L23" s="250" t="s">
        <v>82</v>
      </c>
      <c r="M23" s="307">
        <v>10616.681</v>
      </c>
      <c r="N23" s="308">
        <v>18237</v>
      </c>
      <c r="O23" s="177" t="s">
        <v>84</v>
      </c>
      <c r="P23" s="178"/>
      <c r="Q23" s="82"/>
      <c r="R23" s="82"/>
      <c r="S23" s="211"/>
      <c r="T23" s="219"/>
      <c r="U23" s="219"/>
    </row>
    <row customHeight="1" ht="15.75">
      <c r="A24" s="218"/>
      <c r="B24" s="106" t="s">
        <v>85</v>
      </c>
      <c r="C24" s="312"/>
      <c r="D24" s="305"/>
      <c r="E24" s="250" t="s">
        <v>86</v>
      </c>
      <c r="F24" s="306">
        <v>2426</v>
      </c>
      <c r="G24" s="313"/>
      <c r="H24" s="250" t="s">
        <v>87</v>
      </c>
      <c r="I24" s="314"/>
      <c r="J24" s="307">
        <v>1868.95</v>
      </c>
      <c r="K24" s="250">
        <v>2841</v>
      </c>
      <c r="L24" s="250" t="s">
        <v>86</v>
      </c>
      <c r="M24" s="307">
        <v>7929.863</v>
      </c>
      <c r="N24" s="308">
        <v>13887</v>
      </c>
      <c r="O24" s="179"/>
      <c r="P24" s="180"/>
      <c r="Q24" s="82" t="s">
        <v>88</v>
      </c>
      <c r="R24" s="82" t="s">
        <v>89</v>
      </c>
      <c r="S24" s="317">
        <v>14.25</v>
      </c>
      <c r="T24" s="219"/>
      <c r="U24" s="219"/>
    </row>
    <row customHeight="1" ht="20.656248728434246">
      <c r="A25" s="218"/>
      <c r="B25" s="106" t="s">
        <v>90</v>
      </c>
      <c r="C25" s="312">
        <v>33.04</v>
      </c>
      <c r="D25" s="305"/>
      <c r="E25" s="250" t="s">
        <v>91</v>
      </c>
      <c r="F25" s="318">
        <v>4135</v>
      </c>
      <c r="G25" s="305"/>
      <c r="H25" s="250" t="s">
        <v>25</v>
      </c>
      <c r="I25" s="275"/>
      <c r="J25" s="307">
        <v>5770.289</v>
      </c>
      <c r="K25" s="250">
        <v>6672</v>
      </c>
      <c r="L25" s="250" t="s">
        <v>91</v>
      </c>
      <c r="M25" s="307">
        <v>1559.418</v>
      </c>
      <c r="N25" s="308">
        <v>6120</v>
      </c>
      <c r="O25" s="179"/>
      <c r="P25" s="180"/>
      <c r="Q25" s="82" t="s">
        <v>92</v>
      </c>
      <c r="R25" s="82" t="s">
        <v>93</v>
      </c>
      <c r="S25" s="317">
        <v>0.41</v>
      </c>
      <c r="T25" s="219"/>
      <c r="U25" s="219"/>
    </row>
    <row customHeight="1" ht="18">
      <c r="A26" s="218"/>
      <c r="B26" s="270" t="s">
        <v>94</v>
      </c>
      <c r="C26" s="319"/>
      <c r="D26" s="275"/>
      <c r="E26" s="250" t="s">
        <v>95</v>
      </c>
      <c r="F26" s="318">
        <v>4871</v>
      </c>
      <c r="G26" s="305"/>
      <c r="H26" s="250" t="s">
        <v>96</v>
      </c>
      <c r="I26" s="275">
        <v>0</v>
      </c>
      <c r="J26" s="307">
        <v>1576.622</v>
      </c>
      <c r="K26" s="250">
        <v>3663</v>
      </c>
      <c r="L26" s="250" t="s">
        <v>95</v>
      </c>
      <c r="M26" s="307">
        <v>2080.739</v>
      </c>
      <c r="N26" s="308">
        <v>8303</v>
      </c>
      <c r="O26" s="179"/>
      <c r="P26" s="180"/>
      <c r="Q26" s="82" t="s">
        <v>97</v>
      </c>
      <c r="R26" s="82" t="s">
        <v>98</v>
      </c>
      <c r="S26" s="317">
        <v>6.74</v>
      </c>
      <c r="T26" s="219"/>
      <c r="U26" s="219"/>
    </row>
    <row customHeight="1" ht="18">
      <c r="A27" s="218"/>
      <c r="B27" s="270" t="s">
        <v>99</v>
      </c>
      <c r="C27" s="320"/>
      <c r="D27" s="321"/>
      <c r="E27" s="258" t="s">
        <v>100</v>
      </c>
      <c r="F27" s="322">
        <v>1632</v>
      </c>
      <c r="G27" s="314"/>
      <c r="H27" s="250" t="s">
        <v>101</v>
      </c>
      <c r="I27" s="314"/>
      <c r="J27" s="307">
        <v>52</v>
      </c>
      <c r="K27" s="250" t="s">
        <v>102</v>
      </c>
      <c r="L27" s="250" t="s">
        <v>103</v>
      </c>
      <c r="M27" s="307">
        <v>1982.015</v>
      </c>
      <c r="N27" s="308">
        <v>3081</v>
      </c>
      <c r="O27" s="181"/>
      <c r="P27" s="182"/>
      <c r="Q27" s="82" t="s">
        <v>104</v>
      </c>
      <c r="R27" s="82" t="s">
        <v>105</v>
      </c>
      <c r="S27" s="317">
        <v>0</v>
      </c>
      <c r="T27" s="219"/>
      <c r="U27" s="219"/>
    </row>
    <row customHeight="1" ht="18">
      <c r="A28" s="218"/>
      <c r="B28" s="325" t="s">
        <v>106</v>
      </c>
      <c r="C28" s="312"/>
      <c r="D28" s="305"/>
      <c r="E28" s="258" t="s">
        <v>49</v>
      </c>
      <c r="F28" s="326">
        <v>174</v>
      </c>
      <c r="G28" s="314">
        <v>0</v>
      </c>
      <c r="H28" s="250" t="s">
        <v>107</v>
      </c>
      <c r="I28" s="275"/>
      <c r="J28" s="307">
        <v>0</v>
      </c>
      <c r="K28" s="327"/>
      <c r="L28" s="250" t="s">
        <v>108</v>
      </c>
      <c r="M28" s="328">
        <v>1890.827</v>
      </c>
      <c r="N28" s="308">
        <v>3790</v>
      </c>
      <c r="O28" s="185" t="s">
        <v>109</v>
      </c>
      <c r="P28" s="186"/>
      <c r="Q28" s="82" t="s">
        <v>110</v>
      </c>
      <c r="R28" s="82" t="s">
        <v>89</v>
      </c>
      <c r="S28" s="317">
        <v>12.15</v>
      </c>
      <c r="T28" s="219"/>
      <c r="U28" s="219"/>
    </row>
    <row customHeight="1" ht="18">
      <c r="A29" s="218"/>
      <c r="B29" s="325" t="s">
        <v>111</v>
      </c>
      <c r="C29" s="275"/>
      <c r="D29" s="275">
        <v>219.1</v>
      </c>
      <c r="E29" s="258" t="s">
        <v>112</v>
      </c>
      <c r="F29" s="275"/>
      <c r="G29" s="275">
        <v>0</v>
      </c>
      <c r="H29" s="250" t="s">
        <v>113</v>
      </c>
      <c r="I29" s="313"/>
      <c r="J29" s="307">
        <v>27.266</v>
      </c>
      <c r="K29" s="250">
        <v>876</v>
      </c>
      <c r="L29" s="250" t="s">
        <v>114</v>
      </c>
      <c r="M29" s="328">
        <v>892.903</v>
      </c>
      <c r="N29" s="308">
        <v>2245</v>
      </c>
      <c r="O29" s="179"/>
      <c r="P29" s="180"/>
      <c r="Q29" s="82" t="s">
        <v>115</v>
      </c>
      <c r="R29" s="82" t="s">
        <v>116</v>
      </c>
      <c r="S29" s="317">
        <v>27.49</v>
      </c>
      <c r="T29" s="219"/>
      <c r="U29" s="219"/>
    </row>
    <row customHeight="1" ht="26.25">
      <c r="A30" s="218"/>
      <c r="B30" s="270" t="s">
        <v>117</v>
      </c>
      <c r="C30" s="275"/>
      <c r="D30" s="275">
        <v>219.2</v>
      </c>
      <c r="E30" s="258" t="s">
        <v>52</v>
      </c>
      <c r="F30" s="318"/>
      <c r="G30" s="275">
        <v>0</v>
      </c>
      <c r="H30" s="250"/>
      <c r="I30" s="250"/>
      <c r="J30" s="331"/>
      <c r="K30" s="332"/>
      <c r="L30" s="250" t="s">
        <v>118</v>
      </c>
      <c r="M30" s="307">
        <v>2425.067</v>
      </c>
      <c r="N30" s="308">
        <v>3027</v>
      </c>
      <c r="O30" s="179"/>
      <c r="P30" s="180"/>
      <c r="Q30" s="213" t="s">
        <v>119</v>
      </c>
      <c r="R30" s="213" t="s">
        <v>120</v>
      </c>
      <c r="S30" s="334">
        <v>1.82</v>
      </c>
      <c r="T30" s="219"/>
      <c r="U30" s="219"/>
    </row>
    <row customHeight="1" ht="18">
      <c r="A31" s="218"/>
      <c r="B31" s="270" t="s">
        <v>121</v>
      </c>
      <c r="C31" s="275"/>
      <c r="D31" s="275">
        <v>313.46</v>
      </c>
      <c r="E31" s="258" t="s">
        <v>18</v>
      </c>
      <c r="F31" s="318"/>
      <c r="G31" s="275">
        <v>151</v>
      </c>
      <c r="H31" s="250"/>
      <c r="I31" s="335"/>
      <c r="J31" s="332"/>
      <c r="K31" s="250"/>
      <c r="L31" s="250" t="s">
        <v>122</v>
      </c>
      <c r="M31" s="307">
        <v>0</v>
      </c>
      <c r="N31" s="336"/>
      <c r="O31" s="337"/>
      <c r="P31" s="190"/>
      <c r="Q31" s="190"/>
      <c r="R31" s="190"/>
      <c r="S31" s="215"/>
      <c r="T31" s="219"/>
      <c r="U31" s="219"/>
    </row>
    <row customHeight="1" ht="18">
      <c r="A32" s="218"/>
      <c r="B32" s="270" t="s">
        <v>123</v>
      </c>
      <c r="C32" s="275"/>
      <c r="D32" s="275">
        <v>0</v>
      </c>
      <c r="E32" s="250" t="s">
        <v>25</v>
      </c>
      <c r="F32" s="340"/>
      <c r="G32" s="314">
        <v>371</v>
      </c>
      <c r="H32" s="250"/>
      <c r="I32" s="250"/>
      <c r="J32" s="332"/>
      <c r="K32" s="327"/>
      <c r="L32" s="250" t="s">
        <v>124</v>
      </c>
      <c r="M32" s="328">
        <v>216</v>
      </c>
      <c r="N32" s="336">
        <v>1000</v>
      </c>
      <c r="O32" s="191"/>
      <c r="P32" s="192"/>
      <c r="Q32" s="192"/>
      <c r="R32" s="192"/>
      <c r="S32" s="216"/>
      <c r="T32" s="219"/>
      <c r="U32" s="219"/>
    </row>
    <row customHeight="1" ht="18">
      <c r="A33" s="218"/>
      <c r="B33" s="344" t="s">
        <v>125</v>
      </c>
      <c r="C33" s="345"/>
      <c r="D33" s="345"/>
      <c r="E33" s="250" t="s">
        <v>126</v>
      </c>
      <c r="F33" s="314"/>
      <c r="G33" s="314">
        <v>257</v>
      </c>
      <c r="H33" s="250"/>
      <c r="I33" s="250"/>
      <c r="J33" s="332"/>
      <c r="K33" s="250"/>
      <c r="L33" s="250" t="s">
        <v>127</v>
      </c>
      <c r="M33" s="346">
        <v>7394.563</v>
      </c>
      <c r="N33" s="336">
        <v>7830</v>
      </c>
      <c r="O33" s="191"/>
      <c r="P33" s="192"/>
      <c r="Q33" s="192"/>
      <c r="R33" s="192"/>
      <c r="S33" s="216"/>
      <c r="T33" s="219"/>
      <c r="U33" s="219"/>
    </row>
    <row customHeight="1" ht="18">
      <c r="A34" s="218"/>
      <c r="B34" s="347" t="s">
        <v>118</v>
      </c>
      <c r="C34" s="275">
        <v>67</v>
      </c>
      <c r="D34" s="335"/>
      <c r="E34" s="250" t="s">
        <v>128</v>
      </c>
      <c r="F34" s="314">
        <v>146</v>
      </c>
      <c r="G34" s="275">
        <v>104</v>
      </c>
      <c r="H34" s="250"/>
      <c r="I34" s="250"/>
      <c r="J34" s="332"/>
      <c r="K34" s="250"/>
      <c r="L34" s="250" t="s">
        <v>129</v>
      </c>
      <c r="M34" s="348">
        <v>203.214</v>
      </c>
      <c r="N34" s="336">
        <v>820</v>
      </c>
      <c r="O34" s="191"/>
      <c r="P34" s="192"/>
      <c r="Q34" s="192"/>
      <c r="R34" s="192"/>
      <c r="S34" s="216"/>
      <c r="T34" s="219"/>
      <c r="U34" s="219"/>
    </row>
    <row customHeight="1" ht="18">
      <c r="A35" s="218"/>
      <c r="B35" s="347" t="s">
        <v>130</v>
      </c>
      <c r="C35" s="320">
        <v>197.8</v>
      </c>
      <c r="D35" s="64"/>
      <c r="E35" s="64" t="s">
        <v>131</v>
      </c>
      <c r="F35" s="326"/>
      <c r="G35" s="314">
        <v>515</v>
      </c>
      <c r="H35" s="250"/>
      <c r="I35" s="250"/>
      <c r="J35" s="332"/>
      <c r="K35" s="250"/>
      <c r="L35" s="250" t="s">
        <v>132</v>
      </c>
      <c r="M35" s="348">
        <v>536</v>
      </c>
      <c r="N35" s="336">
        <v>463</v>
      </c>
      <c r="O35" s="191"/>
      <c r="P35" s="192"/>
      <c r="Q35" s="192"/>
      <c r="R35" s="192"/>
      <c r="S35" s="216"/>
      <c r="T35" s="219"/>
      <c r="U35" s="219"/>
    </row>
    <row customHeight="1" ht="18">
      <c r="A36" s="218"/>
      <c r="B36" s="349" t="s">
        <v>133</v>
      </c>
      <c r="C36" s="320">
        <v>224.72</v>
      </c>
      <c r="D36" s="64"/>
      <c r="E36" s="65" t="s">
        <v>134</v>
      </c>
      <c r="F36" s="314">
        <v>51</v>
      </c>
      <c r="G36" s="314"/>
      <c r="H36" s="250"/>
      <c r="I36" s="250"/>
      <c r="J36" s="332"/>
      <c r="K36" s="250"/>
      <c r="L36" s="250" t="s">
        <v>130</v>
      </c>
      <c r="M36" s="307">
        <v>2029.676</v>
      </c>
      <c r="N36" s="336">
        <v>3099</v>
      </c>
      <c r="O36" s="191"/>
      <c r="P36" s="192"/>
      <c r="Q36" s="192"/>
      <c r="R36" s="192"/>
      <c r="S36" s="216"/>
      <c r="T36" s="219"/>
      <c r="U36" s="219"/>
    </row>
    <row customHeight="1" ht="18">
      <c r="A37" s="218"/>
      <c r="B37" s="349" t="s">
        <v>135</v>
      </c>
      <c r="C37" s="318"/>
      <c r="D37" s="250"/>
      <c r="E37" s="258" t="s">
        <v>136</v>
      </c>
      <c r="F37" s="351"/>
      <c r="G37" s="352">
        <v>850</v>
      </c>
      <c r="H37" s="286"/>
      <c r="I37" s="286"/>
      <c r="J37" s="353"/>
      <c r="K37" s="286"/>
      <c r="L37" s="250" t="s">
        <v>49</v>
      </c>
      <c r="M37" s="307">
        <v>699.488</v>
      </c>
      <c r="N37" s="336">
        <v>1540</v>
      </c>
      <c r="O37" s="191"/>
      <c r="P37" s="192"/>
      <c r="Q37" s="192"/>
      <c r="R37" s="192"/>
      <c r="S37" s="216"/>
      <c r="T37" s="219"/>
      <c r="U37" s="219"/>
    </row>
    <row customHeight="1" ht="18">
      <c r="A38" s="218"/>
      <c r="B38" s="354"/>
      <c r="C38" s="353"/>
      <c r="D38" s="286"/>
      <c r="E38" s="258"/>
      <c r="F38" s="82"/>
      <c r="G38" s="82"/>
      <c r="H38" s="286"/>
      <c r="I38" s="286"/>
      <c r="J38" s="353"/>
      <c r="K38" s="286"/>
      <c r="L38" s="258" t="s">
        <v>112</v>
      </c>
      <c r="M38" s="307">
        <v>1154.289</v>
      </c>
      <c r="N38" s="336">
        <v>2311</v>
      </c>
      <c r="O38" s="191"/>
      <c r="P38" s="192"/>
      <c r="Q38" s="192"/>
      <c r="R38" s="192"/>
      <c r="S38" s="216"/>
      <c r="T38" s="219"/>
      <c r="U38" s="219"/>
    </row>
    <row customHeight="1" ht="18">
      <c r="A39" s="218"/>
      <c r="B39" s="354"/>
      <c r="C39" s="353"/>
      <c r="D39" s="286"/>
      <c r="E39" s="258"/>
      <c r="F39" s="82"/>
      <c r="G39" s="82"/>
      <c r="H39" s="286"/>
      <c r="I39" s="286"/>
      <c r="J39" s="353"/>
      <c r="K39" s="286"/>
      <c r="L39" s="250" t="s">
        <v>47</v>
      </c>
      <c r="M39" s="307">
        <v>1017.629</v>
      </c>
      <c r="N39" s="336">
        <v>1371</v>
      </c>
      <c r="O39" s="191"/>
      <c r="P39" s="192"/>
      <c r="Q39" s="192"/>
      <c r="R39" s="192"/>
      <c r="S39" s="216"/>
      <c r="T39" s="219"/>
      <c r="U39" s="219"/>
    </row>
    <row customHeight="1" ht="18">
      <c r="A40" s="218"/>
      <c r="B40" s="283"/>
      <c r="C40" s="355"/>
      <c r="D40" s="261"/>
      <c r="E40" s="356"/>
      <c r="F40" s="83"/>
      <c r="G40" s="83"/>
      <c r="H40" s="261"/>
      <c r="I40" s="261"/>
      <c r="J40" s="355"/>
      <c r="K40" s="261"/>
      <c r="L40" s="357" t="s">
        <v>18</v>
      </c>
      <c r="M40" s="358">
        <v>329.284</v>
      </c>
      <c r="N40" s="359">
        <v>610</v>
      </c>
      <c r="O40" s="198"/>
      <c r="P40" s="199"/>
      <c r="Q40" s="199"/>
      <c r="R40" s="199"/>
      <c r="S40" s="217"/>
      <c r="T40" s="219"/>
      <c r="U40" s="219"/>
    </row>
    <row customHeight="1" ht="12.75">
      <c r="A41" s="218"/>
      <c r="B41" s="363" t="s">
        <v>137</v>
      </c>
      <c r="C41" s="364" t="s">
        <v>138</v>
      </c>
      <c r="D41" s="365"/>
      <c r="E41" s="218"/>
      <c r="F41" s="218"/>
      <c r="G41" s="218"/>
      <c r="H41" s="363" t="s">
        <v>139</v>
      </c>
      <c r="I41" s="364" t="s">
        <v>140</v>
      </c>
      <c r="J41" s="365"/>
      <c r="K41" s="218"/>
      <c r="L41" s="218"/>
      <c r="M41" s="218"/>
      <c r="N41" s="218"/>
      <c r="O41" s="218"/>
      <c r="P41" s="363" t="s">
        <v>141</v>
      </c>
      <c r="Q41" s="363"/>
      <c r="R41" s="364" t="s">
        <v>142</v>
      </c>
      <c r="S41" s="365"/>
      <c r="T41" s="219"/>
      <c r="U41" s="219"/>
    </row>
    <row customHeight="1" ht="12.75">
      <c r="A42" s="218"/>
      <c r="B42" s="363"/>
      <c r="C42" s="365"/>
      <c r="D42" s="365"/>
      <c r="E42" s="218"/>
      <c r="F42" s="218"/>
      <c r="G42" s="218"/>
      <c r="H42" s="363"/>
      <c r="I42" s="365"/>
      <c r="J42" s="365"/>
      <c r="K42" s="218"/>
      <c r="L42" s="218"/>
      <c r="M42" s="218"/>
      <c r="N42" s="218"/>
      <c r="O42" s="366"/>
      <c r="P42" s="363"/>
      <c r="Q42" s="363"/>
      <c r="R42" s="365"/>
      <c r="S42" s="365"/>
      <c r="T42" s="219"/>
      <c r="U42" s="219"/>
    </row>
    <row customHeight="1" ht="12.75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9"/>
      <c r="U43" s="219"/>
    </row>
  </sheetData>
  <sheetProtection formatCells="0" formatColumns="0" formatRows="0" insertRows="0" insertColumns="0" insertHyperlinks="0" deleteColumns="0" deleteRows="0" sort="0" autoFilter="0" pivotTables="0"/>
  <mergeCells count="35">
    <mergeCell ref="B2:S2"/>
    <mergeCell ref="B3:D3"/>
    <mergeCell ref="G3:H3"/>
    <mergeCell ref="Q3:S3"/>
    <mergeCell ref="C4:D4"/>
    <mergeCell ref="E4:G4"/>
    <mergeCell ref="H4:J4"/>
    <mergeCell ref="K4:M4"/>
    <mergeCell ref="N4:P4"/>
    <mergeCell ref="Q4:S4"/>
    <mergeCell ref="C11:D11"/>
    <mergeCell ref="E11:F11"/>
    <mergeCell ref="G11:H11"/>
    <mergeCell ref="I11:K11"/>
    <mergeCell ref="L11:M11"/>
    <mergeCell ref="N11:P11"/>
    <mergeCell ref="Q11:R11"/>
    <mergeCell ref="L12:M12"/>
    <mergeCell ref="Q17:R17"/>
    <mergeCell ref="B21:D21"/>
    <mergeCell ref="E21:G21"/>
    <mergeCell ref="H21:K21"/>
    <mergeCell ref="L21:N21"/>
    <mergeCell ref="O21:S21"/>
    <mergeCell ref="O22:P22"/>
    <mergeCell ref="B33:D33"/>
    <mergeCell ref="B41:B42"/>
    <mergeCell ref="H41:H42"/>
    <mergeCell ref="C41:D42"/>
    <mergeCell ref="I41:J42"/>
    <mergeCell ref="O23:P27"/>
    <mergeCell ref="O28:P30"/>
    <mergeCell ref="P41:Q42"/>
    <mergeCell ref="R41:S42"/>
    <mergeCell ref="O31:S40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7F5E31-C678-D947-F4FF-.164BFAC567D}" mc:Ignorable="x14ac xr xr2 xr3">
  <dimension ref="A1:U60"/>
  <sheetViews>
    <sheetView defaultGridColor="0" colorId="31" topLeftCell="A16" workbookViewId="0">
      <selection activeCell="B20" sqref="B20"/>
    </sheetView>
  </sheetViews>
  <sheetFormatPr defaultColWidth="9.00390625" customHeight="1" defaultRowHeight="15"/>
  <cols>
    <col min="11" max="11" style="66" width="11.25390625" customWidth="1"/>
  </cols>
  <sheetData>
    <row customHeight="1" ht="15.75">
      <c r="A1" s="67" t="s">
        <v>4</v>
      </c>
      <c r="B1" s="68" t="s">
        <v>5</v>
      </c>
      <c r="C1" s="68"/>
      <c r="D1" s="237" t="s">
        <v>6</v>
      </c>
      <c r="E1" s="237"/>
      <c r="F1" s="237"/>
      <c r="G1" s="237" t="s">
        <v>7</v>
      </c>
      <c r="H1" s="237"/>
      <c r="I1" s="237"/>
      <c r="J1" s="237" t="s">
        <v>8</v>
      </c>
      <c r="K1" s="237"/>
      <c r="L1" s="237"/>
      <c r="M1" s="113" t="s">
        <v>9</v>
      </c>
      <c r="N1" s="113"/>
      <c r="O1" s="113"/>
      <c r="P1" s="113" t="s">
        <v>10</v>
      </c>
      <c r="Q1" s="113"/>
      <c r="R1" s="127"/>
      <c r="S1" s="367" t="s">
        <v>143</v>
      </c>
      <c r="T1" s="367" t="s">
        <v>144</v>
      </c>
      <c r="U1" s="367" t="s">
        <v>145</v>
      </c>
    </row>
    <row customHeight="1" ht="15">
      <c r="A2" s="70" t="s">
        <v>11</v>
      </c>
      <c r="B2" s="71" t="s">
        <v>12</v>
      </c>
      <c r="C2" s="242" t="s">
        <v>13</v>
      </c>
      <c r="D2" s="71" t="s">
        <v>11</v>
      </c>
      <c r="E2" s="71" t="s">
        <v>12</v>
      </c>
      <c r="F2" s="242" t="s">
        <v>13</v>
      </c>
      <c r="G2" s="71" t="s">
        <v>11</v>
      </c>
      <c r="H2" s="71" t="s">
        <v>12</v>
      </c>
      <c r="I2" s="71" t="s">
        <v>13</v>
      </c>
      <c r="J2" s="242" t="s">
        <v>11</v>
      </c>
      <c r="K2" s="242" t="s">
        <v>12</v>
      </c>
      <c r="L2" s="242" t="s">
        <v>13</v>
      </c>
      <c r="M2" s="114" t="s">
        <v>11</v>
      </c>
      <c r="N2" s="114" t="s">
        <v>12</v>
      </c>
      <c r="O2" s="114" t="s">
        <v>13</v>
      </c>
      <c r="P2" s="244" t="s">
        <v>11</v>
      </c>
      <c r="Q2" s="244" t="s">
        <v>12</v>
      </c>
      <c r="R2" s="245" t="s">
        <v>13</v>
      </c>
      <c r="S2" s="219"/>
      <c r="T2" s="219"/>
      <c r="U2" s="219"/>
    </row>
    <row customHeight="1" ht="15">
      <c r="A3" s="73" t="s">
        <v>14</v>
      </c>
      <c r="B3" s="368">
        <v>4280</v>
      </c>
      <c r="C3" s="369"/>
      <c r="D3" s="64" t="s">
        <v>14</v>
      </c>
      <c r="E3" s="367">
        <v>2156</v>
      </c>
      <c r="F3" s="248"/>
      <c r="G3" s="250" t="s">
        <v>14</v>
      </c>
      <c r="H3" s="368">
        <v>559</v>
      </c>
      <c r="I3" s="248"/>
      <c r="J3" s="250" t="s">
        <v>14</v>
      </c>
      <c r="K3" s="370">
        <v>4135</v>
      </c>
      <c r="L3" s="371">
        <v>4135</v>
      </c>
      <c r="M3" s="116" t="s">
        <v>14</v>
      </c>
      <c r="N3" s="371">
        <v>4871</v>
      </c>
      <c r="O3" s="117"/>
      <c r="P3" s="250" t="s">
        <v>15</v>
      </c>
      <c r="Q3" s="371">
        <v>995</v>
      </c>
      <c r="R3" s="371">
        <v>0.0001</v>
      </c>
      <c r="S3" s="367"/>
      <c r="T3" s="367"/>
      <c r="U3" s="219"/>
    </row>
    <row customHeight="1" ht="16.5">
      <c r="A4" s="73" t="s">
        <v>16</v>
      </c>
      <c r="B4" s="368">
        <v>2808</v>
      </c>
      <c r="C4" s="369"/>
      <c r="D4" s="64" t="s">
        <v>17</v>
      </c>
      <c r="E4" s="367">
        <v>1785</v>
      </c>
      <c r="F4" s="248"/>
      <c r="G4" s="250" t="s">
        <v>18</v>
      </c>
      <c r="H4" s="367">
        <v>183</v>
      </c>
      <c r="I4" s="248"/>
      <c r="J4" s="250" t="s">
        <v>19</v>
      </c>
      <c r="K4" s="370">
        <v>4106</v>
      </c>
      <c r="L4" s="117"/>
      <c r="M4" s="116" t="s">
        <v>20</v>
      </c>
      <c r="N4" s="371">
        <v>4620</v>
      </c>
      <c r="O4" s="117"/>
      <c r="P4" s="250" t="s">
        <v>21</v>
      </c>
      <c r="Q4" s="371">
        <v>226</v>
      </c>
      <c r="R4" s="256"/>
      <c r="S4" s="219"/>
      <c r="T4" s="219"/>
      <c r="U4" s="219"/>
    </row>
    <row customHeight="1" ht="16.5">
      <c r="A5" s="73" t="s">
        <v>22</v>
      </c>
      <c r="B5" s="368">
        <v>559</v>
      </c>
      <c r="C5" s="248"/>
      <c r="D5" s="64" t="s">
        <v>23</v>
      </c>
      <c r="E5" s="367">
        <v>379</v>
      </c>
      <c r="F5" s="248"/>
      <c r="G5" s="250" t="s">
        <v>24</v>
      </c>
      <c r="H5" s="367">
        <v>373</v>
      </c>
      <c r="I5" s="248"/>
      <c r="J5" s="250"/>
      <c r="K5" s="248"/>
      <c r="L5" s="116"/>
      <c r="M5" s="116" t="s">
        <v>23</v>
      </c>
      <c r="N5" s="371">
        <v>138</v>
      </c>
      <c r="O5" s="117"/>
      <c r="P5" s="250" t="s">
        <v>25</v>
      </c>
      <c r="Q5" s="371">
        <v>604</v>
      </c>
      <c r="R5" s="256"/>
      <c r="S5" s="219"/>
      <c r="T5" s="219"/>
      <c r="U5" s="219"/>
    </row>
    <row customHeight="1" ht="15">
      <c r="A6" s="73" t="s">
        <v>26</v>
      </c>
      <c r="B6" s="368">
        <v>785</v>
      </c>
      <c r="C6" s="248"/>
      <c r="D6" s="250" t="s">
        <v>27</v>
      </c>
      <c r="E6" s="367">
        <v>125</v>
      </c>
      <c r="F6" s="248"/>
      <c r="G6" s="250"/>
      <c r="H6" s="250"/>
      <c r="I6" s="248"/>
      <c r="J6" s="64"/>
      <c r="K6" s="85"/>
      <c r="L6" s="248"/>
      <c r="M6" s="248" t="s">
        <v>28</v>
      </c>
      <c r="N6" s="371">
        <v>79</v>
      </c>
      <c r="O6" s="117"/>
      <c r="P6" s="258" t="s">
        <v>29</v>
      </c>
      <c r="Q6" s="371">
        <v>141</v>
      </c>
      <c r="R6" s="256"/>
      <c r="S6" s="219"/>
      <c r="T6" s="219"/>
      <c r="U6" s="219"/>
    </row>
    <row customHeight="1" ht="15.75">
      <c r="A7" s="77" t="s">
        <v>27</v>
      </c>
      <c r="B7" s="368">
        <v>212</v>
      </c>
      <c r="C7" s="285"/>
      <c r="D7" s="261"/>
      <c r="E7" s="261"/>
      <c r="F7" s="262"/>
      <c r="G7" s="261"/>
      <c r="H7" s="261"/>
      <c r="I7" s="262"/>
      <c r="J7" s="91" t="s">
        <v>30</v>
      </c>
      <c r="K7" s="92"/>
      <c r="L7" s="262"/>
      <c r="M7" s="262"/>
      <c r="N7" s="91"/>
      <c r="O7" s="92"/>
      <c r="P7" s="261"/>
      <c r="Q7" s="262"/>
      <c r="R7" s="265"/>
      <c r="S7" s="219"/>
      <c r="T7" s="219"/>
      <c r="U7" s="219"/>
    </row>
    <row customHeight="1" ht="15.75">
      <c r="A8" s="81" t="s">
        <v>4</v>
      </c>
      <c r="B8" s="82" t="s">
        <v>31</v>
      </c>
      <c r="C8" s="82"/>
      <c r="D8" s="83" t="s">
        <v>32</v>
      </c>
      <c r="E8" s="83"/>
      <c r="F8" s="83" t="s">
        <v>33</v>
      </c>
      <c r="G8" s="83"/>
      <c r="H8" s="83" t="s">
        <v>34</v>
      </c>
      <c r="I8" s="83"/>
      <c r="J8" s="83"/>
      <c r="K8" s="83" t="s">
        <v>35</v>
      </c>
      <c r="L8" s="83"/>
      <c r="M8" s="118" t="s">
        <v>36</v>
      </c>
      <c r="N8" s="118"/>
      <c r="O8" s="118"/>
      <c r="P8" s="83" t="s">
        <v>37</v>
      </c>
      <c r="Q8" s="83"/>
      <c r="R8" s="269" t="s">
        <v>38</v>
      </c>
      <c r="S8" s="219"/>
      <c r="T8" s="219"/>
      <c r="U8" s="219"/>
    </row>
    <row customHeight="1" ht="15">
      <c r="A9" s="70" t="s">
        <v>11</v>
      </c>
      <c r="B9" s="71" t="s">
        <v>12</v>
      </c>
      <c r="C9" s="71" t="s">
        <v>13</v>
      </c>
      <c r="D9" s="71" t="s">
        <v>12</v>
      </c>
      <c r="E9" s="71" t="s">
        <v>13</v>
      </c>
      <c r="F9" s="71" t="s">
        <v>12</v>
      </c>
      <c r="G9" s="71" t="s">
        <v>13</v>
      </c>
      <c r="H9" s="71" t="s">
        <v>11</v>
      </c>
      <c r="I9" s="71" t="s">
        <v>12</v>
      </c>
      <c r="J9" s="71" t="s">
        <v>13</v>
      </c>
      <c r="K9" s="71" t="s">
        <v>39</v>
      </c>
      <c r="L9" s="71"/>
      <c r="M9" s="244" t="s">
        <v>11</v>
      </c>
      <c r="N9" s="244" t="s">
        <v>12</v>
      </c>
      <c r="O9" s="242" t="s">
        <v>13</v>
      </c>
      <c r="P9" s="242" t="s">
        <v>11</v>
      </c>
      <c r="Q9" s="242" t="s">
        <v>12</v>
      </c>
      <c r="R9" s="245" t="s">
        <v>40</v>
      </c>
      <c r="S9" s="219"/>
      <c r="T9" s="219"/>
      <c r="U9" s="219"/>
    </row>
    <row customHeight="1" ht="15">
      <c r="A10" s="270" t="s">
        <v>15</v>
      </c>
      <c r="B10" s="64"/>
      <c r="C10" s="85"/>
      <c r="D10" s="64"/>
      <c r="E10" s="85"/>
      <c r="F10" s="86"/>
      <c r="G10" s="85"/>
      <c r="H10" s="64" t="s">
        <v>15</v>
      </c>
      <c r="I10" s="372">
        <v>1730</v>
      </c>
      <c r="J10" s="85"/>
      <c r="K10" s="64" t="s">
        <v>15</v>
      </c>
      <c r="L10" s="367">
        <v>627</v>
      </c>
      <c r="M10" s="250" t="s">
        <v>15</v>
      </c>
      <c r="N10" s="250"/>
      <c r="O10" s="372">
        <v>1632</v>
      </c>
      <c r="P10" s="372">
        <v>125</v>
      </c>
      <c r="Q10" s="372">
        <v>1736</v>
      </c>
      <c r="R10" s="255"/>
      <c r="S10" s="219"/>
      <c r="T10" s="219"/>
      <c r="U10" s="219"/>
    </row>
    <row customHeight="1" ht="15">
      <c r="A11" s="73" t="s">
        <v>41</v>
      </c>
      <c r="B11" s="373">
        <v>957</v>
      </c>
      <c r="C11" s="85"/>
      <c r="D11" s="374">
        <v>981</v>
      </c>
      <c r="E11" s="85"/>
      <c r="F11" s="86"/>
      <c r="G11" s="85"/>
      <c r="H11" s="64" t="s">
        <v>42</v>
      </c>
      <c r="I11" s="372">
        <v>465</v>
      </c>
      <c r="J11" s="248"/>
      <c r="K11" s="64" t="s">
        <v>43</v>
      </c>
      <c r="L11" s="375">
        <v>592</v>
      </c>
      <c r="M11" s="250" t="s">
        <v>21</v>
      </c>
      <c r="N11" s="376">
        <v>449</v>
      </c>
      <c r="O11" s="219"/>
      <c r="P11" s="82" t="s">
        <v>44</v>
      </c>
      <c r="Q11" s="82" t="s">
        <v>45</v>
      </c>
      <c r="R11" s="132"/>
      <c r="S11" s="219"/>
      <c r="T11" s="219"/>
      <c r="U11" s="219"/>
    </row>
    <row customHeight="1" ht="15">
      <c r="A12" s="73" t="s">
        <v>46</v>
      </c>
      <c r="B12" s="373">
        <v>184</v>
      </c>
      <c r="C12" s="85"/>
      <c r="D12" s="377"/>
      <c r="E12" s="85"/>
      <c r="F12" s="86"/>
      <c r="G12" s="85"/>
      <c r="H12" s="64" t="s">
        <v>47</v>
      </c>
      <c r="I12" s="372">
        <v>217</v>
      </c>
      <c r="J12" s="248"/>
      <c r="K12" s="64" t="s">
        <v>48</v>
      </c>
      <c r="L12" s="248"/>
      <c r="M12" s="250" t="s">
        <v>49</v>
      </c>
      <c r="N12" s="376">
        <v>311</v>
      </c>
      <c r="O12" s="248"/>
      <c r="P12" s="250" t="s">
        <v>12</v>
      </c>
      <c r="Q12" s="250" t="s">
        <v>11</v>
      </c>
      <c r="R12" s="255"/>
      <c r="S12" s="219"/>
      <c r="T12" s="219"/>
      <c r="U12" s="219"/>
    </row>
    <row customHeight="1" ht="15">
      <c r="A13" s="73" t="s">
        <v>50</v>
      </c>
      <c r="B13" s="373">
        <v>241</v>
      </c>
      <c r="C13" s="85"/>
      <c r="D13" s="374">
        <v>62</v>
      </c>
      <c r="E13" s="85"/>
      <c r="F13" s="86"/>
      <c r="G13" s="85"/>
      <c r="H13" s="64" t="s">
        <v>51</v>
      </c>
      <c r="I13" s="372">
        <v>993</v>
      </c>
      <c r="J13" s="248"/>
      <c r="K13" s="248"/>
      <c r="L13" s="250"/>
      <c r="M13" s="250" t="s">
        <v>47</v>
      </c>
      <c r="N13" s="376">
        <v>304</v>
      </c>
      <c r="O13" s="248"/>
      <c r="P13" s="376">
        <v>0</v>
      </c>
      <c r="Q13" s="376">
        <v>0</v>
      </c>
      <c r="R13" s="255"/>
      <c r="S13" s="219"/>
      <c r="T13" s="219"/>
      <c r="U13" s="219"/>
    </row>
    <row customHeight="1" ht="15.75">
      <c r="A14" s="73" t="s">
        <v>52</v>
      </c>
      <c r="B14" s="372">
        <v>671</v>
      </c>
      <c r="C14" s="248"/>
      <c r="D14" s="377">
        <v>164</v>
      </c>
      <c r="E14" s="85"/>
      <c r="F14" s="86"/>
      <c r="G14" s="85"/>
      <c r="H14" s="64" t="s">
        <v>53</v>
      </c>
      <c r="I14" s="372">
        <v>17</v>
      </c>
      <c r="J14" s="248"/>
      <c r="K14" s="85"/>
      <c r="L14" s="250"/>
      <c r="M14" s="250" t="s">
        <v>54</v>
      </c>
      <c r="N14" s="376">
        <v>637</v>
      </c>
      <c r="O14" s="248"/>
      <c r="P14" s="280" t="s">
        <v>55</v>
      </c>
      <c r="Q14" s="280"/>
      <c r="R14" s="281"/>
      <c r="S14" s="219"/>
      <c r="T14" s="219"/>
      <c r="U14" s="219"/>
    </row>
    <row customHeight="1" ht="15">
      <c r="A15" s="73" t="s">
        <v>56</v>
      </c>
      <c r="B15" s="372">
        <v>697</v>
      </c>
      <c r="C15" s="248"/>
      <c r="D15" s="373">
        <v>870</v>
      </c>
      <c r="E15" s="85"/>
      <c r="F15" s="86"/>
      <c r="G15" s="85"/>
      <c r="H15" s="64"/>
      <c r="I15" s="248"/>
      <c r="J15" s="64"/>
      <c r="K15" s="85"/>
      <c r="L15" s="250"/>
      <c r="M15" s="250" t="s">
        <v>29</v>
      </c>
      <c r="N15" s="372">
        <v>164</v>
      </c>
      <c r="O15" s="248"/>
      <c r="P15" s="242" t="s">
        <v>11</v>
      </c>
      <c r="Q15" s="242" t="s">
        <v>12</v>
      </c>
      <c r="R15" s="255"/>
      <c r="S15" s="219"/>
      <c r="T15" s="219"/>
      <c r="U15" s="219"/>
    </row>
    <row customHeight="1" ht="15">
      <c r="A16" s="73"/>
      <c r="B16" s="64"/>
      <c r="C16" s="248"/>
      <c r="D16" s="64"/>
      <c r="E16" s="248"/>
      <c r="F16" s="86"/>
      <c r="G16" s="85"/>
      <c r="H16" s="64"/>
      <c r="I16" s="248"/>
      <c r="J16" s="64"/>
      <c r="K16" s="85" t="s">
        <v>57</v>
      </c>
      <c r="L16" s="250"/>
      <c r="M16" s="250" t="s">
        <v>58</v>
      </c>
      <c r="N16" s="378">
        <v>928</v>
      </c>
      <c r="O16" s="248"/>
      <c r="P16" s="376">
        <v>58.9</v>
      </c>
      <c r="Q16" s="376">
        <v>57.1</v>
      </c>
      <c r="R16" s="255"/>
      <c r="S16" s="219"/>
      <c r="T16" s="219"/>
      <c r="U16" s="219"/>
    </row>
    <row customHeight="1" ht="15.75">
      <c r="A17" s="283"/>
      <c r="B17" s="91"/>
      <c r="C17" s="92"/>
      <c r="D17" s="261"/>
      <c r="E17" s="91"/>
      <c r="F17" s="92"/>
      <c r="G17" s="286"/>
      <c r="H17" s="94"/>
      <c r="I17" s="123"/>
      <c r="J17" s="286"/>
      <c r="K17" s="123"/>
      <c r="L17" s="286"/>
      <c r="M17" s="286" t="s">
        <v>59</v>
      </c>
      <c r="N17" s="372">
        <v>352</v>
      </c>
      <c r="O17" s="285"/>
      <c r="P17" s="286"/>
      <c r="Q17" s="261"/>
      <c r="R17" s="381"/>
      <c r="S17" s="219"/>
      <c r="T17" s="219"/>
      <c r="U17" s="219"/>
    </row>
    <row customHeight="1" ht="15">
      <c r="A18" s="219"/>
      <c r="B18" s="219"/>
      <c r="C18" s="219"/>
      <c r="D18" s="219"/>
      <c r="E18" s="219"/>
      <c r="F18" s="219"/>
      <c r="G18" s="382" t="s">
        <v>62</v>
      </c>
      <c r="H18" s="382"/>
      <c r="I18" s="382"/>
      <c r="J18" s="382"/>
      <c r="K18" s="382" t="s">
        <v>63</v>
      </c>
      <c r="L18" s="382"/>
      <c r="M18" s="382"/>
      <c r="N18" s="219"/>
      <c r="O18" s="383"/>
      <c r="P18" s="383"/>
      <c r="Q18" s="219"/>
      <c r="R18" s="219"/>
      <c r="S18" s="219"/>
      <c r="T18" s="219"/>
      <c r="U18" s="219"/>
    </row>
    <row customHeight="1" ht="15">
      <c r="A19" s="219"/>
      <c r="B19" s="219"/>
      <c r="C19" s="219" t="s">
        <v>146</v>
      </c>
      <c r="D19" s="219"/>
      <c r="E19" s="219"/>
      <c r="F19" s="219"/>
      <c r="G19" s="382" t="s">
        <v>71</v>
      </c>
      <c r="H19" s="382" t="s">
        <v>72</v>
      </c>
      <c r="I19" s="382" t="s">
        <v>73</v>
      </c>
      <c r="J19" s="382" t="s">
        <v>74</v>
      </c>
      <c r="K19" s="382" t="s">
        <v>75</v>
      </c>
      <c r="L19" s="382" t="s">
        <v>76</v>
      </c>
      <c r="M19" s="382" t="s">
        <v>74</v>
      </c>
      <c r="N19" s="219" t="s">
        <v>147</v>
      </c>
      <c r="O19" s="219"/>
      <c r="P19" s="219"/>
      <c r="Q19" s="219"/>
      <c r="R19" s="219"/>
      <c r="S19" s="219"/>
      <c r="T19" s="219"/>
      <c r="U19" s="219"/>
    </row>
    <row customHeight="1" ht="15">
      <c r="A20" s="219"/>
      <c r="B20" s="384"/>
      <c r="C20" s="219"/>
      <c r="D20" s="219"/>
      <c r="E20" s="219"/>
      <c r="F20" s="219"/>
      <c r="G20" s="382" t="s">
        <v>83</v>
      </c>
      <c r="H20" s="382"/>
      <c r="I20" s="219"/>
      <c r="J20" s="382"/>
      <c r="K20" s="382" t="s">
        <v>82</v>
      </c>
      <c r="L20" s="385">
        <v>3697.715</v>
      </c>
      <c r="M20" s="385">
        <v>1481.002</v>
      </c>
      <c r="N20" s="385">
        <v>3585.024</v>
      </c>
      <c r="O20" s="385">
        <v>1457.117</v>
      </c>
      <c r="P20" s="385">
        <v>-3</v>
      </c>
      <c r="Q20" s="385">
        <v>398.823</v>
      </c>
      <c r="R20" s="219"/>
      <c r="S20" s="219"/>
      <c r="T20" s="219"/>
      <c r="U20" s="219"/>
    </row>
    <row customHeight="1" ht="15">
      <c r="A21" s="344" t="s">
        <v>125</v>
      </c>
      <c r="B21" s="345"/>
      <c r="C21" s="345"/>
      <c r="D21" s="219"/>
      <c r="E21" s="219"/>
      <c r="F21" s="219"/>
      <c r="G21" s="382" t="s">
        <v>148</v>
      </c>
      <c r="H21" s="385">
        <v>1313.494</v>
      </c>
      <c r="I21" s="385">
        <v>555.456</v>
      </c>
      <c r="J21" s="385"/>
      <c r="K21" s="382" t="s">
        <v>86</v>
      </c>
      <c r="L21" s="385">
        <v>2806.55</v>
      </c>
      <c r="M21" s="385">
        <v>1863.968</v>
      </c>
      <c r="N21" s="385">
        <v>3259.345</v>
      </c>
      <c r="O21" s="385"/>
      <c r="P21" s="219"/>
      <c r="Q21" s="219"/>
      <c r="R21" s="219"/>
      <c r="S21" s="219"/>
      <c r="T21" s="219"/>
      <c r="U21" s="219"/>
    </row>
    <row customHeight="1" ht="15">
      <c r="A22" s="347" t="s">
        <v>118</v>
      </c>
      <c r="B22" s="384">
        <v>67</v>
      </c>
      <c r="C22" s="335"/>
      <c r="D22" s="385"/>
      <c r="E22" s="219"/>
      <c r="F22" s="219"/>
      <c r="G22" s="382" t="s">
        <v>25</v>
      </c>
      <c r="H22" s="385">
        <v>1978.574</v>
      </c>
      <c r="I22" s="385">
        <v>2538.182</v>
      </c>
      <c r="J22" s="385">
        <v>1253.533</v>
      </c>
      <c r="K22" s="382" t="s">
        <v>91</v>
      </c>
      <c r="L22" s="385">
        <v>504.24</v>
      </c>
      <c r="M22" s="385">
        <v>497.529</v>
      </c>
      <c r="N22" s="385">
        <v>557.649</v>
      </c>
      <c r="O22" s="377"/>
      <c r="P22" s="377"/>
      <c r="Q22" s="219"/>
      <c r="R22" s="219"/>
      <c r="S22" s="219"/>
      <c r="T22" s="219"/>
      <c r="U22" s="219"/>
    </row>
    <row customHeight="1" ht="15">
      <c r="A23" s="347" t="s">
        <v>130</v>
      </c>
      <c r="B23" s="384">
        <v>197.8</v>
      </c>
      <c r="C23" s="64"/>
      <c r="D23" s="219"/>
      <c r="E23" s="219"/>
      <c r="F23" s="219"/>
      <c r="G23" s="382" t="s">
        <v>149</v>
      </c>
      <c r="H23" s="385">
        <v>870.287</v>
      </c>
      <c r="I23" s="385">
        <v>706.335</v>
      </c>
      <c r="J23" s="385"/>
      <c r="K23" s="382" t="s">
        <v>95</v>
      </c>
      <c r="L23" s="385">
        <v>431.536</v>
      </c>
      <c r="M23" s="385">
        <v>1191.619</v>
      </c>
      <c r="N23" s="385">
        <v>457.584</v>
      </c>
      <c r="O23" s="377"/>
      <c r="P23" s="377"/>
      <c r="Q23" s="219"/>
      <c r="R23" s="219"/>
      <c r="S23" s="219"/>
      <c r="T23" s="219"/>
      <c r="U23" s="219"/>
    </row>
    <row customHeight="1" ht="15">
      <c r="A24" s="349" t="s">
        <v>133</v>
      </c>
      <c r="B24" s="386">
        <v>224.72</v>
      </c>
      <c r="C24" s="64"/>
      <c r="D24" s="219"/>
      <c r="E24" s="219"/>
      <c r="F24" s="219"/>
      <c r="G24" s="382" t="s">
        <v>101</v>
      </c>
      <c r="H24" s="382"/>
      <c r="I24" s="255"/>
      <c r="J24" s="382"/>
      <c r="K24" s="382" t="s">
        <v>103</v>
      </c>
      <c r="L24" s="385">
        <v>395.157</v>
      </c>
      <c r="M24" s="385">
        <v>448.214</v>
      </c>
      <c r="N24" s="385">
        <v>580.406</v>
      </c>
      <c r="O24" s="385">
        <v>558.238</v>
      </c>
      <c r="P24" s="377"/>
      <c r="Q24" s="219"/>
      <c r="R24" s="219"/>
      <c r="S24" s="219"/>
      <c r="T24" s="219"/>
      <c r="U24" s="219"/>
    </row>
    <row customHeight="1" ht="15">
      <c r="A25" s="349" t="s">
        <v>135</v>
      </c>
      <c r="B25" s="387"/>
      <c r="C25" s="250"/>
      <c r="D25" s="219"/>
      <c r="E25" s="219"/>
      <c r="F25" s="219"/>
      <c r="G25" s="388" t="s">
        <v>122</v>
      </c>
      <c r="H25" s="382"/>
      <c r="I25" s="255"/>
      <c r="J25" s="382"/>
      <c r="K25" s="382" t="s">
        <v>108</v>
      </c>
      <c r="L25" s="385">
        <v>388.646</v>
      </c>
      <c r="M25" s="385">
        <v>539.357</v>
      </c>
      <c r="N25" s="385">
        <v>270.683</v>
      </c>
      <c r="O25" s="385">
        <v>128.015</v>
      </c>
      <c r="P25" s="385">
        <v>338.395</v>
      </c>
      <c r="Q25" s="385">
        <v>225.731</v>
      </c>
      <c r="R25" s="219"/>
      <c r="S25" s="219"/>
      <c r="T25" s="219"/>
      <c r="U25" s="219"/>
    </row>
    <row customHeight="1" ht="15">
      <c r="A26" s="105" t="s">
        <v>65</v>
      </c>
      <c r="B26" s="52" t="s">
        <v>66</v>
      </c>
      <c r="C26" s="52" t="s">
        <v>67</v>
      </c>
      <c r="D26" s="219"/>
      <c r="E26" s="219"/>
      <c r="F26" s="219"/>
      <c r="G26" s="382" t="s">
        <v>113</v>
      </c>
      <c r="H26" s="382"/>
      <c r="I26" s="382"/>
      <c r="J26" s="382"/>
      <c r="K26" s="382" t="s">
        <v>114</v>
      </c>
      <c r="L26" s="385">
        <v>428.619</v>
      </c>
      <c r="M26" s="385">
        <v>64.923</v>
      </c>
      <c r="N26" s="385">
        <v>399.361</v>
      </c>
      <c r="O26" s="377"/>
      <c r="P26" s="377"/>
      <c r="Q26" s="219"/>
      <c r="R26" s="219"/>
      <c r="S26" s="219"/>
      <c r="T26" s="219"/>
      <c r="U26" s="219"/>
    </row>
    <row customHeight="1" ht="15">
      <c r="A27" s="106" t="s">
        <v>81</v>
      </c>
      <c r="B27" s="384">
        <v>667.36</v>
      </c>
      <c r="C27" s="107"/>
      <c r="D27" s="219"/>
      <c r="E27" s="219"/>
      <c r="F27" s="219"/>
      <c r="G27" s="382"/>
      <c r="H27" s="382"/>
      <c r="I27" s="382">
        <v>27.266</v>
      </c>
      <c r="J27" s="382"/>
      <c r="K27" s="382" t="s">
        <v>150</v>
      </c>
      <c r="L27" s="385">
        <v>1458.18</v>
      </c>
      <c r="M27" s="385">
        <v>966.887</v>
      </c>
      <c r="N27" s="377"/>
      <c r="O27" s="377"/>
      <c r="P27" s="377"/>
      <c r="Q27" s="219"/>
      <c r="R27" s="219"/>
      <c r="S27" s="219"/>
      <c r="T27" s="219"/>
      <c r="U27" s="219"/>
    </row>
    <row customHeight="1" ht="15">
      <c r="A28" s="106" t="s">
        <v>85</v>
      </c>
      <c r="B28" s="108"/>
      <c r="C28" s="107"/>
      <c r="D28" s="384"/>
      <c r="E28" s="219"/>
      <c r="F28" s="219"/>
      <c r="G28" s="382"/>
      <c r="H28" s="382"/>
      <c r="I28" s="382"/>
      <c r="J28" s="382"/>
      <c r="K28" s="382" t="s">
        <v>122</v>
      </c>
      <c r="L28" s="255"/>
      <c r="M28" s="385"/>
      <c r="N28" s="377"/>
      <c r="O28" s="377"/>
      <c r="P28" s="377"/>
      <c r="Q28" s="219"/>
      <c r="R28" s="219"/>
      <c r="S28" s="219"/>
      <c r="T28" s="219"/>
      <c r="U28" s="219"/>
    </row>
    <row customHeight="1" ht="15">
      <c r="A29" s="106" t="s">
        <v>151</v>
      </c>
      <c r="B29" s="108"/>
      <c r="C29" s="107"/>
      <c r="D29" s="219"/>
      <c r="E29" s="219"/>
      <c r="F29" s="219"/>
      <c r="G29" s="382"/>
      <c r="H29" s="382"/>
      <c r="I29" s="382"/>
      <c r="J29" s="382"/>
      <c r="K29" s="382" t="s">
        <v>124</v>
      </c>
      <c r="L29" s="255"/>
      <c r="M29" s="385"/>
      <c r="N29" s="377"/>
      <c r="O29" s="377"/>
      <c r="P29" s="377"/>
      <c r="Q29" s="219"/>
      <c r="R29" s="219"/>
      <c r="S29" s="219"/>
      <c r="T29" s="219"/>
      <c r="U29" s="219"/>
    </row>
    <row customHeight="1" ht="15">
      <c r="A30" s="270" t="s">
        <v>94</v>
      </c>
      <c r="B30" s="391"/>
      <c r="C30" s="386"/>
      <c r="D30" s="219"/>
      <c r="E30" s="219"/>
      <c r="F30" s="219"/>
      <c r="G30" s="382"/>
      <c r="H30" s="382"/>
      <c r="I30" s="382"/>
      <c r="J30" s="382"/>
      <c r="K30" s="382" t="s">
        <v>127</v>
      </c>
      <c r="L30" s="385">
        <v>3692.422</v>
      </c>
      <c r="M30" s="385">
        <v>3702.141</v>
      </c>
      <c r="N30" s="377"/>
      <c r="O30" s="377"/>
      <c r="P30" s="377"/>
      <c r="Q30" s="219"/>
      <c r="R30" s="219"/>
      <c r="S30" s="219"/>
      <c r="T30" s="219"/>
      <c r="U30" s="219"/>
    </row>
    <row customHeight="1" ht="15">
      <c r="A31" s="270" t="s">
        <v>99</v>
      </c>
      <c r="B31" s="384"/>
      <c r="C31" s="110"/>
      <c r="D31" s="219"/>
      <c r="E31" s="219"/>
      <c r="F31" s="219"/>
      <c r="G31" s="382"/>
      <c r="H31" s="382"/>
      <c r="I31" s="382"/>
      <c r="J31" s="382"/>
      <c r="K31" s="382" t="s">
        <v>129</v>
      </c>
      <c r="L31" s="385">
        <v>202.879</v>
      </c>
      <c r="M31" s="385">
        <v>0.335</v>
      </c>
      <c r="N31" s="377"/>
      <c r="O31" s="377"/>
      <c r="P31" s="377"/>
      <c r="Q31" s="219"/>
      <c r="R31" s="219"/>
      <c r="S31" s="219"/>
      <c r="T31" s="219"/>
      <c r="U31" s="219"/>
    </row>
    <row customHeight="1" ht="15">
      <c r="A32" s="325" t="s">
        <v>106</v>
      </c>
      <c r="B32" s="108"/>
      <c r="C32" s="107"/>
      <c r="D32" s="219"/>
      <c r="E32" s="219"/>
      <c r="F32" s="219"/>
      <c r="G32" s="382"/>
      <c r="H32" s="382"/>
      <c r="I32" s="382"/>
      <c r="J32" s="382"/>
      <c r="K32" s="382" t="s">
        <v>132</v>
      </c>
      <c r="L32" s="382">
        <v>6.862</v>
      </c>
      <c r="M32" s="382">
        <v>91.079</v>
      </c>
      <c r="N32" s="377"/>
      <c r="O32" s="377"/>
      <c r="P32" s="377"/>
      <c r="Q32" s="219"/>
      <c r="R32" s="219"/>
      <c r="S32" s="219"/>
      <c r="T32" s="219"/>
      <c r="U32" s="219"/>
    </row>
    <row customHeight="1" ht="15">
      <c r="A33" s="325" t="s">
        <v>111</v>
      </c>
      <c r="B33" s="386"/>
      <c r="C33" s="384">
        <v>219.1</v>
      </c>
      <c r="D33" s="219"/>
      <c r="E33" s="219"/>
      <c r="F33" s="219"/>
      <c r="G33" s="382"/>
      <c r="H33" s="382"/>
      <c r="I33" s="382"/>
      <c r="J33" s="382"/>
      <c r="K33" s="382" t="s">
        <v>152</v>
      </c>
      <c r="L33" s="385">
        <v>1093</v>
      </c>
      <c r="M33" s="385">
        <v>936.676</v>
      </c>
      <c r="N33" s="377"/>
      <c r="O33" s="377"/>
      <c r="P33" s="393"/>
      <c r="Q33" s="219"/>
      <c r="R33" s="219"/>
      <c r="S33" s="219"/>
      <c r="T33" s="219"/>
      <c r="U33" s="219"/>
    </row>
    <row customHeight="1" ht="15">
      <c r="A34" s="270" t="s">
        <v>117</v>
      </c>
      <c r="B34" s="386"/>
      <c r="C34" s="386">
        <v>219.2</v>
      </c>
      <c r="D34" s="219"/>
      <c r="E34" s="219"/>
      <c r="F34" s="219"/>
      <c r="G34" s="382"/>
      <c r="H34" s="382"/>
      <c r="I34" s="382"/>
      <c r="J34" s="382"/>
      <c r="K34" s="382" t="s">
        <v>49</v>
      </c>
      <c r="L34" s="385">
        <v>227.338</v>
      </c>
      <c r="M34" s="385">
        <v>472.15</v>
      </c>
      <c r="N34" s="377"/>
      <c r="O34" s="377"/>
      <c r="P34" s="377"/>
      <c r="Q34" s="219"/>
      <c r="R34" s="219"/>
      <c r="S34" s="219"/>
      <c r="T34" s="219"/>
      <c r="U34" s="219"/>
    </row>
    <row customHeight="1" ht="15">
      <c r="A35" s="270" t="s">
        <v>121</v>
      </c>
      <c r="B35" s="386"/>
      <c r="C35" s="384">
        <v>313.46</v>
      </c>
      <c r="D35" s="219"/>
      <c r="E35" s="219"/>
      <c r="F35" s="219"/>
      <c r="G35" s="382"/>
      <c r="H35" s="382"/>
      <c r="I35" s="382"/>
      <c r="J35" s="382"/>
      <c r="K35" s="382" t="s">
        <v>153</v>
      </c>
      <c r="L35" s="385">
        <v>484.243</v>
      </c>
      <c r="M35" s="385">
        <v>177.359</v>
      </c>
      <c r="N35" s="377">
        <v>492.687</v>
      </c>
      <c r="O35" s="377"/>
      <c r="P35" s="377"/>
      <c r="Q35" s="219"/>
      <c r="R35" s="219"/>
      <c r="S35" s="219"/>
      <c r="T35" s="219"/>
      <c r="U35" s="219"/>
    </row>
    <row customHeight="1" ht="15">
      <c r="A36" s="270" t="s">
        <v>123</v>
      </c>
      <c r="B36" s="386"/>
      <c r="C36" s="386"/>
      <c r="D36" s="219"/>
      <c r="E36" s="219"/>
      <c r="F36" s="219"/>
      <c r="G36" s="382"/>
      <c r="H36" s="382"/>
      <c r="I36" s="382"/>
      <c r="J36" s="382"/>
      <c r="K36" s="382" t="s">
        <v>47</v>
      </c>
      <c r="L36" s="385">
        <v>418.575</v>
      </c>
      <c r="M36" s="377">
        <v>599.054</v>
      </c>
      <c r="N36" s="377"/>
      <c r="O36" s="377"/>
      <c r="P36" s="377"/>
      <c r="Q36" s="219"/>
      <c r="R36" s="219"/>
      <c r="S36" s="219"/>
      <c r="T36" s="219"/>
      <c r="U36" s="219"/>
    </row>
    <row customHeight="1" ht="15">
      <c r="A37" s="219"/>
      <c r="B37" s="219"/>
      <c r="C37" s="219"/>
      <c r="D37" s="219"/>
      <c r="E37" s="219"/>
      <c r="F37" s="219"/>
      <c r="G37" s="382"/>
      <c r="H37" s="382"/>
      <c r="I37" s="382"/>
      <c r="J37" s="382"/>
      <c r="K37" s="382" t="s">
        <v>18</v>
      </c>
      <c r="L37" s="393">
        <v>45.053</v>
      </c>
      <c r="M37" s="393">
        <v>45.202</v>
      </c>
      <c r="N37" s="393">
        <v>181.089</v>
      </c>
      <c r="O37" s="393">
        <v>57.94</v>
      </c>
      <c r="P37" s="377"/>
      <c r="Q37" s="219"/>
      <c r="R37" s="219"/>
      <c r="S37" s="219"/>
      <c r="T37" s="219"/>
      <c r="U37" s="219"/>
    </row>
    <row customHeight="1" ht="15">
      <c r="A38" s="219">
        <v>18237</v>
      </c>
      <c r="B38" s="219"/>
      <c r="C38" s="219"/>
      <c r="D38" s="219"/>
      <c r="E38" s="219"/>
      <c r="F38" s="219"/>
      <c r="G38" s="219"/>
      <c r="H38" s="219"/>
      <c r="I38" s="219"/>
      <c r="J38" s="219"/>
      <c r="K38" s="394"/>
      <c r="L38" s="219"/>
      <c r="M38" s="219"/>
      <c r="N38" s="219"/>
      <c r="O38" s="219"/>
      <c r="P38" s="219"/>
      <c r="Q38" s="219"/>
      <c r="R38" s="219"/>
      <c r="S38" s="219"/>
      <c r="T38" s="219"/>
      <c r="U38" s="219"/>
    </row>
    <row customHeight="1" ht="15">
      <c r="A39" s="219">
        <v>13887</v>
      </c>
      <c r="B39" s="219"/>
      <c r="C39" s="219"/>
      <c r="D39" s="219"/>
      <c r="E39" s="219"/>
      <c r="F39" s="219"/>
      <c r="G39" s="219"/>
      <c r="H39" s="219"/>
      <c r="I39" s="219"/>
      <c r="J39" s="219"/>
      <c r="K39" s="394"/>
      <c r="L39" s="219"/>
      <c r="M39" s="219"/>
      <c r="N39" s="219"/>
      <c r="O39" s="219"/>
      <c r="P39" s="219"/>
      <c r="Q39" s="219"/>
      <c r="R39" s="219"/>
      <c r="S39" s="219"/>
      <c r="T39" s="219"/>
      <c r="U39" s="219"/>
    </row>
    <row customHeight="1" ht="15">
      <c r="A40" s="219">
        <v>6120</v>
      </c>
      <c r="B40" s="219"/>
      <c r="C40" s="219"/>
      <c r="D40" s="219"/>
      <c r="E40" s="219"/>
      <c r="F40" s="219"/>
      <c r="G40" s="219"/>
      <c r="H40" s="219"/>
      <c r="I40" s="255"/>
      <c r="J40" s="219"/>
      <c r="K40" s="394"/>
      <c r="L40" s="219"/>
      <c r="M40" s="219"/>
      <c r="N40" s="219"/>
      <c r="O40" s="219"/>
      <c r="P40" s="219"/>
      <c r="Q40" s="219"/>
      <c r="R40" s="219"/>
      <c r="S40" s="219"/>
      <c r="T40" s="219"/>
      <c r="U40" s="219"/>
    </row>
    <row customHeight="1" ht="15">
      <c r="A41" s="219">
        <v>8303</v>
      </c>
      <c r="B41" s="219"/>
      <c r="C41" s="219"/>
      <c r="D41" s="219"/>
      <c r="E41" s="219"/>
      <c r="F41" s="219"/>
      <c r="G41" s="219"/>
      <c r="H41" s="219"/>
      <c r="I41" s="255"/>
      <c r="J41" s="219"/>
      <c r="K41" s="394"/>
      <c r="L41" s="219"/>
      <c r="M41" s="219"/>
      <c r="N41" s="219"/>
      <c r="O41" s="219"/>
      <c r="P41" s="219"/>
      <c r="Q41" s="219"/>
      <c r="R41" s="219"/>
      <c r="S41" s="219"/>
      <c r="T41" s="219"/>
      <c r="U41" s="219"/>
    </row>
    <row customHeight="1" ht="15">
      <c r="A42" s="219">
        <v>3081</v>
      </c>
      <c r="B42" s="219"/>
      <c r="C42" s="219"/>
      <c r="D42" s="219"/>
      <c r="E42" s="219"/>
      <c r="F42" s="219"/>
      <c r="G42" s="219"/>
      <c r="H42" s="219"/>
      <c r="I42" s="255"/>
      <c r="J42" s="219"/>
      <c r="K42" s="394"/>
      <c r="L42" s="219"/>
      <c r="M42" s="219"/>
      <c r="N42" s="219"/>
      <c r="O42" s="219"/>
      <c r="P42" s="219"/>
      <c r="Q42" s="219"/>
      <c r="R42" s="219"/>
      <c r="S42" s="219"/>
      <c r="T42" s="219"/>
      <c r="U42" s="219"/>
    </row>
    <row customHeight="1" ht="15">
      <c r="A43" s="219">
        <v>3790</v>
      </c>
      <c r="B43" s="219"/>
      <c r="C43" s="219"/>
      <c r="D43" s="219"/>
      <c r="E43" s="219"/>
      <c r="F43" s="219"/>
      <c r="G43" s="219"/>
      <c r="H43" s="219"/>
      <c r="I43" s="255"/>
      <c r="J43" s="219"/>
      <c r="K43" s="394"/>
      <c r="L43" s="219"/>
      <c r="M43" s="219"/>
      <c r="N43" s="219"/>
      <c r="O43" s="219"/>
      <c r="P43" s="219"/>
      <c r="Q43" s="219"/>
      <c r="R43" s="219"/>
      <c r="S43" s="219"/>
      <c r="T43" s="219"/>
      <c r="U43" s="219"/>
    </row>
    <row customHeight="1" ht="15">
      <c r="A44" s="219">
        <v>2245</v>
      </c>
      <c r="B44" s="219"/>
      <c r="C44" s="219"/>
      <c r="D44" s="219"/>
      <c r="E44" s="219"/>
      <c r="F44" s="219"/>
      <c r="G44" s="219"/>
      <c r="H44" s="219"/>
      <c r="I44" s="255"/>
      <c r="J44" s="219"/>
      <c r="K44" s="394"/>
      <c r="L44" s="219"/>
      <c r="M44" s="219"/>
      <c r="N44" s="219"/>
      <c r="O44" s="219"/>
      <c r="P44" s="219"/>
      <c r="Q44" s="219"/>
      <c r="R44" s="219"/>
      <c r="S44" s="219"/>
      <c r="T44" s="219"/>
      <c r="U44" s="219"/>
    </row>
    <row customHeight="1" ht="15">
      <c r="A45" s="219">
        <v>3027</v>
      </c>
      <c r="B45" s="219"/>
      <c r="C45" s="219"/>
      <c r="D45" s="219"/>
      <c r="E45" s="219"/>
      <c r="F45" s="219"/>
      <c r="G45" s="219"/>
      <c r="H45" s="219"/>
      <c r="I45" s="255"/>
      <c r="J45" s="219"/>
      <c r="K45" s="394"/>
      <c r="L45" s="219"/>
      <c r="M45" s="219"/>
      <c r="N45" s="219"/>
      <c r="O45" s="219"/>
      <c r="P45" s="219"/>
      <c r="Q45" s="219"/>
      <c r="R45" s="219"/>
      <c r="S45" s="219"/>
      <c r="T45" s="219"/>
      <c r="U45" s="219"/>
    </row>
    <row customHeight="1" ht="15">
      <c r="A46" s="219" t="s">
        <v>102</v>
      </c>
      <c r="B46" s="219"/>
      <c r="C46" s="219"/>
      <c r="D46" s="219"/>
      <c r="E46" s="219"/>
      <c r="F46" s="219"/>
      <c r="G46" s="219"/>
      <c r="H46" s="219"/>
      <c r="I46" s="255"/>
      <c r="J46" s="219"/>
      <c r="K46" s="394"/>
      <c r="L46" s="219"/>
      <c r="M46" s="219"/>
      <c r="N46" s="219"/>
      <c r="O46" s="219"/>
      <c r="P46" s="219"/>
      <c r="Q46" s="219"/>
      <c r="R46" s="219"/>
      <c r="S46" s="219"/>
      <c r="T46" s="219"/>
      <c r="U46" s="219"/>
    </row>
    <row customHeight="1" ht="15">
      <c r="A47" s="219">
        <v>1000</v>
      </c>
      <c r="B47" s="219"/>
      <c r="C47" s="219"/>
      <c r="D47" s="219"/>
      <c r="E47" s="219"/>
      <c r="F47" s="219"/>
      <c r="G47" s="219"/>
      <c r="H47" s="219"/>
      <c r="I47" s="255"/>
      <c r="J47" s="219"/>
      <c r="K47" s="394"/>
      <c r="L47" s="219"/>
      <c r="M47" s="219"/>
      <c r="N47" s="219"/>
      <c r="O47" s="219"/>
      <c r="P47" s="219"/>
      <c r="Q47" s="219"/>
      <c r="R47" s="219"/>
      <c r="S47" s="219"/>
      <c r="T47" s="219"/>
      <c r="U47" s="219"/>
    </row>
    <row customHeight="1" ht="15">
      <c r="A48" s="219">
        <v>7830</v>
      </c>
      <c r="B48" s="219"/>
      <c r="C48" s="219"/>
      <c r="D48" s="219"/>
      <c r="E48" s="219"/>
      <c r="F48" s="219"/>
      <c r="G48" s="219"/>
      <c r="H48" s="219"/>
      <c r="I48" s="219"/>
      <c r="J48" s="219"/>
      <c r="K48" s="394"/>
      <c r="L48" s="219"/>
      <c r="M48" s="219"/>
      <c r="N48" s="219"/>
      <c r="O48" s="219"/>
      <c r="P48" s="219"/>
      <c r="Q48" s="219"/>
      <c r="R48" s="219"/>
      <c r="S48" s="219"/>
      <c r="T48" s="219"/>
      <c r="U48" s="219"/>
    </row>
    <row customHeight="1" ht="15">
      <c r="A49" s="219">
        <v>820</v>
      </c>
      <c r="B49" s="219"/>
      <c r="C49" s="219"/>
      <c r="D49" s="219"/>
      <c r="E49" s="219"/>
      <c r="F49" s="219"/>
      <c r="G49" s="219"/>
      <c r="H49" s="219"/>
      <c r="I49" s="219"/>
      <c r="J49" s="219"/>
      <c r="K49" s="394"/>
      <c r="L49" s="219"/>
      <c r="M49" s="219"/>
      <c r="N49" s="219"/>
      <c r="O49" s="219"/>
      <c r="P49" s="219"/>
      <c r="Q49" s="219"/>
      <c r="R49" s="219"/>
      <c r="S49" s="219"/>
      <c r="T49" s="219"/>
      <c r="U49" s="219"/>
    </row>
    <row customHeight="1" ht="15">
      <c r="A50" s="219">
        <v>463</v>
      </c>
      <c r="B50" s="219"/>
      <c r="C50" s="219"/>
      <c r="D50" s="219"/>
      <c r="E50" s="219"/>
      <c r="F50" s="219"/>
      <c r="G50" s="219"/>
      <c r="H50" s="219"/>
      <c r="I50" s="219"/>
      <c r="J50" s="219"/>
      <c r="K50" s="394"/>
      <c r="L50" s="219"/>
      <c r="M50" s="219"/>
      <c r="N50" s="219"/>
      <c r="O50" s="219"/>
      <c r="P50" s="219"/>
      <c r="Q50" s="219"/>
      <c r="R50" s="219"/>
      <c r="S50" s="219"/>
      <c r="T50" s="219"/>
      <c r="U50" s="219"/>
    </row>
    <row customHeight="1" ht="15">
      <c r="A51" s="219">
        <v>3099</v>
      </c>
      <c r="B51" s="219"/>
      <c r="C51" s="219"/>
      <c r="D51" s="219"/>
      <c r="E51" s="219"/>
      <c r="F51" s="219"/>
      <c r="G51" s="219"/>
      <c r="H51" s="219"/>
      <c r="I51" s="219"/>
      <c r="J51" s="219"/>
      <c r="K51" s="394"/>
      <c r="L51" s="219"/>
      <c r="M51" s="219"/>
      <c r="N51" s="219"/>
      <c r="O51" s="219"/>
      <c r="P51" s="219"/>
      <c r="Q51" s="219"/>
      <c r="R51" s="219"/>
      <c r="S51" s="219"/>
      <c r="T51" s="219"/>
      <c r="U51" s="219"/>
    </row>
    <row customHeight="1" ht="15">
      <c r="A52" s="219">
        <v>1540</v>
      </c>
      <c r="B52" s="219"/>
      <c r="C52" s="219"/>
      <c r="D52" s="219"/>
      <c r="E52" s="219"/>
      <c r="F52" s="219"/>
      <c r="G52" s="219"/>
      <c r="H52" s="219"/>
      <c r="I52" s="219"/>
      <c r="J52" s="219"/>
      <c r="K52" s="394"/>
      <c r="L52" s="219"/>
      <c r="M52" s="219"/>
      <c r="N52" s="219"/>
      <c r="O52" s="219"/>
      <c r="P52" s="219"/>
      <c r="Q52" s="219"/>
      <c r="R52" s="219"/>
      <c r="S52" s="219"/>
      <c r="T52" s="219"/>
      <c r="U52" s="219"/>
    </row>
    <row customHeight="1" ht="15">
      <c r="A53" s="219">
        <v>2311</v>
      </c>
      <c r="B53" s="219"/>
      <c r="C53" s="219"/>
      <c r="D53" s="219"/>
      <c r="E53" s="219"/>
      <c r="F53" s="219"/>
      <c r="G53" s="219"/>
      <c r="H53" s="219"/>
      <c r="I53" s="219"/>
      <c r="J53" s="219"/>
      <c r="K53" s="394"/>
      <c r="L53" s="219"/>
      <c r="M53" s="219"/>
      <c r="N53" s="219"/>
      <c r="O53" s="219"/>
      <c r="P53" s="219"/>
      <c r="Q53" s="219"/>
      <c r="R53" s="219"/>
      <c r="S53" s="219"/>
      <c r="T53" s="219"/>
      <c r="U53" s="219"/>
    </row>
    <row customHeight="1" ht="15">
      <c r="A54" s="219">
        <v>1371</v>
      </c>
      <c r="B54" s="219"/>
      <c r="C54" s="219"/>
      <c r="D54" s="219"/>
      <c r="E54" s="219"/>
      <c r="F54" s="219"/>
      <c r="G54" s="219"/>
      <c r="H54" s="219"/>
      <c r="I54" s="219"/>
      <c r="J54" s="219"/>
      <c r="K54" s="394"/>
      <c r="L54" s="219"/>
      <c r="M54" s="219"/>
      <c r="N54" s="219"/>
      <c r="O54" s="219"/>
      <c r="P54" s="219"/>
      <c r="Q54" s="219"/>
      <c r="R54" s="219"/>
      <c r="S54" s="219"/>
      <c r="T54" s="219"/>
      <c r="U54" s="219"/>
    </row>
    <row customHeight="1" ht="15">
      <c r="A55" s="219">
        <v>610</v>
      </c>
      <c r="B55" s="219"/>
      <c r="C55" s="219"/>
      <c r="D55" s="219"/>
      <c r="E55" s="219"/>
      <c r="F55" s="219"/>
      <c r="G55" s="219"/>
      <c r="H55" s="219"/>
      <c r="I55" s="219"/>
      <c r="J55" s="219"/>
      <c r="K55" s="394"/>
      <c r="L55" s="219"/>
      <c r="M55" s="219"/>
      <c r="N55" s="219"/>
      <c r="O55" s="219"/>
      <c r="P55" s="219"/>
      <c r="Q55" s="219"/>
      <c r="R55" s="219"/>
      <c r="S55" s="219"/>
      <c r="T55" s="219"/>
      <c r="U55" s="219"/>
    </row>
    <row customHeight="1" ht="15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394"/>
      <c r="L56" s="219"/>
      <c r="M56" s="219"/>
      <c r="N56" s="219"/>
      <c r="O56" s="219"/>
      <c r="P56" s="219"/>
      <c r="Q56" s="219"/>
      <c r="R56" s="219"/>
      <c r="S56" s="219"/>
      <c r="T56" s="219"/>
      <c r="U56" s="219"/>
    </row>
    <row customHeight="1" ht="15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394"/>
      <c r="L57" s="219"/>
      <c r="M57" s="219"/>
      <c r="N57" s="219"/>
      <c r="O57" s="219"/>
      <c r="P57" s="219"/>
      <c r="Q57" s="219"/>
      <c r="R57" s="219"/>
      <c r="S57" s="219"/>
      <c r="T57" s="219"/>
      <c r="U57" s="219"/>
    </row>
    <row customHeight="1" ht="15">
      <c r="A58" s="395" t="s">
        <v>138</v>
      </c>
      <c r="B58" s="219"/>
      <c r="C58" s="219"/>
      <c r="D58" s="219"/>
      <c r="E58" s="219"/>
      <c r="F58" s="219"/>
      <c r="G58" s="219"/>
      <c r="H58" s="219"/>
      <c r="I58" s="219"/>
      <c r="J58" s="219"/>
      <c r="K58" s="394"/>
      <c r="L58" s="219"/>
      <c r="M58" s="219"/>
      <c r="N58" s="219"/>
      <c r="O58" s="219"/>
      <c r="P58" s="219"/>
      <c r="Q58" s="219"/>
      <c r="R58" s="219"/>
      <c r="S58" s="219"/>
      <c r="T58" s="219"/>
      <c r="U58" s="219"/>
    </row>
    <row customHeight="1" ht="15">
      <c r="A59" s="395" t="s">
        <v>154</v>
      </c>
      <c r="B59" s="219"/>
      <c r="C59" s="219"/>
      <c r="D59" s="219"/>
      <c r="E59" s="219"/>
      <c r="F59" s="219"/>
      <c r="G59" s="219"/>
      <c r="H59" s="219"/>
      <c r="I59" s="219"/>
      <c r="J59" s="219"/>
      <c r="K59" s="394"/>
      <c r="L59" s="219"/>
      <c r="M59" s="219"/>
      <c r="N59" s="219"/>
      <c r="O59" s="219"/>
      <c r="P59" s="219"/>
      <c r="Q59" s="219"/>
      <c r="R59" s="219"/>
      <c r="S59" s="219"/>
      <c r="T59" s="219"/>
      <c r="U59" s="219"/>
    </row>
    <row customHeight="1" ht="15">
      <c r="A60" s="395" t="s">
        <v>155</v>
      </c>
      <c r="B60" s="219"/>
      <c r="C60" s="219"/>
      <c r="D60" s="219"/>
      <c r="E60" s="219"/>
      <c r="F60" s="219"/>
      <c r="G60" s="219"/>
      <c r="H60" s="219"/>
      <c r="I60" s="219"/>
      <c r="J60" s="219"/>
      <c r="K60" s="394"/>
      <c r="L60" s="219"/>
      <c r="M60" s="219"/>
      <c r="N60" s="219"/>
      <c r="O60" s="219"/>
      <c r="P60" s="219"/>
      <c r="Q60" s="219"/>
      <c r="R60" s="219"/>
      <c r="S60" s="219"/>
      <c r="T60" s="219"/>
      <c r="U60" s="219"/>
    </row>
  </sheetData>
  <mergeCells count="16">
    <mergeCell ref="B1:C1"/>
    <mergeCell ref="D1:F1"/>
    <mergeCell ref="G1:I1"/>
    <mergeCell ref="J1:L1"/>
    <mergeCell ref="M1:O1"/>
    <mergeCell ref="P1:R1"/>
    <mergeCell ref="B8:C8"/>
    <mergeCell ref="D8:E8"/>
    <mergeCell ref="F8:G8"/>
    <mergeCell ref="H8:J8"/>
    <mergeCell ref="K8:L8"/>
    <mergeCell ref="M8:O8"/>
    <mergeCell ref="P8:Q8"/>
    <mergeCell ref="K9:L9"/>
    <mergeCell ref="P14:Q14"/>
    <mergeCell ref="A21:C21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18B61E-0F58-1BF4-5B58-5C7A0B378D18}" mc:Ignorable="x14ac xr xr2 xr3">
  <dimension ref="A1:J34"/>
  <sheetViews>
    <sheetView topLeftCell="A1" workbookViewId="0">
      <selection activeCell="B2" sqref="B2"/>
    </sheetView>
  </sheetViews>
  <sheetFormatPr defaultColWidth="9.00390625" customHeight="1" defaultRowHeight="15"/>
  <cols>
    <col min="1" max="1" style="403" width="15.125" customWidth="1"/>
    <col min="2" max="2" width="42.00390625" customWidth="1"/>
  </cols>
  <sheetData>
    <row customHeight="1" ht="15">
      <c r="A1" s="297" t="s">
        <v>68</v>
      </c>
      <c r="B1" s="298" t="s">
        <v>69</v>
      </c>
      <c r="C1" s="52" t="s">
        <v>70</v>
      </c>
      <c r="D1" s="219"/>
      <c r="E1" s="219"/>
      <c r="F1" s="219"/>
      <c r="G1" s="219"/>
      <c r="H1" s="219"/>
      <c r="I1" s="219"/>
      <c r="J1" s="219"/>
    </row>
    <row customHeight="1" ht="15">
      <c r="A2" s="250" t="s">
        <v>82</v>
      </c>
      <c r="B2" s="396"/>
      <c r="C2" s="396">
        <v>2296</v>
      </c>
      <c r="D2" s="396">
        <v>671</v>
      </c>
      <c r="E2" s="397">
        <v>354</v>
      </c>
      <c r="F2" s="397">
        <v>39</v>
      </c>
      <c r="G2" s="397">
        <v>92</v>
      </c>
      <c r="H2" s="369"/>
      <c r="I2" s="369"/>
      <c r="J2" s="398"/>
    </row>
    <row customHeight="1" ht="15">
      <c r="A3" s="250"/>
      <c r="B3" s="396"/>
      <c r="C3" s="396"/>
      <c r="D3" s="396">
        <v>718</v>
      </c>
      <c r="E3" s="397"/>
      <c r="F3" s="397">
        <v>326</v>
      </c>
      <c r="G3" s="397">
        <v>152</v>
      </c>
      <c r="H3" s="398"/>
      <c r="I3" s="398"/>
      <c r="J3" s="398"/>
    </row>
    <row customHeight="1" ht="15">
      <c r="A4" s="250"/>
      <c r="B4" s="396">
        <v>397</v>
      </c>
      <c r="C4" s="396">
        <v>43</v>
      </c>
      <c r="D4" s="396"/>
      <c r="E4" s="397"/>
      <c r="F4" s="397"/>
      <c r="G4" s="397"/>
      <c r="H4" s="398"/>
      <c r="I4" s="398"/>
      <c r="J4" s="398"/>
    </row>
    <row customHeight="1" ht="15">
      <c r="A5" s="250"/>
      <c r="B5" s="396"/>
      <c r="C5" s="396"/>
      <c r="D5" s="396"/>
      <c r="E5" s="397"/>
      <c r="F5" s="397">
        <v>620</v>
      </c>
      <c r="G5" s="397"/>
      <c r="H5" s="219"/>
      <c r="I5" s="219"/>
      <c r="J5" s="219"/>
    </row>
    <row customHeight="1" ht="15">
      <c r="A6" s="250" t="s">
        <v>86</v>
      </c>
      <c r="B6" s="396">
        <v>33</v>
      </c>
      <c r="C6" s="396"/>
      <c r="D6" s="396"/>
      <c r="E6" s="397"/>
      <c r="F6" s="397"/>
      <c r="G6" s="397"/>
      <c r="H6" s="398"/>
      <c r="I6" s="398">
        <v>441</v>
      </c>
      <c r="J6" s="398">
        <v>1275</v>
      </c>
    </row>
    <row customHeight="1" ht="15">
      <c r="A7" s="250"/>
      <c r="B7" s="396"/>
      <c r="C7" s="396"/>
      <c r="D7" s="396"/>
      <c r="E7" s="397"/>
      <c r="F7" s="397"/>
      <c r="G7" s="397"/>
      <c r="H7" s="398"/>
      <c r="I7" s="398"/>
      <c r="J7" s="398"/>
    </row>
    <row customHeight="1" ht="15">
      <c r="A8" s="250"/>
      <c r="B8" s="396"/>
      <c r="C8" s="396"/>
      <c r="D8" s="396"/>
      <c r="E8" s="219"/>
      <c r="F8" s="219"/>
      <c r="G8" s="219"/>
      <c r="H8" s="398">
        <v>677</v>
      </c>
      <c r="I8" s="398"/>
      <c r="J8" s="398"/>
    </row>
    <row customHeight="1" ht="15">
      <c r="A9" s="250" t="s">
        <v>91</v>
      </c>
      <c r="B9" s="58"/>
      <c r="C9" s="59"/>
      <c r="D9" s="219"/>
      <c r="E9" s="219"/>
      <c r="F9" s="219"/>
      <c r="G9" s="219"/>
      <c r="H9" s="219"/>
      <c r="I9" s="219"/>
      <c r="J9" s="219"/>
    </row>
    <row customHeight="1" ht="15">
      <c r="A10" s="250" t="s">
        <v>95</v>
      </c>
      <c r="B10" s="58"/>
      <c r="C10" s="59"/>
      <c r="D10" s="219"/>
      <c r="E10" s="219"/>
      <c r="F10" s="219"/>
      <c r="G10" s="219"/>
      <c r="H10" s="219"/>
      <c r="I10" s="219"/>
      <c r="J10" s="219"/>
    </row>
    <row customHeight="1" ht="15">
      <c r="A11" s="258" t="s">
        <v>100</v>
      </c>
      <c r="B11" s="372">
        <v>1632</v>
      </c>
      <c r="C11" s="386"/>
      <c r="D11" s="219"/>
      <c r="E11" s="219"/>
      <c r="F11" s="219"/>
      <c r="G11" s="219"/>
      <c r="H11" s="219"/>
      <c r="I11" s="219"/>
      <c r="J11" s="219"/>
    </row>
    <row customHeight="1" ht="15">
      <c r="A12" s="258" t="s">
        <v>49</v>
      </c>
      <c r="B12" s="396"/>
      <c r="C12" s="396">
        <v>62</v>
      </c>
      <c r="D12" s="396">
        <v>112</v>
      </c>
      <c r="E12" s="398"/>
      <c r="F12" s="398"/>
      <c r="G12" s="398"/>
      <c r="H12" s="219"/>
      <c r="I12" s="219"/>
      <c r="J12" s="219"/>
    </row>
    <row customHeight="1" ht="15">
      <c r="A13" s="258"/>
      <c r="B13" s="396"/>
      <c r="C13" s="396"/>
      <c r="D13" s="396"/>
      <c r="E13" s="398"/>
      <c r="F13" s="398"/>
      <c r="G13" s="398"/>
      <c r="H13" s="219"/>
      <c r="I13" s="219"/>
      <c r="J13" s="219"/>
    </row>
    <row customHeight="1" ht="15">
      <c r="A14" s="258" t="s">
        <v>112</v>
      </c>
      <c r="B14" s="396"/>
      <c r="C14" s="396"/>
      <c r="D14" s="396"/>
      <c r="E14" s="219"/>
      <c r="F14" s="219"/>
      <c r="G14" s="219"/>
      <c r="H14" s="219"/>
      <c r="I14" s="219"/>
      <c r="J14" s="219"/>
    </row>
    <row customHeight="1" ht="15">
      <c r="A15" s="258"/>
      <c r="B15" s="396"/>
      <c r="C15" s="396"/>
      <c r="D15" s="396"/>
      <c r="E15" s="219"/>
      <c r="F15" s="219"/>
      <c r="G15" s="219"/>
      <c r="H15" s="219"/>
      <c r="I15" s="219"/>
      <c r="J15" s="219"/>
    </row>
    <row customHeight="1" ht="15">
      <c r="A16" s="258"/>
      <c r="B16" s="396"/>
      <c r="C16" s="396"/>
      <c r="D16" s="396"/>
      <c r="E16" s="219"/>
      <c r="F16" s="219"/>
      <c r="G16" s="219"/>
      <c r="H16" s="219"/>
      <c r="I16" s="219"/>
      <c r="J16" s="219"/>
    </row>
    <row customHeight="1" ht="15">
      <c r="A17" s="258" t="s">
        <v>52</v>
      </c>
      <c r="B17" s="398"/>
      <c r="C17" s="398"/>
      <c r="D17" s="398"/>
      <c r="E17" s="219"/>
      <c r="F17" s="219"/>
      <c r="G17" s="219"/>
      <c r="H17" s="219"/>
      <c r="I17" s="219"/>
      <c r="J17" s="219"/>
    </row>
    <row customHeight="1" ht="15">
      <c r="A18" s="258"/>
      <c r="B18" s="398"/>
      <c r="C18" s="398"/>
      <c r="D18" s="398"/>
      <c r="E18" s="219"/>
      <c r="F18" s="219"/>
      <c r="G18" s="219"/>
      <c r="H18" s="219"/>
      <c r="I18" s="219"/>
      <c r="J18" s="219"/>
    </row>
    <row customHeight="1" ht="15">
      <c r="A19" s="258" t="s">
        <v>18</v>
      </c>
      <c r="B19" s="59"/>
      <c r="C19" s="371">
        <v>151</v>
      </c>
      <c r="D19" s="219"/>
      <c r="E19" s="219"/>
      <c r="F19" s="219"/>
      <c r="G19" s="219"/>
      <c r="H19" s="219"/>
      <c r="I19" s="219"/>
      <c r="J19" s="219"/>
    </row>
    <row customHeight="1" ht="15">
      <c r="A20" s="250" t="s">
        <v>25</v>
      </c>
      <c r="B20" s="59"/>
      <c r="C20" s="386"/>
      <c r="D20" s="219"/>
      <c r="E20" s="219"/>
      <c r="F20" s="219"/>
      <c r="G20" s="219"/>
      <c r="H20" s="219"/>
      <c r="I20" s="219"/>
      <c r="J20" s="219"/>
    </row>
    <row customHeight="1" ht="15">
      <c r="A21" s="250" t="s">
        <v>126</v>
      </c>
      <c r="B21" s="58"/>
      <c r="C21" s="398"/>
      <c r="D21" s="398"/>
      <c r="E21" s="398">
        <v>94</v>
      </c>
      <c r="F21" s="219"/>
      <c r="G21" s="219"/>
      <c r="H21" s="219"/>
      <c r="I21" s="219"/>
      <c r="J21" s="219"/>
    </row>
    <row customHeight="1" ht="15">
      <c r="A22" s="250"/>
      <c r="B22" s="59"/>
      <c r="C22" s="398"/>
      <c r="D22" s="398"/>
      <c r="E22" s="398"/>
      <c r="F22" s="219"/>
      <c r="G22" s="219"/>
      <c r="H22" s="219"/>
      <c r="I22" s="219"/>
      <c r="J22" s="219"/>
    </row>
    <row customHeight="1" ht="15">
      <c r="A23" s="250"/>
      <c r="B23" s="63"/>
      <c r="C23" s="398"/>
      <c r="D23" s="398"/>
      <c r="E23" s="398"/>
      <c r="F23" s="219"/>
      <c r="G23" s="219"/>
      <c r="H23" s="219"/>
      <c r="I23" s="219"/>
      <c r="J23" s="219"/>
    </row>
    <row customHeight="1" ht="15">
      <c r="A24" s="250"/>
      <c r="B24" s="219"/>
      <c r="C24" s="398">
        <v>136</v>
      </c>
      <c r="D24" s="398"/>
      <c r="E24" s="398"/>
      <c r="F24" s="219"/>
      <c r="G24" s="219"/>
      <c r="H24" s="219"/>
      <c r="I24" s="219"/>
      <c r="J24" s="219"/>
    </row>
    <row customHeight="1" ht="15">
      <c r="A25" s="250"/>
      <c r="B25" s="219"/>
      <c r="C25" s="398"/>
      <c r="D25" s="398"/>
      <c r="E25" s="398"/>
      <c r="F25" s="219"/>
      <c r="G25" s="219"/>
      <c r="H25" s="219"/>
      <c r="I25" s="219"/>
      <c r="J25" s="219"/>
    </row>
    <row customHeight="1" ht="15">
      <c r="A26" s="250"/>
      <c r="B26" s="219"/>
      <c r="C26" s="398">
        <v>27</v>
      </c>
      <c r="D26" s="398"/>
      <c r="E26" s="398"/>
      <c r="F26" s="219"/>
      <c r="G26" s="219"/>
      <c r="H26" s="219"/>
      <c r="I26" s="219"/>
      <c r="J26" s="219"/>
    </row>
    <row customHeight="1" ht="15">
      <c r="A27" s="250" t="s">
        <v>128</v>
      </c>
      <c r="B27" s="396"/>
      <c r="C27" s="396">
        <v>81</v>
      </c>
      <c r="D27" s="396">
        <v>65</v>
      </c>
      <c r="E27" s="219"/>
      <c r="F27" s="219"/>
      <c r="G27" s="219"/>
      <c r="H27" s="219"/>
      <c r="I27" s="219"/>
      <c r="J27" s="219"/>
    </row>
    <row customHeight="1" ht="15">
      <c r="A28" s="250"/>
      <c r="B28" s="396"/>
      <c r="C28" s="396"/>
      <c r="D28" s="396"/>
      <c r="E28" s="219"/>
      <c r="F28" s="219"/>
      <c r="G28" s="219">
        <v>104</v>
      </c>
      <c r="H28" s="219"/>
      <c r="I28" s="219"/>
      <c r="J28" s="219"/>
    </row>
    <row customHeight="1" ht="15">
      <c r="A29" s="64" t="s">
        <v>131</v>
      </c>
      <c r="B29" s="219"/>
      <c r="C29" s="396"/>
      <c r="D29" s="396"/>
      <c r="E29" s="396"/>
      <c r="F29" s="219"/>
      <c r="G29" s="219"/>
      <c r="H29" s="219"/>
      <c r="I29" s="219"/>
      <c r="J29" s="219"/>
    </row>
    <row customHeight="1" ht="15">
      <c r="A30" s="64"/>
      <c r="B30" s="219"/>
      <c r="C30" s="396"/>
      <c r="D30" s="396"/>
      <c r="E30" s="396"/>
      <c r="F30" s="219"/>
      <c r="G30" s="219"/>
      <c r="H30" s="219"/>
      <c r="I30" s="219"/>
      <c r="J30" s="219"/>
    </row>
    <row customHeight="1" ht="15">
      <c r="A31" s="64"/>
      <c r="B31" s="219"/>
      <c r="C31" s="396"/>
      <c r="D31" s="396">
        <v>173</v>
      </c>
      <c r="E31" s="396">
        <v>342</v>
      </c>
      <c r="F31" s="219"/>
      <c r="G31" s="219"/>
      <c r="H31" s="219"/>
      <c r="I31" s="219"/>
      <c r="J31" s="219"/>
    </row>
    <row customHeight="1" ht="15">
      <c r="A32" s="65" t="s">
        <v>134</v>
      </c>
      <c r="B32" s="398"/>
      <c r="C32" s="398">
        <v>51</v>
      </c>
      <c r="D32" s="398"/>
      <c r="E32" s="219"/>
      <c r="F32" s="219"/>
      <c r="G32" s="219"/>
      <c r="H32" s="219"/>
      <c r="I32" s="219"/>
      <c r="J32" s="219"/>
    </row>
    <row customHeight="1" ht="15.75">
      <c r="A33" s="258" t="s">
        <v>136</v>
      </c>
      <c r="B33" s="398"/>
      <c r="C33" s="398"/>
      <c r="D33" s="398"/>
      <c r="E33" s="219"/>
      <c r="F33" s="219"/>
      <c r="G33" s="219"/>
      <c r="H33" s="219"/>
      <c r="I33" s="219"/>
      <c r="J33" s="219"/>
    </row>
    <row customHeight="1" ht="15">
      <c r="A34" s="402"/>
      <c r="B34" s="398"/>
      <c r="C34" s="398"/>
      <c r="D34" s="398"/>
      <c r="E34" s="219"/>
      <c r="F34" s="219"/>
      <c r="G34" s="219"/>
      <c r="H34" s="219"/>
      <c r="I34" s="219"/>
      <c r="J34" s="219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延安石油化工厂生产调度台帐</vt:lpstr>
      <vt:lpstr>取值</vt:lpstr>
      <vt:lpstr>取值1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张浩文</dc:creator>
  <cp:lastModifiedBy>梦太晚.</cp:lastModifiedBy>
  <dcterms:created xsi:type="dcterms:W3CDTF">2013-12-21T08:31:00Z</dcterms:created>
  <cp:lastPrinted>2019-01-26T10:20:00Z</cp:lastPrinted>
  <dcterms:modified xsi:type="dcterms:W3CDTF">2025-07-09T01:18:10Z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C10F6CE01C2C4CFD8BCDE17ADF4F809C_12</vt:lpwstr>
  </property>
</Properties>
</file>